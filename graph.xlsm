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555" windowWidth="20070" windowHeight="7740" tabRatio="949" firstSheet="10" activeTab="33"/>
  </bookViews>
  <sheets>
    <sheet name="script.out" sheetId="1" r:id="rId1"/>
    <sheet name="results.txt" sheetId="2" r:id="rId2"/>
    <sheet name="graph_range" sheetId="72" r:id="rId3"/>
    <sheet name="graph_data" sheetId="8" r:id="rId4"/>
    <sheet name="g6.7" sheetId="221" r:id="rId5"/>
    <sheet name="g5.7" sheetId="220" r:id="rId6"/>
    <sheet name="g5.6" sheetId="219" r:id="rId7"/>
    <sheet name="g4.7" sheetId="218" r:id="rId8"/>
    <sheet name="g4.6" sheetId="217" r:id="rId9"/>
    <sheet name="g4.5" sheetId="216" r:id="rId10"/>
    <sheet name="g3.7" sheetId="215" r:id="rId11"/>
    <sheet name="g3.6" sheetId="214" r:id="rId12"/>
    <sheet name="g3.5" sheetId="213" r:id="rId13"/>
    <sheet name="g3.4" sheetId="212" r:id="rId14"/>
    <sheet name="g2.7" sheetId="211" r:id="rId15"/>
    <sheet name="g2.6" sheetId="210" r:id="rId16"/>
    <sheet name="g2.5" sheetId="209" r:id="rId17"/>
    <sheet name="g2.4" sheetId="208" r:id="rId18"/>
    <sheet name="g2.3" sheetId="207" r:id="rId19"/>
    <sheet name="g1.7" sheetId="206" r:id="rId20"/>
    <sheet name="g1.6" sheetId="205" r:id="rId21"/>
    <sheet name="g1.5" sheetId="204" r:id="rId22"/>
    <sheet name="g1.4" sheetId="203" r:id="rId23"/>
    <sheet name="g1.3" sheetId="202" r:id="rId24"/>
    <sheet name="g1.2" sheetId="201" r:id="rId25"/>
    <sheet name="g0.7" sheetId="200" r:id="rId26"/>
    <sheet name="g0.6" sheetId="199" r:id="rId27"/>
    <sheet name="g0.5" sheetId="198" r:id="rId28"/>
    <sheet name="g0.4" sheetId="197" r:id="rId29"/>
    <sheet name="g0.3" sheetId="196" r:id="rId30"/>
    <sheet name="g0.2" sheetId="195" r:id="rId31"/>
    <sheet name="g0.1" sheetId="194" r:id="rId32"/>
    <sheet name="graph+_data" sheetId="163" r:id="rId33"/>
    <sheet name="sum" sheetId="165" r:id="rId34"/>
  </sheets>
  <definedNames>
    <definedName name="_xlnm._FilterDatabase" localSheetId="3" hidden="1">graph_data!$A$1:$K$145</definedName>
    <definedName name="_xlnm._FilterDatabase" localSheetId="1" hidden="1">results.txt!$A$1:$K$630</definedName>
  </definedNames>
  <calcPr calcId="145621"/>
</workbook>
</file>

<file path=xl/calcChain.xml><?xml version="1.0" encoding="utf-8"?>
<calcChain xmlns="http://schemas.openxmlformats.org/spreadsheetml/2006/main">
  <c r="AF1" i="72" l="1"/>
  <c r="E19" i="165" s="1"/>
  <c r="C19" i="165"/>
  <c r="B19" i="165"/>
  <c r="E18" i="165"/>
  <c r="D18" i="165"/>
  <c r="C18" i="165"/>
  <c r="B18" i="165"/>
  <c r="E17" i="165"/>
  <c r="D17" i="165"/>
  <c r="C17" i="165"/>
  <c r="B17" i="165"/>
  <c r="E16" i="165"/>
  <c r="D16" i="165"/>
  <c r="C16" i="165"/>
  <c r="B16" i="165"/>
  <c r="E15" i="165"/>
  <c r="D15" i="165"/>
  <c r="C15" i="165"/>
  <c r="B15" i="165"/>
  <c r="E14" i="165"/>
  <c r="D14" i="165"/>
  <c r="C14" i="165"/>
  <c r="B14" i="165"/>
  <c r="E13" i="165"/>
  <c r="D13" i="165"/>
  <c r="C13" i="165"/>
  <c r="B13" i="165"/>
  <c r="E12" i="165"/>
  <c r="D12" i="165"/>
  <c r="C12" i="165"/>
  <c r="B12" i="165"/>
  <c r="D9" i="165"/>
  <c r="C9" i="165"/>
  <c r="I9" i="165" s="1"/>
  <c r="B9" i="165"/>
  <c r="E8" i="165"/>
  <c r="D8" i="165"/>
  <c r="C8" i="165"/>
  <c r="B8" i="165"/>
  <c r="E7" i="165"/>
  <c r="D7" i="165"/>
  <c r="C7" i="165"/>
  <c r="B7" i="165"/>
  <c r="E6" i="165"/>
  <c r="D6" i="165"/>
  <c r="C6" i="165"/>
  <c r="B6" i="165"/>
  <c r="E5" i="165"/>
  <c r="D5" i="165"/>
  <c r="C5" i="165"/>
  <c r="B5" i="165"/>
  <c r="E4" i="165"/>
  <c r="D4" i="165"/>
  <c r="C4" i="165"/>
  <c r="B4" i="165"/>
  <c r="E3" i="165"/>
  <c r="D3" i="165"/>
  <c r="C3" i="165"/>
  <c r="B3" i="165"/>
  <c r="E2" i="165"/>
  <c r="D2" i="165"/>
  <c r="C2" i="165"/>
  <c r="B2" i="165"/>
  <c r="N1" i="163"/>
  <c r="O1" i="163"/>
  <c r="P1" i="163"/>
  <c r="S1" i="163"/>
  <c r="T1" i="163"/>
  <c r="U1" i="163"/>
  <c r="W1" i="163"/>
  <c r="X1" i="163"/>
  <c r="Y1" i="163"/>
  <c r="G117" i="163"/>
  <c r="H117" i="163"/>
  <c r="N117" i="163"/>
  <c r="O117" i="163"/>
  <c r="P117" i="163"/>
  <c r="S117" i="163"/>
  <c r="T117" i="163"/>
  <c r="U117" i="163"/>
  <c r="W117" i="163"/>
  <c r="D117" i="163" s="1"/>
  <c r="X117" i="163"/>
  <c r="Y117" i="163"/>
  <c r="N118" i="163"/>
  <c r="O118" i="163"/>
  <c r="P118" i="163"/>
  <c r="S118" i="163"/>
  <c r="T118" i="163"/>
  <c r="U118" i="163"/>
  <c r="W118" i="163"/>
  <c r="X118" i="163"/>
  <c r="Y118" i="163"/>
  <c r="A119" i="163"/>
  <c r="B119" i="163"/>
  <c r="E119" i="163"/>
  <c r="F119" i="163"/>
  <c r="I119" i="163"/>
  <c r="J119" i="163"/>
  <c r="N119" i="163"/>
  <c r="O119" i="163"/>
  <c r="P119" i="163"/>
  <c r="S119" i="163"/>
  <c r="T119" i="163"/>
  <c r="U119" i="163"/>
  <c r="W119" i="163"/>
  <c r="C119" i="163" s="1"/>
  <c r="X119" i="163"/>
  <c r="Y119" i="163"/>
  <c r="A120" i="163"/>
  <c r="D120" i="163"/>
  <c r="E120" i="163"/>
  <c r="H120" i="163"/>
  <c r="I120" i="163"/>
  <c r="L120" i="163"/>
  <c r="N120" i="163"/>
  <c r="O120" i="163"/>
  <c r="P120" i="163"/>
  <c r="S120" i="163"/>
  <c r="T120" i="163"/>
  <c r="U120" i="163"/>
  <c r="W120" i="163"/>
  <c r="B120" i="163" s="1"/>
  <c r="X120" i="163"/>
  <c r="Y120" i="163"/>
  <c r="G121" i="163"/>
  <c r="H121" i="163"/>
  <c r="N121" i="163"/>
  <c r="O121" i="163"/>
  <c r="P121" i="163"/>
  <c r="S121" i="163"/>
  <c r="T121" i="163"/>
  <c r="U121" i="163"/>
  <c r="W121" i="163"/>
  <c r="D121" i="163" s="1"/>
  <c r="X121" i="163"/>
  <c r="Y121" i="163"/>
  <c r="N122" i="163"/>
  <c r="O122" i="163"/>
  <c r="P122" i="163"/>
  <c r="S122" i="163"/>
  <c r="T122" i="163"/>
  <c r="U122" i="163"/>
  <c r="W122" i="163"/>
  <c r="X122" i="163"/>
  <c r="Y122" i="163"/>
  <c r="A123" i="163"/>
  <c r="B123" i="163"/>
  <c r="E123" i="163"/>
  <c r="F123" i="163"/>
  <c r="I123" i="163"/>
  <c r="J123" i="163"/>
  <c r="N123" i="163"/>
  <c r="O123" i="163"/>
  <c r="P123" i="163"/>
  <c r="S123" i="163"/>
  <c r="T123" i="163"/>
  <c r="U123" i="163"/>
  <c r="W123" i="163"/>
  <c r="C123" i="163" s="1"/>
  <c r="X123" i="163"/>
  <c r="Y123" i="163"/>
  <c r="A124" i="163"/>
  <c r="D124" i="163"/>
  <c r="E124" i="163"/>
  <c r="H124" i="163"/>
  <c r="I124" i="163"/>
  <c r="L124" i="163"/>
  <c r="N124" i="163"/>
  <c r="O124" i="163"/>
  <c r="P124" i="163"/>
  <c r="S124" i="163"/>
  <c r="T124" i="163"/>
  <c r="U124" i="163"/>
  <c r="W124" i="163"/>
  <c r="B124" i="163" s="1"/>
  <c r="X124" i="163"/>
  <c r="Y124" i="163"/>
  <c r="G125" i="163"/>
  <c r="H125" i="163"/>
  <c r="N125" i="163"/>
  <c r="O125" i="163"/>
  <c r="P125" i="163"/>
  <c r="S125" i="163"/>
  <c r="T125" i="163"/>
  <c r="U125" i="163"/>
  <c r="W125" i="163"/>
  <c r="D125" i="163" s="1"/>
  <c r="X125" i="163"/>
  <c r="Y125" i="163"/>
  <c r="G126" i="163"/>
  <c r="N126" i="163"/>
  <c r="O126" i="163"/>
  <c r="P126" i="163"/>
  <c r="S126" i="163"/>
  <c r="T126" i="163"/>
  <c r="U126" i="163"/>
  <c r="W126" i="163"/>
  <c r="X126" i="163"/>
  <c r="Y126" i="163"/>
  <c r="A127" i="163"/>
  <c r="B127" i="163"/>
  <c r="E127" i="163"/>
  <c r="F127" i="163"/>
  <c r="I127" i="163"/>
  <c r="J127" i="163"/>
  <c r="N127" i="163"/>
  <c r="O127" i="163"/>
  <c r="P127" i="163"/>
  <c r="S127" i="163"/>
  <c r="T127" i="163"/>
  <c r="U127" i="163"/>
  <c r="W127" i="163"/>
  <c r="C127" i="163" s="1"/>
  <c r="X127" i="163"/>
  <c r="Y127" i="163"/>
  <c r="A128" i="163"/>
  <c r="D128" i="163"/>
  <c r="E128" i="163"/>
  <c r="H128" i="163"/>
  <c r="I128" i="163"/>
  <c r="L128" i="163"/>
  <c r="N128" i="163"/>
  <c r="O128" i="163"/>
  <c r="P128" i="163"/>
  <c r="S128" i="163"/>
  <c r="T128" i="163"/>
  <c r="U128" i="163"/>
  <c r="W128" i="163"/>
  <c r="B128" i="163" s="1"/>
  <c r="X128" i="163"/>
  <c r="Y128" i="163"/>
  <c r="G129" i="163"/>
  <c r="H129" i="163"/>
  <c r="N129" i="163"/>
  <c r="O129" i="163"/>
  <c r="P129" i="163"/>
  <c r="S129" i="163"/>
  <c r="T129" i="163"/>
  <c r="U129" i="163"/>
  <c r="W129" i="163"/>
  <c r="D129" i="163" s="1"/>
  <c r="X129" i="163"/>
  <c r="Y129" i="163"/>
  <c r="N130" i="163"/>
  <c r="O130" i="163"/>
  <c r="P130" i="163"/>
  <c r="S130" i="163"/>
  <c r="T130" i="163"/>
  <c r="U130" i="163"/>
  <c r="W130" i="163"/>
  <c r="X130" i="163"/>
  <c r="Y130" i="163"/>
  <c r="A131" i="163"/>
  <c r="B131" i="163"/>
  <c r="E131" i="163"/>
  <c r="F131" i="163"/>
  <c r="I131" i="163"/>
  <c r="J131" i="163"/>
  <c r="N131" i="163"/>
  <c r="O131" i="163"/>
  <c r="P131" i="163"/>
  <c r="S131" i="163"/>
  <c r="T131" i="163"/>
  <c r="U131" i="163"/>
  <c r="W131" i="163"/>
  <c r="C131" i="163" s="1"/>
  <c r="X131" i="163"/>
  <c r="Y131" i="163"/>
  <c r="A132" i="163"/>
  <c r="D132" i="163"/>
  <c r="E132" i="163"/>
  <c r="H132" i="163"/>
  <c r="I132" i="163"/>
  <c r="L132" i="163"/>
  <c r="N132" i="163"/>
  <c r="O132" i="163"/>
  <c r="P132" i="163"/>
  <c r="S132" i="163"/>
  <c r="T132" i="163"/>
  <c r="U132" i="163"/>
  <c r="W132" i="163"/>
  <c r="B132" i="163" s="1"/>
  <c r="X132" i="163"/>
  <c r="Y132" i="163"/>
  <c r="G133" i="163"/>
  <c r="H133" i="163"/>
  <c r="N133" i="163"/>
  <c r="O133" i="163"/>
  <c r="P133" i="163"/>
  <c r="S133" i="163"/>
  <c r="T133" i="163"/>
  <c r="U133" i="163"/>
  <c r="W133" i="163"/>
  <c r="D133" i="163" s="1"/>
  <c r="X133" i="163"/>
  <c r="Y133" i="163"/>
  <c r="N134" i="163"/>
  <c r="O134" i="163"/>
  <c r="P134" i="163"/>
  <c r="S134" i="163"/>
  <c r="T134" i="163"/>
  <c r="U134" i="163"/>
  <c r="W134" i="163"/>
  <c r="X134" i="163"/>
  <c r="Y134" i="163"/>
  <c r="A135" i="163"/>
  <c r="B135" i="163"/>
  <c r="E135" i="163"/>
  <c r="F135" i="163"/>
  <c r="I135" i="163"/>
  <c r="J135" i="163"/>
  <c r="N135" i="163"/>
  <c r="O135" i="163"/>
  <c r="P135" i="163"/>
  <c r="S135" i="163"/>
  <c r="T135" i="163"/>
  <c r="U135" i="163"/>
  <c r="W135" i="163"/>
  <c r="C135" i="163" s="1"/>
  <c r="X135" i="163"/>
  <c r="Y135" i="163"/>
  <c r="A136" i="163"/>
  <c r="D136" i="163"/>
  <c r="E136" i="163"/>
  <c r="H136" i="163"/>
  <c r="I136" i="163"/>
  <c r="L136" i="163"/>
  <c r="N136" i="163"/>
  <c r="O136" i="163"/>
  <c r="P136" i="163"/>
  <c r="S136" i="163"/>
  <c r="T136" i="163"/>
  <c r="U136" i="163"/>
  <c r="W136" i="163"/>
  <c r="B136" i="163" s="1"/>
  <c r="X136" i="163"/>
  <c r="Y136" i="163"/>
  <c r="G137" i="163"/>
  <c r="H137" i="163"/>
  <c r="N137" i="163"/>
  <c r="O137" i="163"/>
  <c r="P137" i="163"/>
  <c r="S137" i="163"/>
  <c r="T137" i="163"/>
  <c r="U137" i="163"/>
  <c r="W137" i="163"/>
  <c r="D137" i="163" s="1"/>
  <c r="X137" i="163"/>
  <c r="Y137" i="163"/>
  <c r="N138" i="163"/>
  <c r="O138" i="163"/>
  <c r="P138" i="163"/>
  <c r="S138" i="163"/>
  <c r="T138" i="163"/>
  <c r="U138" i="163"/>
  <c r="W138" i="163"/>
  <c r="X138" i="163"/>
  <c r="Y138" i="163"/>
  <c r="A139" i="163"/>
  <c r="B139" i="163"/>
  <c r="E139" i="163"/>
  <c r="F139" i="163"/>
  <c r="I139" i="163"/>
  <c r="J139" i="163"/>
  <c r="N139" i="163"/>
  <c r="O139" i="163"/>
  <c r="P139" i="163"/>
  <c r="S139" i="163"/>
  <c r="T139" i="163"/>
  <c r="U139" i="163"/>
  <c r="W139" i="163"/>
  <c r="C139" i="163" s="1"/>
  <c r="X139" i="163"/>
  <c r="Y139" i="163"/>
  <c r="A140" i="163"/>
  <c r="D140" i="163"/>
  <c r="E140" i="163"/>
  <c r="H140" i="163"/>
  <c r="I140" i="163"/>
  <c r="L140" i="163"/>
  <c r="N140" i="163"/>
  <c r="O140" i="163"/>
  <c r="P140" i="163"/>
  <c r="S140" i="163"/>
  <c r="T140" i="163"/>
  <c r="U140" i="163"/>
  <c r="W140" i="163"/>
  <c r="B140" i="163" s="1"/>
  <c r="X140" i="163"/>
  <c r="Y140" i="163"/>
  <c r="G141" i="163"/>
  <c r="H141" i="163"/>
  <c r="N141" i="163"/>
  <c r="O141" i="163"/>
  <c r="P141" i="163"/>
  <c r="S141" i="163"/>
  <c r="T141" i="163"/>
  <c r="U141" i="163"/>
  <c r="W141" i="163"/>
  <c r="D141" i="163" s="1"/>
  <c r="X141" i="163"/>
  <c r="Y141" i="163"/>
  <c r="N142" i="163"/>
  <c r="O142" i="163"/>
  <c r="P142" i="163"/>
  <c r="S142" i="163"/>
  <c r="T142" i="163"/>
  <c r="U142" i="163"/>
  <c r="W142" i="163"/>
  <c r="X142" i="163"/>
  <c r="Y142" i="163"/>
  <c r="A143" i="163"/>
  <c r="B143" i="163"/>
  <c r="E143" i="163"/>
  <c r="F143" i="163"/>
  <c r="I143" i="163"/>
  <c r="J143" i="163"/>
  <c r="N143" i="163"/>
  <c r="O143" i="163"/>
  <c r="P143" i="163"/>
  <c r="S143" i="163"/>
  <c r="T143" i="163"/>
  <c r="U143" i="163"/>
  <c r="W143" i="163"/>
  <c r="C143" i="163" s="1"/>
  <c r="X143" i="163"/>
  <c r="Y143" i="163"/>
  <c r="A144" i="163"/>
  <c r="D144" i="163"/>
  <c r="E144" i="163"/>
  <c r="H144" i="163"/>
  <c r="I144" i="163"/>
  <c r="L144" i="163"/>
  <c r="N144" i="163"/>
  <c r="O144" i="163"/>
  <c r="P144" i="163"/>
  <c r="S144" i="163"/>
  <c r="T144" i="163"/>
  <c r="U144" i="163"/>
  <c r="W144" i="163"/>
  <c r="B144" i="163" s="1"/>
  <c r="X144" i="163"/>
  <c r="Y144" i="163"/>
  <c r="E145" i="163"/>
  <c r="F145" i="163"/>
  <c r="I145" i="163"/>
  <c r="J145" i="163"/>
  <c r="N145" i="163"/>
  <c r="O145" i="163"/>
  <c r="P145" i="163"/>
  <c r="S145" i="163"/>
  <c r="T145" i="163"/>
  <c r="U145" i="163"/>
  <c r="W145" i="163"/>
  <c r="D145" i="163" s="1"/>
  <c r="X145" i="163"/>
  <c r="Y145" i="163"/>
  <c r="A110" i="163"/>
  <c r="D110" i="163"/>
  <c r="E110" i="163"/>
  <c r="H110" i="163"/>
  <c r="I110" i="163"/>
  <c r="L110" i="163"/>
  <c r="N110" i="163"/>
  <c r="O110" i="163"/>
  <c r="P110" i="163"/>
  <c r="S110" i="163"/>
  <c r="T110" i="163"/>
  <c r="U110" i="163"/>
  <c r="W110" i="163"/>
  <c r="B110" i="163" s="1"/>
  <c r="X110" i="163"/>
  <c r="Y110" i="163"/>
  <c r="D111" i="163"/>
  <c r="H111" i="163"/>
  <c r="L111" i="163"/>
  <c r="N111" i="163"/>
  <c r="O111" i="163"/>
  <c r="P111" i="163"/>
  <c r="S111" i="163"/>
  <c r="T111" i="163"/>
  <c r="U111" i="163"/>
  <c r="W111" i="163"/>
  <c r="A111" i="163" s="1"/>
  <c r="X111" i="163"/>
  <c r="Y111" i="163"/>
  <c r="N112" i="163"/>
  <c r="O112" i="163"/>
  <c r="P112" i="163"/>
  <c r="S112" i="163"/>
  <c r="T112" i="163"/>
  <c r="U112" i="163"/>
  <c r="W112" i="163"/>
  <c r="D112" i="163" s="1"/>
  <c r="X112" i="163"/>
  <c r="Y112" i="163"/>
  <c r="A113" i="163"/>
  <c r="B113" i="163"/>
  <c r="E113" i="163"/>
  <c r="F113" i="163"/>
  <c r="I113" i="163"/>
  <c r="J113" i="163"/>
  <c r="N113" i="163"/>
  <c r="O113" i="163"/>
  <c r="P113" i="163"/>
  <c r="S113" i="163"/>
  <c r="T113" i="163"/>
  <c r="U113" i="163"/>
  <c r="W113" i="163"/>
  <c r="C113" i="163" s="1"/>
  <c r="X113" i="163"/>
  <c r="Y113" i="163"/>
  <c r="A114" i="163"/>
  <c r="D114" i="163"/>
  <c r="E114" i="163"/>
  <c r="H114" i="163"/>
  <c r="I114" i="163"/>
  <c r="L114" i="163"/>
  <c r="N114" i="163"/>
  <c r="O114" i="163"/>
  <c r="P114" i="163"/>
  <c r="S114" i="163"/>
  <c r="T114" i="163"/>
  <c r="U114" i="163"/>
  <c r="W114" i="163"/>
  <c r="B114" i="163" s="1"/>
  <c r="X114" i="163"/>
  <c r="Y114" i="163"/>
  <c r="D115" i="163"/>
  <c r="H115" i="163"/>
  <c r="L115" i="163"/>
  <c r="N115" i="163"/>
  <c r="O115" i="163"/>
  <c r="P115" i="163"/>
  <c r="S115" i="163"/>
  <c r="T115" i="163"/>
  <c r="U115" i="163"/>
  <c r="W115" i="163"/>
  <c r="A115" i="163" s="1"/>
  <c r="X115" i="163"/>
  <c r="Y115" i="163"/>
  <c r="N116" i="163"/>
  <c r="O116" i="163"/>
  <c r="P116" i="163"/>
  <c r="S116" i="163"/>
  <c r="T116" i="163"/>
  <c r="U116" i="163"/>
  <c r="W116" i="163"/>
  <c r="D116" i="163" s="1"/>
  <c r="X116" i="163"/>
  <c r="Y116" i="163"/>
  <c r="L4" i="163"/>
  <c r="L5" i="163"/>
  <c r="L6" i="163"/>
  <c r="L7" i="163"/>
  <c r="L8" i="163"/>
  <c r="L9" i="163"/>
  <c r="L10" i="163"/>
  <c r="L11" i="163"/>
  <c r="L12" i="163"/>
  <c r="L13" i="163"/>
  <c r="L14" i="163"/>
  <c r="L15" i="163"/>
  <c r="L16" i="163"/>
  <c r="L17" i="163"/>
  <c r="L18" i="163"/>
  <c r="L19" i="163"/>
  <c r="L20" i="163"/>
  <c r="L21" i="163"/>
  <c r="L22" i="163"/>
  <c r="L23" i="163"/>
  <c r="L24" i="163"/>
  <c r="L25" i="163"/>
  <c r="L26" i="163"/>
  <c r="L27" i="163"/>
  <c r="L28" i="163"/>
  <c r="L29" i="163"/>
  <c r="L30" i="163"/>
  <c r="L31" i="163"/>
  <c r="L32" i="163"/>
  <c r="L33" i="163"/>
  <c r="L34" i="163"/>
  <c r="L35" i="163"/>
  <c r="L36" i="163"/>
  <c r="L37" i="163"/>
  <c r="L38" i="163"/>
  <c r="L39" i="163"/>
  <c r="L40" i="163"/>
  <c r="L41" i="163"/>
  <c r="L42" i="163"/>
  <c r="L43" i="163"/>
  <c r="L44" i="163"/>
  <c r="L45" i="163"/>
  <c r="L46" i="163"/>
  <c r="L47" i="163"/>
  <c r="L48" i="163"/>
  <c r="L49" i="163"/>
  <c r="L50" i="163"/>
  <c r="L51" i="163"/>
  <c r="L52" i="163"/>
  <c r="L53" i="163"/>
  <c r="L54" i="163"/>
  <c r="L55" i="163"/>
  <c r="L56" i="163"/>
  <c r="L57" i="163"/>
  <c r="L58" i="163"/>
  <c r="L59" i="163"/>
  <c r="L60" i="163"/>
  <c r="L61" i="163"/>
  <c r="L62" i="163"/>
  <c r="L63" i="163"/>
  <c r="L64" i="163"/>
  <c r="L65" i="163"/>
  <c r="L66" i="163"/>
  <c r="L67" i="163"/>
  <c r="L68" i="163"/>
  <c r="L69" i="163"/>
  <c r="L70" i="163"/>
  <c r="L71" i="163"/>
  <c r="L72" i="163"/>
  <c r="L73" i="163"/>
  <c r="L74" i="163"/>
  <c r="L75" i="163"/>
  <c r="L76" i="163"/>
  <c r="L77" i="163"/>
  <c r="L78" i="163"/>
  <c r="L79" i="163"/>
  <c r="L80" i="163"/>
  <c r="L81" i="163"/>
  <c r="L82" i="163"/>
  <c r="L83" i="163"/>
  <c r="L84" i="163"/>
  <c r="L85" i="163"/>
  <c r="L86" i="163"/>
  <c r="L87" i="163"/>
  <c r="L88" i="163"/>
  <c r="L89" i="163"/>
  <c r="L90" i="163"/>
  <c r="L91" i="163"/>
  <c r="L92" i="163"/>
  <c r="L93" i="163"/>
  <c r="L94" i="163"/>
  <c r="L95" i="163"/>
  <c r="L96" i="163"/>
  <c r="L97" i="163"/>
  <c r="L98" i="163"/>
  <c r="L99" i="163"/>
  <c r="L100" i="163"/>
  <c r="L101" i="163"/>
  <c r="L102" i="163"/>
  <c r="L103" i="163"/>
  <c r="L104" i="163"/>
  <c r="L105" i="163"/>
  <c r="L106" i="163"/>
  <c r="L107" i="163"/>
  <c r="L108" i="163"/>
  <c r="L109" i="163"/>
  <c r="L3" i="163"/>
  <c r="L1" i="163"/>
  <c r="Y3" i="163"/>
  <c r="Y4" i="163"/>
  <c r="Y5" i="163"/>
  <c r="Y6" i="163"/>
  <c r="Y7" i="163"/>
  <c r="Y8" i="163"/>
  <c r="Y9" i="163"/>
  <c r="Y10" i="163"/>
  <c r="Y11" i="163"/>
  <c r="Y12" i="163"/>
  <c r="Y13" i="163"/>
  <c r="Y14" i="163"/>
  <c r="Y15" i="163"/>
  <c r="Y16" i="163"/>
  <c r="Y17" i="163"/>
  <c r="Y18" i="163"/>
  <c r="Y19" i="163"/>
  <c r="Y20" i="163"/>
  <c r="Y21" i="163"/>
  <c r="Y22" i="163"/>
  <c r="Y23" i="163"/>
  <c r="Y24" i="163"/>
  <c r="Y25" i="163"/>
  <c r="Y26" i="163"/>
  <c r="Y27" i="163"/>
  <c r="Y28" i="163"/>
  <c r="Y29" i="163"/>
  <c r="Y30" i="163"/>
  <c r="Y31" i="163"/>
  <c r="Y32" i="163"/>
  <c r="Y33" i="163"/>
  <c r="Y34" i="163"/>
  <c r="Y35" i="163"/>
  <c r="Y36" i="163"/>
  <c r="Y37" i="163"/>
  <c r="Y38" i="163"/>
  <c r="Y39" i="163"/>
  <c r="Y40" i="163"/>
  <c r="Y41" i="163"/>
  <c r="Y42" i="163"/>
  <c r="Y43" i="163"/>
  <c r="Y44" i="163"/>
  <c r="Y45" i="163"/>
  <c r="Y46" i="163"/>
  <c r="Y47" i="163"/>
  <c r="Y48" i="163"/>
  <c r="Y49" i="163"/>
  <c r="Y50" i="163"/>
  <c r="Y51" i="163"/>
  <c r="Y52" i="163"/>
  <c r="Y53" i="163"/>
  <c r="Y54" i="163"/>
  <c r="Y55" i="163"/>
  <c r="Y56" i="163"/>
  <c r="Y57" i="163"/>
  <c r="Y58" i="163"/>
  <c r="Y59" i="163"/>
  <c r="Y60" i="163"/>
  <c r="Y61" i="163"/>
  <c r="Y62" i="163"/>
  <c r="Y63" i="163"/>
  <c r="Y64" i="163"/>
  <c r="Y65" i="163"/>
  <c r="Y66" i="163"/>
  <c r="Y67" i="163"/>
  <c r="Y68" i="163"/>
  <c r="Y69" i="163"/>
  <c r="Y70" i="163"/>
  <c r="Y71" i="163"/>
  <c r="Y72" i="163"/>
  <c r="Y73" i="163"/>
  <c r="Y74" i="163"/>
  <c r="Y75" i="163"/>
  <c r="Y76" i="163"/>
  <c r="Y77" i="163"/>
  <c r="Y78" i="163"/>
  <c r="Y79" i="163"/>
  <c r="Y80" i="163"/>
  <c r="Y81" i="163"/>
  <c r="Y82" i="163"/>
  <c r="Y83" i="163"/>
  <c r="Y84" i="163"/>
  <c r="Y85" i="163"/>
  <c r="Y86" i="163"/>
  <c r="Y87" i="163"/>
  <c r="Y88" i="163"/>
  <c r="Y89" i="163"/>
  <c r="Y90" i="163"/>
  <c r="Y91" i="163"/>
  <c r="Y92" i="163"/>
  <c r="Y93" i="163"/>
  <c r="Y94" i="163"/>
  <c r="Y95" i="163"/>
  <c r="Y96" i="163"/>
  <c r="Y97" i="163"/>
  <c r="Y98" i="163"/>
  <c r="Y99" i="163"/>
  <c r="Y100" i="163"/>
  <c r="Y101" i="163"/>
  <c r="Y102" i="163"/>
  <c r="Y103" i="163"/>
  <c r="Y104" i="163"/>
  <c r="Y105" i="163"/>
  <c r="Y106" i="163"/>
  <c r="Y107" i="163"/>
  <c r="Y108" i="163"/>
  <c r="Y109" i="163"/>
  <c r="Y2" i="163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2" i="8"/>
  <c r="O1" i="72"/>
  <c r="P1" i="72"/>
  <c r="Q1" i="72"/>
  <c r="R1" i="72"/>
  <c r="S1" i="72"/>
  <c r="T1" i="72"/>
  <c r="U1" i="72"/>
  <c r="V1" i="72"/>
  <c r="W1" i="72"/>
  <c r="X1" i="72"/>
  <c r="Y1" i="72"/>
  <c r="Z1" i="72"/>
  <c r="AA1" i="72"/>
  <c r="AB1" i="72"/>
  <c r="AC1" i="72"/>
  <c r="AD1" i="72"/>
  <c r="AE1" i="72"/>
  <c r="N1" i="72"/>
  <c r="H9" i="165" l="1"/>
  <c r="D19" i="165"/>
  <c r="J9" i="165" s="1"/>
  <c r="E9" i="165"/>
  <c r="K9" i="165" s="1"/>
  <c r="D142" i="163"/>
  <c r="H142" i="163"/>
  <c r="L142" i="163"/>
  <c r="A142" i="163"/>
  <c r="E142" i="163"/>
  <c r="I142" i="163"/>
  <c r="J142" i="163"/>
  <c r="B142" i="163"/>
  <c r="D138" i="163"/>
  <c r="H138" i="163"/>
  <c r="L138" i="163"/>
  <c r="A138" i="163"/>
  <c r="E138" i="163"/>
  <c r="I138" i="163"/>
  <c r="J138" i="163"/>
  <c r="B138" i="163"/>
  <c r="D134" i="163"/>
  <c r="H134" i="163"/>
  <c r="L134" i="163"/>
  <c r="A134" i="163"/>
  <c r="E134" i="163"/>
  <c r="I134" i="163"/>
  <c r="J134" i="163"/>
  <c r="B134" i="163"/>
  <c r="D130" i="163"/>
  <c r="H130" i="163"/>
  <c r="L130" i="163"/>
  <c r="A130" i="163"/>
  <c r="E130" i="163"/>
  <c r="I130" i="163"/>
  <c r="J130" i="163"/>
  <c r="B130" i="163"/>
  <c r="D126" i="163"/>
  <c r="H126" i="163"/>
  <c r="L126" i="163"/>
  <c r="A126" i="163"/>
  <c r="E126" i="163"/>
  <c r="I126" i="163"/>
  <c r="J126" i="163"/>
  <c r="B126" i="163"/>
  <c r="D122" i="163"/>
  <c r="H122" i="163"/>
  <c r="L122" i="163"/>
  <c r="A122" i="163"/>
  <c r="E122" i="163"/>
  <c r="I122" i="163"/>
  <c r="J122" i="163"/>
  <c r="B122" i="163"/>
  <c r="D118" i="163"/>
  <c r="H118" i="163"/>
  <c r="L118" i="163"/>
  <c r="A118" i="163"/>
  <c r="E118" i="163"/>
  <c r="I118" i="163"/>
  <c r="J118" i="163"/>
  <c r="B118" i="163"/>
  <c r="G142" i="163"/>
  <c r="G138" i="163"/>
  <c r="G134" i="163"/>
  <c r="G130" i="163"/>
  <c r="G118" i="163"/>
  <c r="L145" i="163"/>
  <c r="H145" i="163"/>
  <c r="F142" i="163"/>
  <c r="L141" i="163"/>
  <c r="F138" i="163"/>
  <c r="L137" i="163"/>
  <c r="F134" i="163"/>
  <c r="L133" i="163"/>
  <c r="F130" i="163"/>
  <c r="L129" i="163"/>
  <c r="F126" i="163"/>
  <c r="L125" i="163"/>
  <c r="F122" i="163"/>
  <c r="L121" i="163"/>
  <c r="F118" i="163"/>
  <c r="L117" i="163"/>
  <c r="G122" i="163"/>
  <c r="A145" i="163"/>
  <c r="B145" i="163"/>
  <c r="K145" i="163"/>
  <c r="G145" i="163"/>
  <c r="C145" i="163"/>
  <c r="K142" i="163"/>
  <c r="C142" i="163"/>
  <c r="A141" i="163"/>
  <c r="E141" i="163"/>
  <c r="I141" i="163"/>
  <c r="B141" i="163"/>
  <c r="F141" i="163"/>
  <c r="J141" i="163"/>
  <c r="K141" i="163"/>
  <c r="C141" i="163"/>
  <c r="K138" i="163"/>
  <c r="C138" i="163"/>
  <c r="A137" i="163"/>
  <c r="E137" i="163"/>
  <c r="I137" i="163"/>
  <c r="B137" i="163"/>
  <c r="F137" i="163"/>
  <c r="J137" i="163"/>
  <c r="K137" i="163"/>
  <c r="C137" i="163"/>
  <c r="K134" i="163"/>
  <c r="C134" i="163"/>
  <c r="A133" i="163"/>
  <c r="E133" i="163"/>
  <c r="I133" i="163"/>
  <c r="B133" i="163"/>
  <c r="F133" i="163"/>
  <c r="J133" i="163"/>
  <c r="K133" i="163"/>
  <c r="C133" i="163"/>
  <c r="K130" i="163"/>
  <c r="C130" i="163"/>
  <c r="A129" i="163"/>
  <c r="E129" i="163"/>
  <c r="I129" i="163"/>
  <c r="B129" i="163"/>
  <c r="F129" i="163"/>
  <c r="J129" i="163"/>
  <c r="K129" i="163"/>
  <c r="C129" i="163"/>
  <c r="K126" i="163"/>
  <c r="C126" i="163"/>
  <c r="A125" i="163"/>
  <c r="E125" i="163"/>
  <c r="I125" i="163"/>
  <c r="B125" i="163"/>
  <c r="F125" i="163"/>
  <c r="J125" i="163"/>
  <c r="K125" i="163"/>
  <c r="C125" i="163"/>
  <c r="K122" i="163"/>
  <c r="C122" i="163"/>
  <c r="A121" i="163"/>
  <c r="E121" i="163"/>
  <c r="I121" i="163"/>
  <c r="B121" i="163"/>
  <c r="F121" i="163"/>
  <c r="J121" i="163"/>
  <c r="K121" i="163"/>
  <c r="C121" i="163"/>
  <c r="K118" i="163"/>
  <c r="C118" i="163"/>
  <c r="A117" i="163"/>
  <c r="E117" i="163"/>
  <c r="I117" i="163"/>
  <c r="B117" i="163"/>
  <c r="F117" i="163"/>
  <c r="J117" i="163"/>
  <c r="K117" i="163"/>
  <c r="C117" i="163"/>
  <c r="K144" i="163"/>
  <c r="G144" i="163"/>
  <c r="C144" i="163"/>
  <c r="L143" i="163"/>
  <c r="H143" i="163"/>
  <c r="D143" i="163"/>
  <c r="K140" i="163"/>
  <c r="G140" i="163"/>
  <c r="C140" i="163"/>
  <c r="L139" i="163"/>
  <c r="H139" i="163"/>
  <c r="D139" i="163"/>
  <c r="K136" i="163"/>
  <c r="G136" i="163"/>
  <c r="C136" i="163"/>
  <c r="L135" i="163"/>
  <c r="H135" i="163"/>
  <c r="D135" i="163"/>
  <c r="K132" i="163"/>
  <c r="G132" i="163"/>
  <c r="C132" i="163"/>
  <c r="L131" i="163"/>
  <c r="H131" i="163"/>
  <c r="D131" i="163"/>
  <c r="K128" i="163"/>
  <c r="G128" i="163"/>
  <c r="C128" i="163"/>
  <c r="L127" i="163"/>
  <c r="H127" i="163"/>
  <c r="D127" i="163"/>
  <c r="K124" i="163"/>
  <c r="G124" i="163"/>
  <c r="C124" i="163"/>
  <c r="L123" i="163"/>
  <c r="H123" i="163"/>
  <c r="D123" i="163"/>
  <c r="K120" i="163"/>
  <c r="G120" i="163"/>
  <c r="C120" i="163"/>
  <c r="L119" i="163"/>
  <c r="H119" i="163"/>
  <c r="D119" i="163"/>
  <c r="J144" i="163"/>
  <c r="F144" i="163"/>
  <c r="K143" i="163"/>
  <c r="G143" i="163"/>
  <c r="J140" i="163"/>
  <c r="F140" i="163"/>
  <c r="K139" i="163"/>
  <c r="G139" i="163"/>
  <c r="J136" i="163"/>
  <c r="F136" i="163"/>
  <c r="K135" i="163"/>
  <c r="G135" i="163"/>
  <c r="J132" i="163"/>
  <c r="F132" i="163"/>
  <c r="K131" i="163"/>
  <c r="G131" i="163"/>
  <c r="J128" i="163"/>
  <c r="F128" i="163"/>
  <c r="K127" i="163"/>
  <c r="G127" i="163"/>
  <c r="J124" i="163"/>
  <c r="F124" i="163"/>
  <c r="K123" i="163"/>
  <c r="G123" i="163"/>
  <c r="J120" i="163"/>
  <c r="F120" i="163"/>
  <c r="K119" i="163"/>
  <c r="G119" i="163"/>
  <c r="K116" i="163"/>
  <c r="G116" i="163"/>
  <c r="C116" i="163"/>
  <c r="G112" i="163"/>
  <c r="J116" i="163"/>
  <c r="F116" i="163"/>
  <c r="B116" i="163"/>
  <c r="K115" i="163"/>
  <c r="C115" i="163"/>
  <c r="F112" i="163"/>
  <c r="I116" i="163"/>
  <c r="E116" i="163"/>
  <c r="A116" i="163"/>
  <c r="J115" i="163"/>
  <c r="F115" i="163"/>
  <c r="B115" i="163"/>
  <c r="K114" i="163"/>
  <c r="G114" i="163"/>
  <c r="C114" i="163"/>
  <c r="L113" i="163"/>
  <c r="H113" i="163"/>
  <c r="D113" i="163"/>
  <c r="I112" i="163"/>
  <c r="E112" i="163"/>
  <c r="A112" i="163"/>
  <c r="J111" i="163"/>
  <c r="F111" i="163"/>
  <c r="B111" i="163"/>
  <c r="K110" i="163"/>
  <c r="G110" i="163"/>
  <c r="C110" i="163"/>
  <c r="K112" i="163"/>
  <c r="C112" i="163"/>
  <c r="G115" i="163"/>
  <c r="J112" i="163"/>
  <c r="B112" i="163"/>
  <c r="K111" i="163"/>
  <c r="G111" i="163"/>
  <c r="C111" i="163"/>
  <c r="L116" i="163"/>
  <c r="H116" i="163"/>
  <c r="I115" i="163"/>
  <c r="E115" i="163"/>
  <c r="J114" i="163"/>
  <c r="F114" i="163"/>
  <c r="K113" i="163"/>
  <c r="G113" i="163"/>
  <c r="L112" i="163"/>
  <c r="H112" i="163"/>
  <c r="I111" i="163"/>
  <c r="E111" i="163"/>
  <c r="J110" i="163"/>
  <c r="F110" i="163"/>
  <c r="K1" i="163"/>
  <c r="H1" i="163"/>
  <c r="G1" i="163"/>
  <c r="F1" i="163"/>
  <c r="C1" i="163"/>
  <c r="B1" i="163"/>
  <c r="A1" i="163"/>
  <c r="AE3" i="8"/>
  <c r="AE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2" i="8"/>
  <c r="T4" i="72"/>
  <c r="X4" i="72"/>
  <c r="Y4" i="72"/>
  <c r="T5" i="72"/>
  <c r="X5" i="72"/>
  <c r="Y5" i="72"/>
  <c r="G106" i="163" l="1"/>
  <c r="A92" i="163"/>
  <c r="F48" i="163"/>
  <c r="K103" i="163"/>
  <c r="I91" i="163"/>
  <c r="G79" i="163"/>
  <c r="K71" i="163"/>
  <c r="F63" i="163"/>
  <c r="E55" i="163"/>
  <c r="G47" i="163"/>
  <c r="J39" i="163"/>
  <c r="A31" i="163"/>
  <c r="A23" i="163"/>
  <c r="K15" i="163"/>
  <c r="C11" i="163"/>
  <c r="B11" i="163"/>
  <c r="C7" i="163"/>
  <c r="I7" i="163"/>
  <c r="J3" i="163"/>
  <c r="K3" i="163"/>
  <c r="D3" i="163"/>
  <c r="AD3" i="8"/>
  <c r="W3" i="163" s="1"/>
  <c r="G3" i="163" s="1"/>
  <c r="AD4" i="8"/>
  <c r="W4" i="163" s="1"/>
  <c r="C4" i="163" s="1"/>
  <c r="AD5" i="8"/>
  <c r="W5" i="163" s="1"/>
  <c r="D5" i="163" s="1"/>
  <c r="AD6" i="8"/>
  <c r="W6" i="163" s="1"/>
  <c r="AD7" i="8"/>
  <c r="W7" i="163" s="1"/>
  <c r="K7" i="163" s="1"/>
  <c r="AD8" i="8"/>
  <c r="W8" i="163" s="1"/>
  <c r="AD9" i="8"/>
  <c r="W9" i="163" s="1"/>
  <c r="E9" i="163" s="1"/>
  <c r="AD10" i="8"/>
  <c r="W10" i="163" s="1"/>
  <c r="AD11" i="8"/>
  <c r="W11" i="163" s="1"/>
  <c r="G11" i="163" s="1"/>
  <c r="AD12" i="8"/>
  <c r="W12" i="163" s="1"/>
  <c r="J12" i="163" s="1"/>
  <c r="AD13" i="8"/>
  <c r="W13" i="163" s="1"/>
  <c r="G13" i="163" s="1"/>
  <c r="AD14" i="8"/>
  <c r="W14" i="163" s="1"/>
  <c r="AD15" i="8"/>
  <c r="W15" i="163" s="1"/>
  <c r="D15" i="163" s="1"/>
  <c r="AD16" i="8"/>
  <c r="W16" i="163" s="1"/>
  <c r="G16" i="163" s="1"/>
  <c r="AD17" i="8"/>
  <c r="W17" i="163" s="1"/>
  <c r="D17" i="163" s="1"/>
  <c r="AD18" i="8"/>
  <c r="W18" i="163" s="1"/>
  <c r="AD19" i="8"/>
  <c r="W19" i="163" s="1"/>
  <c r="K19" i="163" s="1"/>
  <c r="AD20" i="8"/>
  <c r="W20" i="163" s="1"/>
  <c r="AD21" i="8"/>
  <c r="W21" i="163" s="1"/>
  <c r="I21" i="163" s="1"/>
  <c r="AD22" i="8"/>
  <c r="W22" i="163" s="1"/>
  <c r="AD23" i="8"/>
  <c r="W23" i="163" s="1"/>
  <c r="AD24" i="8"/>
  <c r="W24" i="163" s="1"/>
  <c r="C24" i="163" s="1"/>
  <c r="AD25" i="8"/>
  <c r="W25" i="163" s="1"/>
  <c r="K25" i="163" s="1"/>
  <c r="AD26" i="8"/>
  <c r="W26" i="163" s="1"/>
  <c r="AD27" i="8"/>
  <c r="W27" i="163" s="1"/>
  <c r="A27" i="163" s="1"/>
  <c r="AD28" i="8"/>
  <c r="W28" i="163" s="1"/>
  <c r="AD29" i="8"/>
  <c r="W29" i="163" s="1"/>
  <c r="A29" i="163" s="1"/>
  <c r="AD30" i="8"/>
  <c r="W30" i="163" s="1"/>
  <c r="AD31" i="8"/>
  <c r="W31" i="163" s="1"/>
  <c r="AD32" i="8"/>
  <c r="W32" i="163" s="1"/>
  <c r="F32" i="163" s="1"/>
  <c r="AD33" i="8"/>
  <c r="W33" i="163" s="1"/>
  <c r="C33" i="163" s="1"/>
  <c r="AD34" i="8"/>
  <c r="W34" i="163" s="1"/>
  <c r="AD35" i="8"/>
  <c r="W35" i="163" s="1"/>
  <c r="J35" i="163" s="1"/>
  <c r="AD36" i="8"/>
  <c r="W36" i="163" s="1"/>
  <c r="H36" i="163" s="1"/>
  <c r="AD37" i="8"/>
  <c r="W37" i="163" s="1"/>
  <c r="G37" i="163" s="1"/>
  <c r="AD38" i="8"/>
  <c r="W38" i="163" s="1"/>
  <c r="B38" i="163" s="1"/>
  <c r="AD39" i="8"/>
  <c r="W39" i="163" s="1"/>
  <c r="AD40" i="8"/>
  <c r="W40" i="163" s="1"/>
  <c r="AD41" i="8"/>
  <c r="W41" i="163" s="1"/>
  <c r="F41" i="163" s="1"/>
  <c r="AD42" i="8"/>
  <c r="W42" i="163" s="1"/>
  <c r="AD43" i="8"/>
  <c r="W43" i="163" s="1"/>
  <c r="J43" i="163" s="1"/>
  <c r="AD44" i="8"/>
  <c r="W44" i="163" s="1"/>
  <c r="G44" i="163" s="1"/>
  <c r="AD45" i="8"/>
  <c r="W45" i="163" s="1"/>
  <c r="H45" i="163" s="1"/>
  <c r="AD46" i="8"/>
  <c r="W46" i="163" s="1"/>
  <c r="AD47" i="8"/>
  <c r="W47" i="163" s="1"/>
  <c r="AD48" i="8"/>
  <c r="W48" i="163" s="1"/>
  <c r="AD49" i="8"/>
  <c r="W49" i="163" s="1"/>
  <c r="C49" i="163" s="1"/>
  <c r="AD50" i="8"/>
  <c r="W50" i="163" s="1"/>
  <c r="AD51" i="8"/>
  <c r="W51" i="163" s="1"/>
  <c r="A51" i="163" s="1"/>
  <c r="AD52" i="8"/>
  <c r="W52" i="163" s="1"/>
  <c r="AD53" i="8"/>
  <c r="W53" i="163" s="1"/>
  <c r="E53" i="163" s="1"/>
  <c r="AD54" i="8"/>
  <c r="W54" i="163" s="1"/>
  <c r="AD55" i="8"/>
  <c r="W55" i="163" s="1"/>
  <c r="B55" i="163" s="1"/>
  <c r="AD56" i="8"/>
  <c r="W56" i="163" s="1"/>
  <c r="E56" i="163" s="1"/>
  <c r="AD57" i="8"/>
  <c r="W57" i="163" s="1"/>
  <c r="J57" i="163" s="1"/>
  <c r="AD58" i="8"/>
  <c r="W58" i="163" s="1"/>
  <c r="AD59" i="8"/>
  <c r="W59" i="163" s="1"/>
  <c r="A59" i="163" s="1"/>
  <c r="AD60" i="8"/>
  <c r="W60" i="163" s="1"/>
  <c r="D60" i="163" s="1"/>
  <c r="AD61" i="8"/>
  <c r="W61" i="163" s="1"/>
  <c r="A61" i="163" s="1"/>
  <c r="AD62" i="8"/>
  <c r="W62" i="163" s="1"/>
  <c r="AD63" i="8"/>
  <c r="W63" i="163" s="1"/>
  <c r="H63" i="163" s="1"/>
  <c r="AD64" i="8"/>
  <c r="W64" i="163" s="1"/>
  <c r="C64" i="163" s="1"/>
  <c r="AD65" i="8"/>
  <c r="W65" i="163" s="1"/>
  <c r="C65" i="163" s="1"/>
  <c r="AD66" i="8"/>
  <c r="W66" i="163" s="1"/>
  <c r="AD67" i="8"/>
  <c r="W67" i="163" s="1"/>
  <c r="E67" i="163" s="1"/>
  <c r="AD68" i="8"/>
  <c r="W68" i="163" s="1"/>
  <c r="K68" i="163" s="1"/>
  <c r="AD69" i="8"/>
  <c r="W69" i="163" s="1"/>
  <c r="K69" i="163" s="1"/>
  <c r="AD70" i="8"/>
  <c r="W70" i="163" s="1"/>
  <c r="AD71" i="8"/>
  <c r="W71" i="163" s="1"/>
  <c r="H71" i="163" s="1"/>
  <c r="AD72" i="8"/>
  <c r="W72" i="163" s="1"/>
  <c r="E72" i="163" s="1"/>
  <c r="AD73" i="8"/>
  <c r="W73" i="163" s="1"/>
  <c r="F73" i="163" s="1"/>
  <c r="AD74" i="8"/>
  <c r="W74" i="163" s="1"/>
  <c r="AD75" i="8"/>
  <c r="W75" i="163" s="1"/>
  <c r="J75" i="163" s="1"/>
  <c r="AD76" i="8"/>
  <c r="W76" i="163" s="1"/>
  <c r="K76" i="163" s="1"/>
  <c r="AD77" i="8"/>
  <c r="W77" i="163" s="1"/>
  <c r="K77" i="163" s="1"/>
  <c r="AD78" i="8"/>
  <c r="W78" i="163" s="1"/>
  <c r="AD79" i="8"/>
  <c r="W79" i="163" s="1"/>
  <c r="AD80" i="8"/>
  <c r="W80" i="163" s="1"/>
  <c r="H80" i="163" s="1"/>
  <c r="AD81" i="8"/>
  <c r="W81" i="163" s="1"/>
  <c r="H81" i="163" s="1"/>
  <c r="AD82" i="8"/>
  <c r="W82" i="163" s="1"/>
  <c r="AD83" i="8"/>
  <c r="W83" i="163" s="1"/>
  <c r="D83" i="163" s="1"/>
  <c r="AD84" i="8"/>
  <c r="W84" i="163" s="1"/>
  <c r="I84" i="163" s="1"/>
  <c r="AD85" i="8"/>
  <c r="W85" i="163" s="1"/>
  <c r="J85" i="163" s="1"/>
  <c r="AD86" i="8"/>
  <c r="W86" i="163" s="1"/>
  <c r="D86" i="163" s="1"/>
  <c r="AD87" i="8"/>
  <c r="W87" i="163" s="1"/>
  <c r="AD88" i="8"/>
  <c r="W88" i="163" s="1"/>
  <c r="D88" i="163" s="1"/>
  <c r="AD89" i="8"/>
  <c r="W89" i="163" s="1"/>
  <c r="D89" i="163" s="1"/>
  <c r="AD90" i="8"/>
  <c r="W90" i="163" s="1"/>
  <c r="AD91" i="8"/>
  <c r="W91" i="163" s="1"/>
  <c r="AD92" i="8"/>
  <c r="W92" i="163" s="1"/>
  <c r="G92" i="163" s="1"/>
  <c r="AD93" i="8"/>
  <c r="W93" i="163" s="1"/>
  <c r="B93" i="163" s="1"/>
  <c r="AD94" i="8"/>
  <c r="W94" i="163" s="1"/>
  <c r="AD95" i="8"/>
  <c r="W95" i="163" s="1"/>
  <c r="H95" i="163" s="1"/>
  <c r="AD96" i="8"/>
  <c r="W96" i="163" s="1"/>
  <c r="D96" i="163" s="1"/>
  <c r="AD97" i="8"/>
  <c r="W97" i="163" s="1"/>
  <c r="D97" i="163" s="1"/>
  <c r="AD98" i="8"/>
  <c r="W98" i="163" s="1"/>
  <c r="AD99" i="8"/>
  <c r="W99" i="163" s="1"/>
  <c r="AD100" i="8"/>
  <c r="W100" i="163" s="1"/>
  <c r="K100" i="163" s="1"/>
  <c r="AD101" i="8"/>
  <c r="W101" i="163" s="1"/>
  <c r="K101" i="163" s="1"/>
  <c r="AD102" i="8"/>
  <c r="W102" i="163" s="1"/>
  <c r="AD103" i="8"/>
  <c r="W103" i="163" s="1"/>
  <c r="AD104" i="8"/>
  <c r="W104" i="163" s="1"/>
  <c r="F104" i="163" s="1"/>
  <c r="AD105" i="8"/>
  <c r="W105" i="163" s="1"/>
  <c r="F105" i="163" s="1"/>
  <c r="AD106" i="8"/>
  <c r="W106" i="163" s="1"/>
  <c r="AD107" i="8"/>
  <c r="W107" i="163" s="1"/>
  <c r="G107" i="163" s="1"/>
  <c r="AD108" i="8"/>
  <c r="W108" i="163" s="1"/>
  <c r="K108" i="163" s="1"/>
  <c r="AD109" i="8"/>
  <c r="W109" i="163" s="1"/>
  <c r="K109" i="163" s="1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2" i="8"/>
  <c r="N110" i="8"/>
  <c r="O110" i="8"/>
  <c r="P110" i="8"/>
  <c r="Q110" i="8"/>
  <c r="R110" i="8"/>
  <c r="S110" i="8"/>
  <c r="T110" i="8"/>
  <c r="U110" i="8"/>
  <c r="V110" i="8"/>
  <c r="W110" i="8"/>
  <c r="X110" i="8"/>
  <c r="Y110" i="8"/>
  <c r="Z110" i="8"/>
  <c r="AA110" i="8"/>
  <c r="AB110" i="8"/>
  <c r="AC110" i="8"/>
  <c r="N111" i="8"/>
  <c r="O111" i="8"/>
  <c r="P111" i="8"/>
  <c r="Q111" i="8"/>
  <c r="R111" i="8"/>
  <c r="S111" i="8"/>
  <c r="T111" i="8"/>
  <c r="U111" i="8"/>
  <c r="V111" i="8"/>
  <c r="W111" i="8"/>
  <c r="X111" i="8"/>
  <c r="Y111" i="8"/>
  <c r="Z111" i="8"/>
  <c r="AA111" i="8"/>
  <c r="AB111" i="8"/>
  <c r="AC111" i="8"/>
  <c r="N112" i="8"/>
  <c r="O112" i="8"/>
  <c r="P112" i="8"/>
  <c r="Q112" i="8"/>
  <c r="R112" i="8"/>
  <c r="S112" i="8"/>
  <c r="T112" i="8"/>
  <c r="U112" i="8"/>
  <c r="V112" i="8"/>
  <c r="W112" i="8"/>
  <c r="X112" i="8"/>
  <c r="Y112" i="8"/>
  <c r="Z112" i="8"/>
  <c r="AA112" i="8"/>
  <c r="AB112" i="8"/>
  <c r="AC112" i="8"/>
  <c r="N113" i="8"/>
  <c r="O113" i="8"/>
  <c r="P113" i="8"/>
  <c r="Q113" i="8"/>
  <c r="R113" i="8"/>
  <c r="S113" i="8"/>
  <c r="T113" i="8"/>
  <c r="U113" i="8"/>
  <c r="V113" i="8"/>
  <c r="W113" i="8"/>
  <c r="X113" i="8"/>
  <c r="Y113" i="8"/>
  <c r="Z113" i="8"/>
  <c r="AA113" i="8"/>
  <c r="AB113" i="8"/>
  <c r="AC113" i="8"/>
  <c r="N114" i="8"/>
  <c r="O114" i="8"/>
  <c r="P114" i="8"/>
  <c r="Q114" i="8"/>
  <c r="R114" i="8"/>
  <c r="S114" i="8"/>
  <c r="T114" i="8"/>
  <c r="U114" i="8"/>
  <c r="V114" i="8"/>
  <c r="W114" i="8"/>
  <c r="X114" i="8"/>
  <c r="Y114" i="8"/>
  <c r="Z114" i="8"/>
  <c r="AA114" i="8"/>
  <c r="AB114" i="8"/>
  <c r="AC114" i="8"/>
  <c r="N115" i="8"/>
  <c r="O115" i="8"/>
  <c r="P115" i="8"/>
  <c r="Q115" i="8"/>
  <c r="R115" i="8"/>
  <c r="S115" i="8"/>
  <c r="T115" i="8"/>
  <c r="U115" i="8"/>
  <c r="V115" i="8"/>
  <c r="W115" i="8"/>
  <c r="X115" i="8"/>
  <c r="Y115" i="8"/>
  <c r="Z115" i="8"/>
  <c r="AA115" i="8"/>
  <c r="AB115" i="8"/>
  <c r="AC115" i="8"/>
  <c r="N116" i="8"/>
  <c r="O116" i="8"/>
  <c r="P116" i="8"/>
  <c r="Q116" i="8"/>
  <c r="R116" i="8"/>
  <c r="S116" i="8"/>
  <c r="T116" i="8"/>
  <c r="U116" i="8"/>
  <c r="V116" i="8"/>
  <c r="W116" i="8"/>
  <c r="X116" i="8"/>
  <c r="Y116" i="8"/>
  <c r="Z116" i="8"/>
  <c r="AA116" i="8"/>
  <c r="AB116" i="8"/>
  <c r="AC116" i="8"/>
  <c r="N117" i="8"/>
  <c r="O117" i="8"/>
  <c r="P117" i="8"/>
  <c r="Q117" i="8"/>
  <c r="R117" i="8"/>
  <c r="S117" i="8"/>
  <c r="T117" i="8"/>
  <c r="U117" i="8"/>
  <c r="V117" i="8"/>
  <c r="W117" i="8"/>
  <c r="X117" i="8"/>
  <c r="Y117" i="8"/>
  <c r="Z117" i="8"/>
  <c r="AA117" i="8"/>
  <c r="AB117" i="8"/>
  <c r="AC117" i="8"/>
  <c r="N118" i="8"/>
  <c r="O118" i="8"/>
  <c r="P118" i="8"/>
  <c r="Q118" i="8"/>
  <c r="R118" i="8"/>
  <c r="S118" i="8"/>
  <c r="T118" i="8"/>
  <c r="U118" i="8"/>
  <c r="V118" i="8"/>
  <c r="W118" i="8"/>
  <c r="X118" i="8"/>
  <c r="Y118" i="8"/>
  <c r="Z118" i="8"/>
  <c r="AA118" i="8"/>
  <c r="AB118" i="8"/>
  <c r="AC118" i="8"/>
  <c r="N119" i="8"/>
  <c r="O119" i="8"/>
  <c r="P119" i="8"/>
  <c r="Q119" i="8"/>
  <c r="R119" i="8"/>
  <c r="S119" i="8"/>
  <c r="T119" i="8"/>
  <c r="U119" i="8"/>
  <c r="V119" i="8"/>
  <c r="W119" i="8"/>
  <c r="X119" i="8"/>
  <c r="Y119" i="8"/>
  <c r="Z119" i="8"/>
  <c r="AA119" i="8"/>
  <c r="AB119" i="8"/>
  <c r="AC119" i="8"/>
  <c r="N120" i="8"/>
  <c r="O120" i="8"/>
  <c r="P120" i="8"/>
  <c r="Q120" i="8"/>
  <c r="R120" i="8"/>
  <c r="S120" i="8"/>
  <c r="T120" i="8"/>
  <c r="U120" i="8"/>
  <c r="V120" i="8"/>
  <c r="W120" i="8"/>
  <c r="X120" i="8"/>
  <c r="Y120" i="8"/>
  <c r="Z120" i="8"/>
  <c r="AA120" i="8"/>
  <c r="AB120" i="8"/>
  <c r="AC120" i="8"/>
  <c r="N121" i="8"/>
  <c r="O121" i="8"/>
  <c r="P121" i="8"/>
  <c r="Q121" i="8"/>
  <c r="R121" i="8"/>
  <c r="S121" i="8"/>
  <c r="T121" i="8"/>
  <c r="U121" i="8"/>
  <c r="V121" i="8"/>
  <c r="W121" i="8"/>
  <c r="X121" i="8"/>
  <c r="Y121" i="8"/>
  <c r="Z121" i="8"/>
  <c r="AA121" i="8"/>
  <c r="AB121" i="8"/>
  <c r="AC121" i="8"/>
  <c r="N122" i="8"/>
  <c r="O122" i="8"/>
  <c r="P122" i="8"/>
  <c r="Q122" i="8"/>
  <c r="R122" i="8"/>
  <c r="S122" i="8"/>
  <c r="T122" i="8"/>
  <c r="U122" i="8"/>
  <c r="V122" i="8"/>
  <c r="W122" i="8"/>
  <c r="X122" i="8"/>
  <c r="Y122" i="8"/>
  <c r="Z122" i="8"/>
  <c r="AA122" i="8"/>
  <c r="AB122" i="8"/>
  <c r="AC122" i="8"/>
  <c r="N123" i="8"/>
  <c r="O123" i="8"/>
  <c r="P123" i="8"/>
  <c r="Q123" i="8"/>
  <c r="R123" i="8"/>
  <c r="S123" i="8"/>
  <c r="T123" i="8"/>
  <c r="U123" i="8"/>
  <c r="V123" i="8"/>
  <c r="W123" i="8"/>
  <c r="X123" i="8"/>
  <c r="Y123" i="8"/>
  <c r="Z123" i="8"/>
  <c r="AA123" i="8"/>
  <c r="AB123" i="8"/>
  <c r="AC123" i="8"/>
  <c r="N124" i="8"/>
  <c r="O124" i="8"/>
  <c r="P124" i="8"/>
  <c r="Q124" i="8"/>
  <c r="R124" i="8"/>
  <c r="S124" i="8"/>
  <c r="T124" i="8"/>
  <c r="U124" i="8"/>
  <c r="V124" i="8"/>
  <c r="W124" i="8"/>
  <c r="X124" i="8"/>
  <c r="Y124" i="8"/>
  <c r="Z124" i="8"/>
  <c r="AA124" i="8"/>
  <c r="AB124" i="8"/>
  <c r="AC124" i="8"/>
  <c r="N125" i="8"/>
  <c r="O125" i="8"/>
  <c r="P125" i="8"/>
  <c r="Q125" i="8"/>
  <c r="R125" i="8"/>
  <c r="S125" i="8"/>
  <c r="T125" i="8"/>
  <c r="U125" i="8"/>
  <c r="V125" i="8"/>
  <c r="W125" i="8"/>
  <c r="X125" i="8"/>
  <c r="Y125" i="8"/>
  <c r="Z125" i="8"/>
  <c r="AA125" i="8"/>
  <c r="AB125" i="8"/>
  <c r="AC125" i="8"/>
  <c r="N126" i="8"/>
  <c r="O126" i="8"/>
  <c r="P126" i="8"/>
  <c r="Q126" i="8"/>
  <c r="R126" i="8"/>
  <c r="S126" i="8"/>
  <c r="T126" i="8"/>
  <c r="U126" i="8"/>
  <c r="V126" i="8"/>
  <c r="W126" i="8"/>
  <c r="X126" i="8"/>
  <c r="Y126" i="8"/>
  <c r="Z126" i="8"/>
  <c r="AA126" i="8"/>
  <c r="AB126" i="8"/>
  <c r="AC126" i="8"/>
  <c r="N127" i="8"/>
  <c r="O127" i="8"/>
  <c r="P127" i="8"/>
  <c r="Q127" i="8"/>
  <c r="R127" i="8"/>
  <c r="S127" i="8"/>
  <c r="T127" i="8"/>
  <c r="U127" i="8"/>
  <c r="V127" i="8"/>
  <c r="W127" i="8"/>
  <c r="X127" i="8"/>
  <c r="Y127" i="8"/>
  <c r="Z127" i="8"/>
  <c r="AA127" i="8"/>
  <c r="AB127" i="8"/>
  <c r="AC127" i="8"/>
  <c r="N128" i="8"/>
  <c r="O128" i="8"/>
  <c r="P128" i="8"/>
  <c r="Q128" i="8"/>
  <c r="R128" i="8"/>
  <c r="S128" i="8"/>
  <c r="T128" i="8"/>
  <c r="U128" i="8"/>
  <c r="V128" i="8"/>
  <c r="W128" i="8"/>
  <c r="X128" i="8"/>
  <c r="Y128" i="8"/>
  <c r="Z128" i="8"/>
  <c r="AA128" i="8"/>
  <c r="AB128" i="8"/>
  <c r="AC128" i="8"/>
  <c r="N129" i="8"/>
  <c r="O129" i="8"/>
  <c r="P129" i="8"/>
  <c r="Q129" i="8"/>
  <c r="R129" i="8"/>
  <c r="S129" i="8"/>
  <c r="T129" i="8"/>
  <c r="U129" i="8"/>
  <c r="V129" i="8"/>
  <c r="W129" i="8"/>
  <c r="X129" i="8"/>
  <c r="Y129" i="8"/>
  <c r="Z129" i="8"/>
  <c r="AA129" i="8"/>
  <c r="AB129" i="8"/>
  <c r="AC129" i="8"/>
  <c r="N130" i="8"/>
  <c r="O130" i="8"/>
  <c r="P130" i="8"/>
  <c r="Q130" i="8"/>
  <c r="R130" i="8"/>
  <c r="S130" i="8"/>
  <c r="T130" i="8"/>
  <c r="U130" i="8"/>
  <c r="V130" i="8"/>
  <c r="W130" i="8"/>
  <c r="X130" i="8"/>
  <c r="Y130" i="8"/>
  <c r="Z130" i="8"/>
  <c r="AA130" i="8"/>
  <c r="AB130" i="8"/>
  <c r="AC130" i="8"/>
  <c r="N131" i="8"/>
  <c r="O131" i="8"/>
  <c r="P131" i="8"/>
  <c r="Q131" i="8"/>
  <c r="R131" i="8"/>
  <c r="S131" i="8"/>
  <c r="T131" i="8"/>
  <c r="U131" i="8"/>
  <c r="V131" i="8"/>
  <c r="W131" i="8"/>
  <c r="X131" i="8"/>
  <c r="Y131" i="8"/>
  <c r="Z131" i="8"/>
  <c r="AA131" i="8"/>
  <c r="AB131" i="8"/>
  <c r="AC131" i="8"/>
  <c r="N132" i="8"/>
  <c r="O132" i="8"/>
  <c r="P132" i="8"/>
  <c r="Q132" i="8"/>
  <c r="R132" i="8"/>
  <c r="S132" i="8"/>
  <c r="T132" i="8"/>
  <c r="U132" i="8"/>
  <c r="V132" i="8"/>
  <c r="W132" i="8"/>
  <c r="X132" i="8"/>
  <c r="Y132" i="8"/>
  <c r="Z132" i="8"/>
  <c r="AA132" i="8"/>
  <c r="AB132" i="8"/>
  <c r="AC132" i="8"/>
  <c r="N133" i="8"/>
  <c r="O133" i="8"/>
  <c r="P133" i="8"/>
  <c r="Q133" i="8"/>
  <c r="R133" i="8"/>
  <c r="S133" i="8"/>
  <c r="T133" i="8"/>
  <c r="U133" i="8"/>
  <c r="V133" i="8"/>
  <c r="W133" i="8"/>
  <c r="X133" i="8"/>
  <c r="Y133" i="8"/>
  <c r="Z133" i="8"/>
  <c r="AA133" i="8"/>
  <c r="AB133" i="8"/>
  <c r="AC133" i="8"/>
  <c r="N134" i="8"/>
  <c r="O134" i="8"/>
  <c r="P134" i="8"/>
  <c r="Q134" i="8"/>
  <c r="R134" i="8"/>
  <c r="S134" i="8"/>
  <c r="T134" i="8"/>
  <c r="U134" i="8"/>
  <c r="V134" i="8"/>
  <c r="W134" i="8"/>
  <c r="X134" i="8"/>
  <c r="Y134" i="8"/>
  <c r="Z134" i="8"/>
  <c r="AA134" i="8"/>
  <c r="AB134" i="8"/>
  <c r="AC134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AA135" i="8"/>
  <c r="AB135" i="8"/>
  <c r="AC135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AA136" i="8"/>
  <c r="AB136" i="8"/>
  <c r="AC136" i="8"/>
  <c r="N137" i="8"/>
  <c r="O137" i="8"/>
  <c r="P137" i="8"/>
  <c r="Q137" i="8"/>
  <c r="R137" i="8"/>
  <c r="S137" i="8"/>
  <c r="T137" i="8"/>
  <c r="U137" i="8"/>
  <c r="V137" i="8"/>
  <c r="W137" i="8"/>
  <c r="X137" i="8"/>
  <c r="Y137" i="8"/>
  <c r="Z137" i="8"/>
  <c r="AA137" i="8"/>
  <c r="AB137" i="8"/>
  <c r="AC137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AA138" i="8"/>
  <c r="AB138" i="8"/>
  <c r="AC138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Z139" i="8"/>
  <c r="AA139" i="8"/>
  <c r="AB139" i="8"/>
  <c r="AC139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Z140" i="8"/>
  <c r="AA140" i="8"/>
  <c r="AB140" i="8"/>
  <c r="AC140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Z141" i="8"/>
  <c r="AA141" i="8"/>
  <c r="AB141" i="8"/>
  <c r="AC141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AA142" i="8"/>
  <c r="AB142" i="8"/>
  <c r="AC142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Z143" i="8"/>
  <c r="AA143" i="8"/>
  <c r="AB143" i="8"/>
  <c r="AC143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Z144" i="8"/>
  <c r="AA144" i="8"/>
  <c r="AB144" i="8"/>
  <c r="AC144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Z145" i="8"/>
  <c r="AA145" i="8"/>
  <c r="AB145" i="8"/>
  <c r="AC145" i="8"/>
  <c r="M109" i="8"/>
  <c r="O109" i="8" s="1"/>
  <c r="M108" i="8"/>
  <c r="M107" i="8"/>
  <c r="Q107" i="8" s="1"/>
  <c r="M106" i="8"/>
  <c r="Q106" i="8" s="1"/>
  <c r="M105" i="8"/>
  <c r="O105" i="8" s="1"/>
  <c r="M104" i="8"/>
  <c r="M103" i="8"/>
  <c r="Q103" i="8" s="1"/>
  <c r="M102" i="8"/>
  <c r="Q102" i="8" s="1"/>
  <c r="M101" i="8"/>
  <c r="O101" i="8" s="1"/>
  <c r="M100" i="8"/>
  <c r="M99" i="8"/>
  <c r="R99" i="8" s="1"/>
  <c r="M98" i="8"/>
  <c r="T98" i="8" s="1"/>
  <c r="M97" i="8"/>
  <c r="Q97" i="8" s="1"/>
  <c r="M96" i="8"/>
  <c r="M95" i="8"/>
  <c r="P95" i="8" s="1"/>
  <c r="M94" i="8"/>
  <c r="V94" i="8" s="1"/>
  <c r="M93" i="8"/>
  <c r="R93" i="8" s="1"/>
  <c r="M92" i="8"/>
  <c r="M91" i="8"/>
  <c r="P91" i="8" s="1"/>
  <c r="M90" i="8"/>
  <c r="V90" i="8" s="1"/>
  <c r="M89" i="8"/>
  <c r="R89" i="8" s="1"/>
  <c r="M88" i="8"/>
  <c r="M87" i="8"/>
  <c r="P87" i="8" s="1"/>
  <c r="M86" i="8"/>
  <c r="V86" i="8" s="1"/>
  <c r="M85" i="8"/>
  <c r="R85" i="8" s="1"/>
  <c r="M84" i="8"/>
  <c r="M83" i="8"/>
  <c r="P83" i="8" s="1"/>
  <c r="M82" i="8"/>
  <c r="V82" i="8" s="1"/>
  <c r="M81" i="8"/>
  <c r="R81" i="8" s="1"/>
  <c r="M80" i="8"/>
  <c r="M79" i="8"/>
  <c r="P79" i="8" s="1"/>
  <c r="M78" i="8"/>
  <c r="R78" i="8" s="1"/>
  <c r="M631" i="2"/>
  <c r="O631" i="2" s="1"/>
  <c r="S631" i="2"/>
  <c r="X631" i="2"/>
  <c r="AC631" i="2"/>
  <c r="AD631" i="2"/>
  <c r="M632" i="2"/>
  <c r="N632" i="2" s="1"/>
  <c r="AD632" i="2"/>
  <c r="M633" i="2"/>
  <c r="P633" i="2" s="1"/>
  <c r="O633" i="2"/>
  <c r="Q633" i="2"/>
  <c r="S633" i="2"/>
  <c r="T633" i="2"/>
  <c r="W633" i="2"/>
  <c r="X633" i="2"/>
  <c r="Y633" i="2"/>
  <c r="AB633" i="2"/>
  <c r="AC633" i="2"/>
  <c r="AD633" i="2"/>
  <c r="M634" i="2"/>
  <c r="Y634" i="2"/>
  <c r="AA634" i="2"/>
  <c r="AD634" i="2"/>
  <c r="M635" i="2"/>
  <c r="O635" i="2" s="1"/>
  <c r="S635" i="2"/>
  <c r="X635" i="2"/>
  <c r="AC635" i="2"/>
  <c r="AD635" i="2"/>
  <c r="M636" i="2"/>
  <c r="N636" i="2" s="1"/>
  <c r="W636" i="2"/>
  <c r="AD636" i="2"/>
  <c r="M637" i="2"/>
  <c r="Q637" i="2" s="1"/>
  <c r="S637" i="2"/>
  <c r="X637" i="2"/>
  <c r="AC637" i="2"/>
  <c r="AD637" i="2"/>
  <c r="M638" i="2"/>
  <c r="N638" i="2" s="1"/>
  <c r="Q638" i="2"/>
  <c r="V638" i="2"/>
  <c r="AA638" i="2"/>
  <c r="AD638" i="2"/>
  <c r="M639" i="2"/>
  <c r="P639" i="2" s="1"/>
  <c r="O639" i="2"/>
  <c r="Q639" i="2"/>
  <c r="S639" i="2"/>
  <c r="T639" i="2"/>
  <c r="W639" i="2"/>
  <c r="X639" i="2"/>
  <c r="Y639" i="2"/>
  <c r="AB639" i="2"/>
  <c r="AC639" i="2"/>
  <c r="AD639" i="2"/>
  <c r="M640" i="2"/>
  <c r="N640" i="2" s="1"/>
  <c r="S640" i="2"/>
  <c r="V640" i="2"/>
  <c r="AA640" i="2"/>
  <c r="AD640" i="2"/>
  <c r="M641" i="2"/>
  <c r="O641" i="2" s="1"/>
  <c r="S641" i="2"/>
  <c r="X641" i="2"/>
  <c r="AC641" i="2"/>
  <c r="AD641" i="2"/>
  <c r="M642" i="2"/>
  <c r="Y642" i="2" s="1"/>
  <c r="AA642" i="2"/>
  <c r="AD642" i="2"/>
  <c r="M643" i="2"/>
  <c r="O643" i="2" s="1"/>
  <c r="S643" i="2"/>
  <c r="X643" i="2"/>
  <c r="AC643" i="2"/>
  <c r="AD643" i="2"/>
  <c r="M644" i="2"/>
  <c r="N644" i="2" s="1"/>
  <c r="W644" i="2"/>
  <c r="AD644" i="2"/>
  <c r="M645" i="2"/>
  <c r="Q645" i="2" s="1"/>
  <c r="S645" i="2"/>
  <c r="X645" i="2"/>
  <c r="AC645" i="2"/>
  <c r="AD645" i="2"/>
  <c r="M646" i="2"/>
  <c r="N646" i="2" s="1"/>
  <c r="Q646" i="2"/>
  <c r="V646" i="2"/>
  <c r="AA646" i="2"/>
  <c r="AD646" i="2"/>
  <c r="M647" i="2"/>
  <c r="P647" i="2" s="1"/>
  <c r="O647" i="2"/>
  <c r="Q647" i="2"/>
  <c r="S647" i="2"/>
  <c r="T647" i="2"/>
  <c r="W647" i="2"/>
  <c r="X647" i="2"/>
  <c r="Y647" i="2"/>
  <c r="AB647" i="2"/>
  <c r="AC647" i="2"/>
  <c r="AD647" i="2"/>
  <c r="M648" i="2"/>
  <c r="N648" i="2" s="1"/>
  <c r="AA648" i="2"/>
  <c r="AC648" i="2"/>
  <c r="AD648" i="2"/>
  <c r="M649" i="2"/>
  <c r="O649" i="2"/>
  <c r="P649" i="2"/>
  <c r="Q649" i="2"/>
  <c r="S649" i="2"/>
  <c r="T649" i="2"/>
  <c r="U649" i="2"/>
  <c r="W649" i="2"/>
  <c r="X649" i="2"/>
  <c r="Y649" i="2"/>
  <c r="AA649" i="2"/>
  <c r="AB649" i="2"/>
  <c r="AC649" i="2"/>
  <c r="AD649" i="2"/>
  <c r="M650" i="2"/>
  <c r="AD650" i="2"/>
  <c r="M651" i="2"/>
  <c r="O651" i="2"/>
  <c r="P651" i="2"/>
  <c r="Q651" i="2"/>
  <c r="S651" i="2"/>
  <c r="T651" i="2"/>
  <c r="U651" i="2"/>
  <c r="W651" i="2"/>
  <c r="X651" i="2"/>
  <c r="Y651" i="2"/>
  <c r="AA651" i="2"/>
  <c r="AB651" i="2"/>
  <c r="AC651" i="2"/>
  <c r="AD651" i="2"/>
  <c r="M652" i="2"/>
  <c r="N652" i="2" s="1"/>
  <c r="Q652" i="2"/>
  <c r="V652" i="2"/>
  <c r="W652" i="2"/>
  <c r="AC652" i="2"/>
  <c r="AD652" i="2"/>
  <c r="M653" i="2"/>
  <c r="O653" i="2" s="1"/>
  <c r="P653" i="2"/>
  <c r="Q653" i="2"/>
  <c r="S653" i="2"/>
  <c r="U653" i="2"/>
  <c r="W653" i="2"/>
  <c r="X653" i="2"/>
  <c r="AA653" i="2"/>
  <c r="AB653" i="2"/>
  <c r="AC653" i="2"/>
  <c r="AD653" i="2"/>
  <c r="M654" i="2"/>
  <c r="V654" i="2" s="1"/>
  <c r="AD654" i="2"/>
  <c r="M655" i="2"/>
  <c r="O655" i="2" s="1"/>
  <c r="T655" i="2"/>
  <c r="AA655" i="2"/>
  <c r="AD655" i="2"/>
  <c r="M656" i="2"/>
  <c r="Q656" i="2" s="1"/>
  <c r="W656" i="2"/>
  <c r="AD656" i="2"/>
  <c r="M657" i="2"/>
  <c r="P657" i="2" s="1"/>
  <c r="O657" i="2"/>
  <c r="T657" i="2"/>
  <c r="U657" i="2"/>
  <c r="AA657" i="2"/>
  <c r="AC657" i="2"/>
  <c r="AD657" i="2"/>
  <c r="M658" i="2"/>
  <c r="V658" i="2" s="1"/>
  <c r="Q658" i="2"/>
  <c r="R658" i="2"/>
  <c r="W658" i="2"/>
  <c r="AA658" i="2"/>
  <c r="AC658" i="2"/>
  <c r="AD658" i="2"/>
  <c r="M659" i="2"/>
  <c r="S659" i="2" s="1"/>
  <c r="P659" i="2"/>
  <c r="T659" i="2"/>
  <c r="X659" i="2"/>
  <c r="AA659" i="2"/>
  <c r="AD659" i="2"/>
  <c r="M660" i="2"/>
  <c r="Q660" i="2" s="1"/>
  <c r="R660" i="2"/>
  <c r="V660" i="2"/>
  <c r="W660" i="2"/>
  <c r="AC660" i="2"/>
  <c r="AD660" i="2"/>
  <c r="M661" i="2"/>
  <c r="O661" i="2" s="1"/>
  <c r="T661" i="2"/>
  <c r="AA661" i="2"/>
  <c r="AD661" i="2"/>
  <c r="M662" i="2"/>
  <c r="V662" i="2" s="1"/>
  <c r="AD662" i="2"/>
  <c r="M663" i="2"/>
  <c r="S663" i="2" s="1"/>
  <c r="O663" i="2"/>
  <c r="P663" i="2"/>
  <c r="T663" i="2"/>
  <c r="U663" i="2"/>
  <c r="X663" i="2"/>
  <c r="AA663" i="2"/>
  <c r="AC663" i="2"/>
  <c r="AD663" i="2"/>
  <c r="M664" i="2"/>
  <c r="AA664" i="2" s="1"/>
  <c r="AD664" i="2"/>
  <c r="M665" i="2"/>
  <c r="N665" i="2" s="1"/>
  <c r="AD665" i="2"/>
  <c r="M666" i="2"/>
  <c r="N666" i="2" s="1"/>
  <c r="P666" i="2"/>
  <c r="Q666" i="2"/>
  <c r="T666" i="2"/>
  <c r="U666" i="2"/>
  <c r="X666" i="2"/>
  <c r="Y666" i="2"/>
  <c r="AB666" i="2"/>
  <c r="AC666" i="2"/>
  <c r="AD666" i="2"/>
  <c r="M667" i="2"/>
  <c r="N667" i="2" s="1"/>
  <c r="U667" i="2"/>
  <c r="V667" i="2"/>
  <c r="AD667" i="2"/>
  <c r="M668" i="2"/>
  <c r="O668" i="2" s="1"/>
  <c r="Q668" i="2"/>
  <c r="U668" i="2"/>
  <c r="Y668" i="2"/>
  <c r="AC668" i="2"/>
  <c r="AD668" i="2"/>
  <c r="M669" i="2"/>
  <c r="N669" i="2" s="1"/>
  <c r="V669" i="2"/>
  <c r="AD669" i="2"/>
  <c r="M670" i="2"/>
  <c r="P670" i="2" s="1"/>
  <c r="N670" i="2"/>
  <c r="Q670" i="2"/>
  <c r="R670" i="2"/>
  <c r="U670" i="2"/>
  <c r="V670" i="2"/>
  <c r="Y670" i="2"/>
  <c r="Z670" i="2"/>
  <c r="AB670" i="2"/>
  <c r="AC670" i="2"/>
  <c r="AD670" i="2"/>
  <c r="M671" i="2"/>
  <c r="N671" i="2" s="1"/>
  <c r="AC671" i="2"/>
  <c r="AD671" i="2"/>
  <c r="M672" i="2"/>
  <c r="N672" i="2" s="1"/>
  <c r="O672" i="2"/>
  <c r="Q672" i="2"/>
  <c r="S672" i="2"/>
  <c r="U672" i="2"/>
  <c r="W672" i="2"/>
  <c r="Y672" i="2"/>
  <c r="AA672" i="2"/>
  <c r="AC672" i="2"/>
  <c r="AD672" i="2"/>
  <c r="M673" i="2"/>
  <c r="N673" i="2" s="1"/>
  <c r="AD673" i="2"/>
  <c r="M674" i="2"/>
  <c r="N674" i="2" s="1"/>
  <c r="Q674" i="2"/>
  <c r="S674" i="2"/>
  <c r="W674" i="2"/>
  <c r="X674" i="2"/>
  <c r="AB674" i="2"/>
  <c r="AC674" i="2"/>
  <c r="AD674" i="2"/>
  <c r="M675" i="2"/>
  <c r="N675" i="2" s="1"/>
  <c r="U675" i="2"/>
  <c r="V675" i="2"/>
  <c r="AC675" i="2"/>
  <c r="AD675" i="2"/>
  <c r="M676" i="2"/>
  <c r="N676" i="2" s="1"/>
  <c r="S676" i="2"/>
  <c r="X676" i="2"/>
  <c r="AC676" i="2"/>
  <c r="AD676" i="2"/>
  <c r="M677" i="2"/>
  <c r="N677" i="2" s="1"/>
  <c r="S677" i="2"/>
  <c r="AC677" i="2"/>
  <c r="AD677" i="2"/>
  <c r="M678" i="2"/>
  <c r="O678" i="2" s="1"/>
  <c r="U678" i="2"/>
  <c r="AB678" i="2"/>
  <c r="AD678" i="2"/>
  <c r="M679" i="2"/>
  <c r="S679" i="2"/>
  <c r="AD679" i="2"/>
  <c r="M680" i="2"/>
  <c r="O680" i="2" s="1"/>
  <c r="Q680" i="2"/>
  <c r="U680" i="2"/>
  <c r="X680" i="2"/>
  <c r="AB680" i="2"/>
  <c r="AD680" i="2"/>
  <c r="M681" i="2"/>
  <c r="W681" i="2" s="1"/>
  <c r="N681" i="2"/>
  <c r="Y681" i="2"/>
  <c r="AD681" i="2"/>
  <c r="M682" i="2"/>
  <c r="O682" i="2" s="1"/>
  <c r="Q682" i="2"/>
  <c r="U682" i="2"/>
  <c r="X682" i="2"/>
  <c r="AB682" i="2"/>
  <c r="AD682" i="2"/>
  <c r="M683" i="2"/>
  <c r="R683" i="2" s="1"/>
  <c r="N683" i="2"/>
  <c r="S683" i="2"/>
  <c r="W683" i="2"/>
  <c r="Y683" i="2"/>
  <c r="AD683" i="2"/>
  <c r="M684" i="2"/>
  <c r="O684" i="2" s="1"/>
  <c r="S684" i="2"/>
  <c r="U684" i="2"/>
  <c r="AA684" i="2"/>
  <c r="AB684" i="2"/>
  <c r="AD684" i="2"/>
  <c r="M685" i="2"/>
  <c r="N685" i="2" s="1"/>
  <c r="AC685" i="2"/>
  <c r="AD685" i="2"/>
  <c r="M686" i="2"/>
  <c r="O686" i="2" s="1"/>
  <c r="Q686" i="2"/>
  <c r="U686" i="2"/>
  <c r="X686" i="2"/>
  <c r="AB686" i="2"/>
  <c r="AD686" i="2"/>
  <c r="M687" i="2"/>
  <c r="S687" i="2" s="1"/>
  <c r="AD687" i="2"/>
  <c r="M688" i="2"/>
  <c r="O688" i="2" s="1"/>
  <c r="U688" i="2"/>
  <c r="AB688" i="2"/>
  <c r="AD688" i="2"/>
  <c r="M689" i="2"/>
  <c r="W689" i="2" s="1"/>
  <c r="N689" i="2"/>
  <c r="AD689" i="2"/>
  <c r="M690" i="2"/>
  <c r="O690" i="2" s="1"/>
  <c r="U690" i="2"/>
  <c r="AB690" i="2"/>
  <c r="AD690" i="2"/>
  <c r="M691" i="2"/>
  <c r="R691" i="2" s="1"/>
  <c r="N691" i="2"/>
  <c r="W691" i="2"/>
  <c r="Y691" i="2"/>
  <c r="AD691" i="2"/>
  <c r="M692" i="2"/>
  <c r="O692" i="2" s="1"/>
  <c r="U692" i="2"/>
  <c r="AB692" i="2"/>
  <c r="AD692" i="2"/>
  <c r="M693" i="2"/>
  <c r="N693" i="2" s="1"/>
  <c r="R693" i="2"/>
  <c r="S693" i="2"/>
  <c r="W693" i="2"/>
  <c r="AC693" i="2"/>
  <c r="AD693" i="2"/>
  <c r="M694" i="2"/>
  <c r="O694" i="2" s="1"/>
  <c r="S694" i="2"/>
  <c r="U694" i="2"/>
  <c r="AA694" i="2"/>
  <c r="AB694" i="2"/>
  <c r="AD694" i="2"/>
  <c r="M695" i="2"/>
  <c r="S695" i="2" s="1"/>
  <c r="AD695" i="2"/>
  <c r="M696" i="2"/>
  <c r="O696" i="2" s="1"/>
  <c r="P696" i="2"/>
  <c r="Q696" i="2"/>
  <c r="S696" i="2"/>
  <c r="U696" i="2"/>
  <c r="W696" i="2"/>
  <c r="X696" i="2"/>
  <c r="AA696" i="2"/>
  <c r="AB696" i="2"/>
  <c r="AC696" i="2"/>
  <c r="AD696" i="2"/>
  <c r="M697" i="2"/>
  <c r="AD697" i="2"/>
  <c r="M698" i="2"/>
  <c r="AB698" i="2"/>
  <c r="AD698" i="2"/>
  <c r="M699" i="2"/>
  <c r="N699" i="2"/>
  <c r="R699" i="2"/>
  <c r="S699" i="2"/>
  <c r="W699" i="2"/>
  <c r="Y699" i="2"/>
  <c r="AC699" i="2"/>
  <c r="AD699" i="2"/>
  <c r="M700" i="2"/>
  <c r="O700" i="2" s="1"/>
  <c r="P700" i="2"/>
  <c r="Q700" i="2"/>
  <c r="U700" i="2"/>
  <c r="W700" i="2"/>
  <c r="X700" i="2"/>
  <c r="AB700" i="2"/>
  <c r="AC700" i="2"/>
  <c r="AD700" i="2"/>
  <c r="M701" i="2"/>
  <c r="N701" i="2" s="1"/>
  <c r="S701" i="2"/>
  <c r="V701" i="2"/>
  <c r="Z701" i="2"/>
  <c r="AD701" i="2"/>
  <c r="M702" i="2"/>
  <c r="T702" i="2" s="1"/>
  <c r="AB702" i="2"/>
  <c r="AC702" i="2"/>
  <c r="AD702" i="2"/>
  <c r="M703" i="2"/>
  <c r="P703" i="2" s="1"/>
  <c r="N703" i="2"/>
  <c r="O703" i="2"/>
  <c r="Q703" i="2"/>
  <c r="R703" i="2"/>
  <c r="S703" i="2"/>
  <c r="U703" i="2"/>
  <c r="V703" i="2"/>
  <c r="W703" i="2"/>
  <c r="Y703" i="2"/>
  <c r="Z703" i="2"/>
  <c r="AA703" i="2"/>
  <c r="AB703" i="2"/>
  <c r="AC703" i="2"/>
  <c r="AD703" i="2"/>
  <c r="M704" i="2"/>
  <c r="T704" i="2" s="1"/>
  <c r="U704" i="2"/>
  <c r="AB704" i="2"/>
  <c r="AC704" i="2"/>
  <c r="AD704" i="2"/>
  <c r="M705" i="2"/>
  <c r="P705" i="2" s="1"/>
  <c r="N705" i="2"/>
  <c r="O705" i="2"/>
  <c r="Q705" i="2"/>
  <c r="R705" i="2"/>
  <c r="S705" i="2"/>
  <c r="U705" i="2"/>
  <c r="V705" i="2"/>
  <c r="W705" i="2"/>
  <c r="Y705" i="2"/>
  <c r="Z705" i="2"/>
  <c r="AA705" i="2"/>
  <c r="AC705" i="2"/>
  <c r="AD705" i="2"/>
  <c r="M706" i="2"/>
  <c r="P706" i="2" s="1"/>
  <c r="T706" i="2"/>
  <c r="X706" i="2"/>
  <c r="AB706" i="2"/>
  <c r="AD706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M708" i="2"/>
  <c r="P708" i="2" s="1"/>
  <c r="T708" i="2"/>
  <c r="U708" i="2"/>
  <c r="AB708" i="2"/>
  <c r="AC708" i="2"/>
  <c r="AD708" i="2"/>
  <c r="M709" i="2"/>
  <c r="P709" i="2" s="1"/>
  <c r="N709" i="2"/>
  <c r="O709" i="2"/>
  <c r="Q709" i="2"/>
  <c r="R709" i="2"/>
  <c r="S709" i="2"/>
  <c r="U709" i="2"/>
  <c r="V709" i="2"/>
  <c r="W709" i="2"/>
  <c r="X709" i="2"/>
  <c r="Y709" i="2"/>
  <c r="Z709" i="2"/>
  <c r="AA709" i="2"/>
  <c r="AB709" i="2"/>
  <c r="AC709" i="2"/>
  <c r="AD709" i="2"/>
  <c r="M710" i="2"/>
  <c r="P710" i="2" s="1"/>
  <c r="U710" i="2"/>
  <c r="AC710" i="2"/>
  <c r="AD710" i="2"/>
  <c r="M711" i="2"/>
  <c r="P711" i="2" s="1"/>
  <c r="O711" i="2"/>
  <c r="Q711" i="2"/>
  <c r="S711" i="2"/>
  <c r="U711" i="2"/>
  <c r="W711" i="2"/>
  <c r="Y711" i="2"/>
  <c r="AA711" i="2"/>
  <c r="AC711" i="2"/>
  <c r="AD711" i="2"/>
  <c r="M712" i="2"/>
  <c r="P712" i="2" s="1"/>
  <c r="U712" i="2"/>
  <c r="AC712" i="2"/>
  <c r="AD712" i="2"/>
  <c r="M713" i="2"/>
  <c r="P713" i="2" s="1"/>
  <c r="O713" i="2"/>
  <c r="Q713" i="2"/>
  <c r="S713" i="2"/>
  <c r="U713" i="2"/>
  <c r="W713" i="2"/>
  <c r="Y713" i="2"/>
  <c r="AA713" i="2"/>
  <c r="AC713" i="2"/>
  <c r="AD713" i="2"/>
  <c r="M714" i="2"/>
  <c r="P714" i="2" s="1"/>
  <c r="U714" i="2"/>
  <c r="AC714" i="2"/>
  <c r="AD714" i="2"/>
  <c r="M715" i="2"/>
  <c r="P715" i="2" s="1"/>
  <c r="O715" i="2"/>
  <c r="Q715" i="2"/>
  <c r="S715" i="2"/>
  <c r="U715" i="2"/>
  <c r="W715" i="2"/>
  <c r="Y715" i="2"/>
  <c r="AA715" i="2"/>
  <c r="AC715" i="2"/>
  <c r="AD715" i="2"/>
  <c r="M716" i="2"/>
  <c r="P716" i="2" s="1"/>
  <c r="U716" i="2"/>
  <c r="AC716" i="2"/>
  <c r="AD716" i="2"/>
  <c r="M717" i="2"/>
  <c r="P717" i="2" s="1"/>
  <c r="O717" i="2"/>
  <c r="Q717" i="2"/>
  <c r="S717" i="2"/>
  <c r="U717" i="2"/>
  <c r="W717" i="2"/>
  <c r="Y717" i="2"/>
  <c r="AA717" i="2"/>
  <c r="AC717" i="2"/>
  <c r="AD717" i="2"/>
  <c r="M718" i="2"/>
  <c r="Q718" i="2"/>
  <c r="AC718" i="2"/>
  <c r="AD718" i="2"/>
  <c r="M719" i="2"/>
  <c r="O719" i="2" s="1"/>
  <c r="S719" i="2"/>
  <c r="U719" i="2"/>
  <c r="AA719" i="2"/>
  <c r="AC719" i="2"/>
  <c r="AD719" i="2"/>
  <c r="M720" i="2"/>
  <c r="Q720" i="2"/>
  <c r="AC720" i="2"/>
  <c r="AD720" i="2"/>
  <c r="M721" i="2"/>
  <c r="O721" i="2" s="1"/>
  <c r="S721" i="2"/>
  <c r="U721" i="2"/>
  <c r="AA721" i="2"/>
  <c r="AC721" i="2"/>
  <c r="AD721" i="2"/>
  <c r="M722" i="2"/>
  <c r="Q722" i="2"/>
  <c r="AD722" i="2"/>
  <c r="M723" i="2"/>
  <c r="U723" i="2"/>
  <c r="AC723" i="2"/>
  <c r="AD723" i="2"/>
  <c r="M724" i="2"/>
  <c r="Q724" i="2"/>
  <c r="X724" i="2"/>
  <c r="AC724" i="2"/>
  <c r="AD724" i="2"/>
  <c r="M725" i="2"/>
  <c r="O725" i="2"/>
  <c r="U725" i="2"/>
  <c r="W725" i="2"/>
  <c r="AC725" i="2"/>
  <c r="AD725" i="2"/>
  <c r="M726" i="2"/>
  <c r="Q726" i="2" s="1"/>
  <c r="X726" i="2"/>
  <c r="AC726" i="2"/>
  <c r="AD726" i="2"/>
  <c r="M727" i="2"/>
  <c r="O727" i="2"/>
  <c r="Q727" i="2"/>
  <c r="S727" i="2"/>
  <c r="U727" i="2"/>
  <c r="W727" i="2"/>
  <c r="Y727" i="2"/>
  <c r="AA727" i="2"/>
  <c r="AC727" i="2"/>
  <c r="AD727" i="2"/>
  <c r="M728" i="2"/>
  <c r="AD728" i="2"/>
  <c r="M729" i="2"/>
  <c r="O729" i="2" s="1"/>
  <c r="S729" i="2"/>
  <c r="U729" i="2"/>
  <c r="AA729" i="2"/>
  <c r="AC729" i="2"/>
  <c r="AD729" i="2"/>
  <c r="M730" i="2"/>
  <c r="Q730" i="2"/>
  <c r="AD730" i="2"/>
  <c r="M731" i="2"/>
  <c r="U731" i="2"/>
  <c r="AC731" i="2"/>
  <c r="AD731" i="2"/>
  <c r="M732" i="2"/>
  <c r="Q732" i="2"/>
  <c r="X732" i="2"/>
  <c r="AC732" i="2"/>
  <c r="AD732" i="2"/>
  <c r="M733" i="2"/>
  <c r="O733" i="2"/>
  <c r="W733" i="2"/>
  <c r="Z733" i="2"/>
  <c r="AD733" i="2"/>
  <c r="M734" i="2"/>
  <c r="P734" i="2"/>
  <c r="AD734" i="2"/>
  <c r="M735" i="2"/>
  <c r="O735" i="2" s="1"/>
  <c r="Q735" i="2"/>
  <c r="U735" i="2"/>
  <c r="W735" i="2"/>
  <c r="Z735" i="2"/>
  <c r="AD735" i="2"/>
  <c r="M736" i="2"/>
  <c r="S736" i="2" s="1"/>
  <c r="T736" i="2"/>
  <c r="AA736" i="2"/>
  <c r="AD736" i="2"/>
  <c r="M737" i="2"/>
  <c r="AA737" i="2"/>
  <c r="AD737" i="2"/>
  <c r="M738" i="2"/>
  <c r="O738" i="2"/>
  <c r="P738" i="2"/>
  <c r="T738" i="2"/>
  <c r="U738" i="2"/>
  <c r="X738" i="2"/>
  <c r="AA738" i="2"/>
  <c r="AC738" i="2"/>
  <c r="AD738" i="2"/>
  <c r="M739" i="2"/>
  <c r="R739" i="2"/>
  <c r="W739" i="2"/>
  <c r="AA739" i="2"/>
  <c r="AD739" i="2"/>
  <c r="M740" i="2"/>
  <c r="AD740" i="2"/>
  <c r="M741" i="2"/>
  <c r="V741" i="2" s="1"/>
  <c r="AD741" i="2"/>
  <c r="M742" i="2"/>
  <c r="O742" i="2"/>
  <c r="P742" i="2"/>
  <c r="T742" i="2"/>
  <c r="U742" i="2"/>
  <c r="W742" i="2"/>
  <c r="Y742" i="2"/>
  <c r="AA742" i="2"/>
  <c r="AB742" i="2"/>
  <c r="AD742" i="2"/>
  <c r="M743" i="2"/>
  <c r="R743" i="2" s="1"/>
  <c r="N743" i="2"/>
  <c r="S743" i="2"/>
  <c r="W743" i="2"/>
  <c r="Y743" i="2"/>
  <c r="AD743" i="2"/>
  <c r="M744" i="2"/>
  <c r="W744" i="2"/>
  <c r="AD744" i="2"/>
  <c r="M745" i="2"/>
  <c r="R745" i="2" s="1"/>
  <c r="S745" i="2"/>
  <c r="AC745" i="2"/>
  <c r="AD745" i="2"/>
  <c r="M746" i="2"/>
  <c r="Q746" i="2"/>
  <c r="S746" i="2"/>
  <c r="U746" i="2"/>
  <c r="X746" i="2"/>
  <c r="AA746" i="2"/>
  <c r="AB746" i="2"/>
  <c r="AD746" i="2"/>
  <c r="M747" i="2"/>
  <c r="S747" i="2"/>
  <c r="AD747" i="2"/>
  <c r="M748" i="2"/>
  <c r="P748" i="2" s="1"/>
  <c r="U748" i="2"/>
  <c r="W748" i="2"/>
  <c r="AB748" i="2"/>
  <c r="AC748" i="2"/>
  <c r="AD748" i="2"/>
  <c r="M749" i="2"/>
  <c r="W749" i="2" s="1"/>
  <c r="N749" i="2"/>
  <c r="AD749" i="2"/>
  <c r="M750" i="2"/>
  <c r="O750" i="2" s="1"/>
  <c r="U750" i="2"/>
  <c r="AB750" i="2"/>
  <c r="AD750" i="2"/>
  <c r="M751" i="2"/>
  <c r="R751" i="2" s="1"/>
  <c r="N751" i="2"/>
  <c r="W751" i="2"/>
  <c r="Y751" i="2"/>
  <c r="AD751" i="2"/>
  <c r="M752" i="2"/>
  <c r="O752" i="2" s="1"/>
  <c r="P752" i="2"/>
  <c r="U752" i="2"/>
  <c r="W752" i="2"/>
  <c r="AB752" i="2"/>
  <c r="AC752" i="2"/>
  <c r="AD752" i="2"/>
  <c r="M753" i="2"/>
  <c r="N753" i="2" s="1"/>
  <c r="R753" i="2"/>
  <c r="S753" i="2"/>
  <c r="W753" i="2"/>
  <c r="AC753" i="2"/>
  <c r="AD753" i="2"/>
  <c r="M754" i="2"/>
  <c r="O754" i="2" s="1"/>
  <c r="U754" i="2"/>
  <c r="AB754" i="2"/>
  <c r="AD754" i="2"/>
  <c r="M755" i="2"/>
  <c r="W755" i="2" s="1"/>
  <c r="S755" i="2"/>
  <c r="AD755" i="2"/>
  <c r="M756" i="2"/>
  <c r="O756" i="2" s="1"/>
  <c r="P756" i="2"/>
  <c r="U756" i="2"/>
  <c r="W756" i="2"/>
  <c r="AB756" i="2"/>
  <c r="AC756" i="2"/>
  <c r="AD756" i="2"/>
  <c r="M757" i="2"/>
  <c r="N757" i="2" s="1"/>
  <c r="W757" i="2"/>
  <c r="Y757" i="2"/>
  <c r="AD757" i="2"/>
  <c r="M758" i="2"/>
  <c r="O758" i="2" s="1"/>
  <c r="P758" i="2"/>
  <c r="Q758" i="2"/>
  <c r="U758" i="2"/>
  <c r="W758" i="2"/>
  <c r="X758" i="2"/>
  <c r="AB758" i="2"/>
  <c r="AC758" i="2"/>
  <c r="AD758" i="2"/>
  <c r="M759" i="2"/>
  <c r="N759" i="2"/>
  <c r="R759" i="2"/>
  <c r="S759" i="2"/>
  <c r="W759" i="2"/>
  <c r="Y759" i="2"/>
  <c r="AC759" i="2"/>
  <c r="AD759" i="2"/>
  <c r="M760" i="2"/>
  <c r="O760" i="2" s="1"/>
  <c r="P760" i="2"/>
  <c r="Q760" i="2"/>
  <c r="S760" i="2"/>
  <c r="U760" i="2"/>
  <c r="W760" i="2"/>
  <c r="X760" i="2"/>
  <c r="AA760" i="2"/>
  <c r="AB760" i="2"/>
  <c r="AC760" i="2"/>
  <c r="AD760" i="2"/>
  <c r="M761" i="2"/>
  <c r="N761" i="2" s="1"/>
  <c r="AC761" i="2"/>
  <c r="AD761" i="2"/>
  <c r="M762" i="2"/>
  <c r="O762" i="2" s="1"/>
  <c r="P762" i="2"/>
  <c r="Q762" i="2"/>
  <c r="U762" i="2"/>
  <c r="W762" i="2"/>
  <c r="X762" i="2"/>
  <c r="AB762" i="2"/>
  <c r="AC762" i="2"/>
  <c r="AD762" i="2"/>
  <c r="M763" i="2"/>
  <c r="S763" i="2" s="1"/>
  <c r="W763" i="2"/>
  <c r="AD763" i="2"/>
  <c r="M764" i="2"/>
  <c r="O764" i="2" s="1"/>
  <c r="U764" i="2"/>
  <c r="AB764" i="2"/>
  <c r="AD764" i="2"/>
  <c r="M765" i="2"/>
  <c r="Y765" i="2"/>
  <c r="AD765" i="2"/>
  <c r="M766" i="2"/>
  <c r="O766" i="2" s="1"/>
  <c r="P766" i="2"/>
  <c r="Q766" i="2"/>
  <c r="U766" i="2"/>
  <c r="W766" i="2"/>
  <c r="X766" i="2"/>
  <c r="AB766" i="2"/>
  <c r="AC766" i="2"/>
  <c r="AD766" i="2"/>
  <c r="M767" i="2"/>
  <c r="N767" i="2"/>
  <c r="R767" i="2"/>
  <c r="S767" i="2"/>
  <c r="W767" i="2"/>
  <c r="Y767" i="2"/>
  <c r="AC767" i="2"/>
  <c r="AD767" i="2"/>
  <c r="M768" i="2"/>
  <c r="O768" i="2" s="1"/>
  <c r="Q768" i="2"/>
  <c r="S768" i="2"/>
  <c r="U768" i="2"/>
  <c r="X768" i="2"/>
  <c r="AA768" i="2"/>
  <c r="AB768" i="2"/>
  <c r="AD768" i="2"/>
  <c r="M769" i="2"/>
  <c r="N769" i="2" s="1"/>
  <c r="AC769" i="2"/>
  <c r="AD769" i="2"/>
  <c r="M770" i="2"/>
  <c r="O770" i="2" s="1"/>
  <c r="P770" i="2"/>
  <c r="Q770" i="2"/>
  <c r="U770" i="2"/>
  <c r="W770" i="2"/>
  <c r="X770" i="2"/>
  <c r="AB770" i="2"/>
  <c r="AC770" i="2"/>
  <c r="AD770" i="2"/>
  <c r="M771" i="2"/>
  <c r="AD771" i="2"/>
  <c r="M772" i="2"/>
  <c r="O772" i="2" s="1"/>
  <c r="P772" i="2"/>
  <c r="U772" i="2"/>
  <c r="W772" i="2"/>
  <c r="AB772" i="2"/>
  <c r="AC772" i="2"/>
  <c r="AD772" i="2"/>
  <c r="M773" i="2"/>
  <c r="N773" i="2"/>
  <c r="AD773" i="2"/>
  <c r="M774" i="2"/>
  <c r="O774" i="2" s="1"/>
  <c r="S774" i="2"/>
  <c r="U774" i="2"/>
  <c r="AA774" i="2"/>
  <c r="AB774" i="2"/>
  <c r="AD774" i="2"/>
  <c r="M775" i="2"/>
  <c r="W775" i="2" s="1"/>
  <c r="AD775" i="2"/>
  <c r="M776" i="2"/>
  <c r="AB776" i="2" s="1"/>
  <c r="U776" i="2"/>
  <c r="AD776" i="2"/>
  <c r="M777" i="2"/>
  <c r="N777" i="2" s="1"/>
  <c r="R777" i="2"/>
  <c r="AC777" i="2"/>
  <c r="AD777" i="2"/>
  <c r="M778" i="2"/>
  <c r="O778" i="2" s="1"/>
  <c r="S778" i="2"/>
  <c r="U778" i="2"/>
  <c r="AA778" i="2"/>
  <c r="AB778" i="2"/>
  <c r="AD778" i="2"/>
  <c r="M779" i="2"/>
  <c r="AD779" i="2"/>
  <c r="M780" i="2"/>
  <c r="O780" i="2" s="1"/>
  <c r="P780" i="2"/>
  <c r="Q780" i="2"/>
  <c r="S780" i="2"/>
  <c r="U780" i="2"/>
  <c r="W780" i="2"/>
  <c r="X780" i="2"/>
  <c r="AA780" i="2"/>
  <c r="AB780" i="2"/>
  <c r="AC780" i="2"/>
  <c r="AD780" i="2"/>
  <c r="M781" i="2"/>
  <c r="N781" i="2" s="1"/>
  <c r="Y781" i="2"/>
  <c r="AD781" i="2"/>
  <c r="M782" i="2"/>
  <c r="O782" i="2" s="1"/>
  <c r="Q782" i="2"/>
  <c r="S782" i="2"/>
  <c r="U782" i="2"/>
  <c r="X782" i="2"/>
  <c r="AA782" i="2"/>
  <c r="AB782" i="2"/>
  <c r="AD782" i="2"/>
  <c r="M783" i="2"/>
  <c r="N783" i="2" s="1"/>
  <c r="S783" i="2"/>
  <c r="W783" i="2"/>
  <c r="AD783" i="2"/>
  <c r="M784" i="2"/>
  <c r="O784" i="2" s="1"/>
  <c r="S784" i="2"/>
  <c r="U784" i="2"/>
  <c r="AA784" i="2"/>
  <c r="AB784" i="2"/>
  <c r="AD784" i="2"/>
  <c r="M785" i="2"/>
  <c r="AC785" i="2"/>
  <c r="AD785" i="2"/>
  <c r="M786" i="2"/>
  <c r="O786" i="2" s="1"/>
  <c r="Q786" i="2"/>
  <c r="S786" i="2"/>
  <c r="U786" i="2"/>
  <c r="X786" i="2"/>
  <c r="AA786" i="2"/>
  <c r="AB786" i="2"/>
  <c r="AD786" i="2"/>
  <c r="M787" i="2"/>
  <c r="S787" i="2" s="1"/>
  <c r="AD787" i="2"/>
  <c r="M788" i="2"/>
  <c r="O788" i="2" s="1"/>
  <c r="S788" i="2"/>
  <c r="U788" i="2"/>
  <c r="AA788" i="2"/>
  <c r="AB788" i="2"/>
  <c r="AD788" i="2"/>
  <c r="M789" i="2"/>
  <c r="AD789" i="2"/>
  <c r="M790" i="2"/>
  <c r="P790" i="2" s="1"/>
  <c r="U790" i="2"/>
  <c r="AB790" i="2"/>
  <c r="AD790" i="2"/>
  <c r="M791" i="2"/>
  <c r="N791" i="2"/>
  <c r="R791" i="2"/>
  <c r="S791" i="2"/>
  <c r="W791" i="2"/>
  <c r="Y791" i="2"/>
  <c r="AC791" i="2"/>
  <c r="AD791" i="2"/>
  <c r="M792" i="2"/>
  <c r="O792" i="2" s="1"/>
  <c r="P792" i="2"/>
  <c r="Q792" i="2"/>
  <c r="U792" i="2"/>
  <c r="W792" i="2"/>
  <c r="X792" i="2"/>
  <c r="AB792" i="2"/>
  <c r="AC792" i="2"/>
  <c r="AD792" i="2"/>
  <c r="M793" i="2"/>
  <c r="N793" i="2" s="1"/>
  <c r="S793" i="2"/>
  <c r="W793" i="2"/>
  <c r="AC793" i="2"/>
  <c r="AD793" i="2"/>
  <c r="M794" i="2"/>
  <c r="P794" i="2"/>
  <c r="W794" i="2"/>
  <c r="AB794" i="2"/>
  <c r="AC794" i="2"/>
  <c r="AD794" i="2"/>
  <c r="M795" i="2"/>
  <c r="S795" i="2" s="1"/>
  <c r="W795" i="2"/>
  <c r="AD795" i="2"/>
  <c r="M796" i="2"/>
  <c r="O796" i="2" s="1"/>
  <c r="Q796" i="2"/>
  <c r="S796" i="2"/>
  <c r="U796" i="2"/>
  <c r="X796" i="2"/>
  <c r="AA796" i="2"/>
  <c r="AB796" i="2"/>
  <c r="AD796" i="2"/>
  <c r="M797" i="2"/>
  <c r="Y797" i="2" s="1"/>
  <c r="AD797" i="2"/>
  <c r="M798" i="2"/>
  <c r="P798" i="2"/>
  <c r="W798" i="2"/>
  <c r="AB798" i="2"/>
  <c r="AC798" i="2"/>
  <c r="AD798" i="2"/>
  <c r="M799" i="2"/>
  <c r="S799" i="2" s="1"/>
  <c r="N799" i="2"/>
  <c r="R799" i="2"/>
  <c r="W799" i="2"/>
  <c r="Y799" i="2"/>
  <c r="AC799" i="2"/>
  <c r="AD799" i="2"/>
  <c r="M800" i="2"/>
  <c r="O800" i="2" s="1"/>
  <c r="P800" i="2"/>
  <c r="Q800" i="2"/>
  <c r="U800" i="2"/>
  <c r="W800" i="2"/>
  <c r="X800" i="2"/>
  <c r="AB800" i="2"/>
  <c r="AC800" i="2"/>
  <c r="AD800" i="2"/>
  <c r="M801" i="2"/>
  <c r="N801" i="2" s="1"/>
  <c r="R801" i="2"/>
  <c r="S801" i="2"/>
  <c r="W801" i="2"/>
  <c r="AC801" i="2"/>
  <c r="AD801" i="2"/>
  <c r="M802" i="2"/>
  <c r="W802" i="2" s="1"/>
  <c r="S802" i="2"/>
  <c r="AB802" i="2"/>
  <c r="AD802" i="2"/>
  <c r="M803" i="2"/>
  <c r="AD803" i="2"/>
  <c r="M804" i="2"/>
  <c r="Q804" i="2"/>
  <c r="U804" i="2"/>
  <c r="W804" i="2"/>
  <c r="X804" i="2"/>
  <c r="AA804" i="2"/>
  <c r="AB804" i="2"/>
  <c r="AC804" i="2"/>
  <c r="AD804" i="2"/>
  <c r="M805" i="2"/>
  <c r="N805" i="2"/>
  <c r="AD805" i="2"/>
  <c r="M806" i="2"/>
  <c r="AB806" i="2"/>
  <c r="AD806" i="2"/>
  <c r="M807" i="2"/>
  <c r="N807" i="2"/>
  <c r="R807" i="2"/>
  <c r="S807" i="2"/>
  <c r="W807" i="2"/>
  <c r="Y807" i="2"/>
  <c r="AC807" i="2"/>
  <c r="AD807" i="2"/>
  <c r="M808" i="2"/>
  <c r="O808" i="2" s="1"/>
  <c r="P808" i="2"/>
  <c r="S808" i="2"/>
  <c r="U808" i="2"/>
  <c r="W808" i="2"/>
  <c r="AA808" i="2"/>
  <c r="AB808" i="2"/>
  <c r="AC808" i="2"/>
  <c r="AD808" i="2"/>
  <c r="M809" i="2"/>
  <c r="R809" i="2"/>
  <c r="W809" i="2"/>
  <c r="Z809" i="2"/>
  <c r="AD809" i="2"/>
  <c r="M810" i="2"/>
  <c r="AD810" i="2"/>
  <c r="M811" i="2"/>
  <c r="N811" i="2"/>
  <c r="AD811" i="2"/>
  <c r="M812" i="2"/>
  <c r="AB812" i="2" s="1"/>
  <c r="AD812" i="2"/>
  <c r="M813" i="2"/>
  <c r="O813" i="2"/>
  <c r="AD813" i="2"/>
  <c r="M814" i="2"/>
  <c r="O814" i="2" s="1"/>
  <c r="S814" i="2"/>
  <c r="U814" i="2"/>
  <c r="AA814" i="2"/>
  <c r="AC814" i="2"/>
  <c r="AD814" i="2"/>
  <c r="M815" i="2"/>
  <c r="P815" i="2"/>
  <c r="Z815" i="2"/>
  <c r="AD815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M817" i="2"/>
  <c r="Z817" i="2" s="1"/>
  <c r="N817" i="2"/>
  <c r="AC817" i="2"/>
  <c r="AD817" i="2"/>
  <c r="M818" i="2"/>
  <c r="O818" i="2"/>
  <c r="U818" i="2"/>
  <c r="W818" i="2"/>
  <c r="AC818" i="2"/>
  <c r="AD818" i="2"/>
  <c r="M819" i="2"/>
  <c r="T819" i="2" s="1"/>
  <c r="AD819" i="2"/>
  <c r="M820" i="2"/>
  <c r="O820" i="2"/>
  <c r="U820" i="2"/>
  <c r="W820" i="2"/>
  <c r="AC820" i="2"/>
  <c r="AD820" i="2"/>
  <c r="M821" i="2"/>
  <c r="R821" i="2" s="1"/>
  <c r="X821" i="2"/>
  <c r="Z821" i="2"/>
  <c r="AD821" i="2"/>
  <c r="M822" i="2"/>
  <c r="O822" i="2"/>
  <c r="Q822" i="2"/>
  <c r="S822" i="2"/>
  <c r="U822" i="2"/>
  <c r="W822" i="2"/>
  <c r="Y822" i="2"/>
  <c r="AA822" i="2"/>
  <c r="AC822" i="2"/>
  <c r="AD822" i="2"/>
  <c r="M823" i="2"/>
  <c r="Z823" i="2"/>
  <c r="AD823" i="2"/>
  <c r="M824" i="2"/>
  <c r="O824" i="2" s="1"/>
  <c r="N824" i="2"/>
  <c r="P824" i="2"/>
  <c r="Q824" i="2"/>
  <c r="R824" i="2"/>
  <c r="T824" i="2"/>
  <c r="U824" i="2"/>
  <c r="V824" i="2"/>
  <c r="X824" i="2"/>
  <c r="Y824" i="2"/>
  <c r="Z824" i="2"/>
  <c r="AB824" i="2"/>
  <c r="AC824" i="2"/>
  <c r="AD824" i="2"/>
  <c r="M825" i="2"/>
  <c r="N825" i="2"/>
  <c r="Z825" i="2"/>
  <c r="AC825" i="2"/>
  <c r="AD825" i="2"/>
  <c r="M826" i="2"/>
  <c r="O826" i="2" s="1"/>
  <c r="S826" i="2"/>
  <c r="U826" i="2"/>
  <c r="AA826" i="2"/>
  <c r="AC826" i="2"/>
  <c r="AD826" i="2"/>
  <c r="M827" i="2"/>
  <c r="AD827" i="2"/>
  <c r="M828" i="2"/>
  <c r="O828" i="2" s="1"/>
  <c r="Q828" i="2"/>
  <c r="S828" i="2"/>
  <c r="U828" i="2"/>
  <c r="Y828" i="2"/>
  <c r="AA828" i="2"/>
  <c r="AC828" i="2"/>
  <c r="AD828" i="2"/>
  <c r="M829" i="2"/>
  <c r="R829" i="2"/>
  <c r="AD829" i="2"/>
  <c r="M830" i="2"/>
  <c r="AD830" i="2"/>
  <c r="M831" i="2"/>
  <c r="P831" i="2"/>
  <c r="T831" i="2"/>
  <c r="X831" i="2"/>
  <c r="Z831" i="2"/>
  <c r="AC831" i="2"/>
  <c r="AD831" i="2"/>
  <c r="M832" i="2"/>
  <c r="O832" i="2" s="1"/>
  <c r="Q832" i="2"/>
  <c r="S832" i="2"/>
  <c r="U832" i="2"/>
  <c r="Y832" i="2"/>
  <c r="AA832" i="2"/>
  <c r="AC832" i="2"/>
  <c r="AD832" i="2"/>
  <c r="M833" i="2"/>
  <c r="R833" i="2" s="1"/>
  <c r="AD833" i="2"/>
  <c r="M834" i="2"/>
  <c r="O834" i="2" s="1"/>
  <c r="Q834" i="2"/>
  <c r="S834" i="2"/>
  <c r="U834" i="2"/>
  <c r="Y834" i="2"/>
  <c r="AA834" i="2"/>
  <c r="AC834" i="2"/>
  <c r="AD834" i="2"/>
  <c r="M835" i="2"/>
  <c r="R835" i="2"/>
  <c r="AD835" i="2"/>
  <c r="M836" i="2"/>
  <c r="O836" i="2" s="1"/>
  <c r="N836" i="2"/>
  <c r="P836" i="2"/>
  <c r="Q836" i="2"/>
  <c r="R836" i="2"/>
  <c r="T836" i="2"/>
  <c r="U836" i="2"/>
  <c r="V836" i="2"/>
  <c r="X836" i="2"/>
  <c r="Y836" i="2"/>
  <c r="Z836" i="2"/>
  <c r="AB836" i="2"/>
  <c r="AC836" i="2"/>
  <c r="AD836" i="2"/>
  <c r="M837" i="2"/>
  <c r="AD837" i="2"/>
  <c r="M838" i="2"/>
  <c r="O838" i="2" s="1"/>
  <c r="N838" i="2"/>
  <c r="P838" i="2"/>
  <c r="Q838" i="2"/>
  <c r="R838" i="2"/>
  <c r="T838" i="2"/>
  <c r="U838" i="2"/>
  <c r="V838" i="2"/>
  <c r="X838" i="2"/>
  <c r="Y838" i="2"/>
  <c r="Z838" i="2"/>
  <c r="AB838" i="2"/>
  <c r="AC838" i="2"/>
  <c r="AD838" i="2"/>
  <c r="M839" i="2"/>
  <c r="Q839" i="2"/>
  <c r="R839" i="2"/>
  <c r="X839" i="2"/>
  <c r="AB839" i="2"/>
  <c r="AC839" i="2"/>
  <c r="AD839" i="2"/>
  <c r="M840" i="2"/>
  <c r="U840" i="2" s="1"/>
  <c r="AD840" i="2"/>
  <c r="M841" i="2"/>
  <c r="R841" i="2" s="1"/>
  <c r="AD841" i="2"/>
  <c r="M842" i="2"/>
  <c r="U842" i="2"/>
  <c r="AD842" i="2"/>
  <c r="M843" i="2"/>
  <c r="R843" i="2"/>
  <c r="AB843" i="2"/>
  <c r="AD843" i="2"/>
  <c r="M844" i="2"/>
  <c r="O844" i="2" s="1"/>
  <c r="N844" i="2"/>
  <c r="P844" i="2"/>
  <c r="Q844" i="2"/>
  <c r="R844" i="2"/>
  <c r="T844" i="2"/>
  <c r="U844" i="2"/>
  <c r="V844" i="2"/>
  <c r="X844" i="2"/>
  <c r="Y844" i="2"/>
  <c r="Z844" i="2"/>
  <c r="AB844" i="2"/>
  <c r="AC844" i="2"/>
  <c r="AD844" i="2"/>
  <c r="M845" i="2"/>
  <c r="AD845" i="2"/>
  <c r="M846" i="2"/>
  <c r="O846" i="2" s="1"/>
  <c r="N846" i="2"/>
  <c r="P846" i="2"/>
  <c r="Q846" i="2"/>
  <c r="R846" i="2"/>
  <c r="T846" i="2"/>
  <c r="U846" i="2"/>
  <c r="V846" i="2"/>
  <c r="X846" i="2"/>
  <c r="Y846" i="2"/>
  <c r="Z846" i="2"/>
  <c r="AB846" i="2"/>
  <c r="AC846" i="2"/>
  <c r="AD846" i="2"/>
  <c r="M847" i="2"/>
  <c r="R847" i="2" s="1"/>
  <c r="Q847" i="2"/>
  <c r="X847" i="2"/>
  <c r="AB847" i="2"/>
  <c r="AC847" i="2"/>
  <c r="AD847" i="2"/>
  <c r="M848" i="2"/>
  <c r="O848" i="2"/>
  <c r="Q848" i="2"/>
  <c r="S848" i="2"/>
  <c r="U848" i="2"/>
  <c r="W848" i="2"/>
  <c r="Y848" i="2"/>
  <c r="Z848" i="2"/>
  <c r="AA848" i="2"/>
  <c r="AC848" i="2"/>
  <c r="AD848" i="2"/>
  <c r="M849" i="2"/>
  <c r="R849" i="2" s="1"/>
  <c r="AD849" i="2"/>
  <c r="M850" i="2"/>
  <c r="N850" i="2"/>
  <c r="R850" i="2"/>
  <c r="S850" i="2"/>
  <c r="W850" i="2"/>
  <c r="Y850" i="2"/>
  <c r="AC850" i="2"/>
  <c r="AD850" i="2"/>
  <c r="M851" i="2"/>
  <c r="R851" i="2" s="1"/>
  <c r="X851" i="2"/>
  <c r="AB851" i="2"/>
  <c r="AD851" i="2"/>
  <c r="M852" i="2"/>
  <c r="N852" i="2"/>
  <c r="P852" i="2"/>
  <c r="Q852" i="2"/>
  <c r="R852" i="2"/>
  <c r="T852" i="2"/>
  <c r="U852" i="2"/>
  <c r="V852" i="2"/>
  <c r="X852" i="2"/>
  <c r="Y852" i="2"/>
  <c r="Z852" i="2"/>
  <c r="AB852" i="2"/>
  <c r="AC852" i="2"/>
  <c r="AD852" i="2"/>
  <c r="M853" i="2"/>
  <c r="AD853" i="2"/>
  <c r="M854" i="2"/>
  <c r="P854" i="2" s="1"/>
  <c r="N854" i="2"/>
  <c r="O854" i="2"/>
  <c r="Q854" i="2"/>
  <c r="R854" i="2"/>
  <c r="S854" i="2"/>
  <c r="U854" i="2"/>
  <c r="V854" i="2"/>
  <c r="W854" i="2"/>
  <c r="Y854" i="2"/>
  <c r="Z854" i="2"/>
  <c r="AA854" i="2"/>
  <c r="AC854" i="2"/>
  <c r="AD854" i="2"/>
  <c r="M855" i="2"/>
  <c r="AB855" i="2"/>
  <c r="AD855" i="2"/>
  <c r="M856" i="2"/>
  <c r="O856" i="2" s="1"/>
  <c r="N856" i="2"/>
  <c r="Q856" i="2"/>
  <c r="R856" i="2"/>
  <c r="U856" i="2"/>
  <c r="V856" i="2"/>
  <c r="Y856" i="2"/>
  <c r="Z856" i="2"/>
  <c r="AC856" i="2"/>
  <c r="AD856" i="2"/>
  <c r="M857" i="2"/>
  <c r="R857" i="2" s="1"/>
  <c r="AD857" i="2"/>
  <c r="M858" i="2"/>
  <c r="O858" i="2" s="1"/>
  <c r="N858" i="2"/>
  <c r="Q858" i="2"/>
  <c r="R858" i="2"/>
  <c r="U858" i="2"/>
  <c r="V858" i="2"/>
  <c r="Y858" i="2"/>
  <c r="Z858" i="2"/>
  <c r="AC858" i="2"/>
  <c r="AD858" i="2"/>
  <c r="M859" i="2"/>
  <c r="Q859" i="2" s="1"/>
  <c r="R859" i="2"/>
  <c r="X859" i="2"/>
  <c r="AB859" i="2"/>
  <c r="AD859" i="2"/>
  <c r="M860" i="2"/>
  <c r="AC860" i="2"/>
  <c r="AD860" i="2"/>
  <c r="M861" i="2"/>
  <c r="AD861" i="2"/>
  <c r="M862" i="2"/>
  <c r="AC862" i="2"/>
  <c r="AD862" i="2"/>
  <c r="M863" i="2"/>
  <c r="X863" i="2" s="1"/>
  <c r="Q863" i="2"/>
  <c r="R863" i="2"/>
  <c r="AB863" i="2"/>
  <c r="AC863" i="2"/>
  <c r="AD863" i="2"/>
  <c r="M864" i="2"/>
  <c r="N864" i="2" s="1"/>
  <c r="O864" i="2"/>
  <c r="P864" i="2"/>
  <c r="Q864" i="2"/>
  <c r="S864" i="2"/>
  <c r="T864" i="2"/>
  <c r="U864" i="2"/>
  <c r="W864" i="2"/>
  <c r="X864" i="2"/>
  <c r="Y864" i="2"/>
  <c r="AA864" i="2"/>
  <c r="AB864" i="2"/>
  <c r="AC864" i="2"/>
  <c r="AD864" i="2"/>
  <c r="M865" i="2"/>
  <c r="R865" i="2" s="1"/>
  <c r="AD865" i="2"/>
  <c r="M866" i="2"/>
  <c r="N866" i="2" s="1"/>
  <c r="O866" i="2"/>
  <c r="P866" i="2"/>
  <c r="Q866" i="2"/>
  <c r="S866" i="2"/>
  <c r="T866" i="2"/>
  <c r="U866" i="2"/>
  <c r="W866" i="2"/>
  <c r="X866" i="2"/>
  <c r="Y866" i="2"/>
  <c r="AA866" i="2"/>
  <c r="AB866" i="2"/>
  <c r="AC866" i="2"/>
  <c r="AD866" i="2"/>
  <c r="M867" i="2"/>
  <c r="R867" i="2" s="1"/>
  <c r="Q867" i="2"/>
  <c r="AB867" i="2"/>
  <c r="AC867" i="2"/>
  <c r="AD867" i="2"/>
  <c r="M868" i="2"/>
  <c r="P868" i="2" s="1"/>
  <c r="N868" i="2"/>
  <c r="O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M869" i="2"/>
  <c r="AD869" i="2"/>
  <c r="M870" i="2"/>
  <c r="N870" i="2" s="1"/>
  <c r="O870" i="2"/>
  <c r="P870" i="2"/>
  <c r="S870" i="2"/>
  <c r="T870" i="2"/>
  <c r="U870" i="2"/>
  <c r="X870" i="2"/>
  <c r="Y870" i="2"/>
  <c r="AA870" i="2"/>
  <c r="AC870" i="2"/>
  <c r="AD870" i="2"/>
  <c r="M871" i="2"/>
  <c r="AC871" i="2" s="1"/>
  <c r="AD871" i="2"/>
  <c r="M872" i="2"/>
  <c r="N872" i="2" s="1"/>
  <c r="P872" i="2"/>
  <c r="S872" i="2"/>
  <c r="U872" i="2"/>
  <c r="X872" i="2"/>
  <c r="AA872" i="2"/>
  <c r="AC872" i="2"/>
  <c r="AD872" i="2"/>
  <c r="M873" i="2"/>
  <c r="AD873" i="2"/>
  <c r="M874" i="2"/>
  <c r="N874" i="2" s="1"/>
  <c r="P874" i="2"/>
  <c r="S874" i="2"/>
  <c r="U874" i="2"/>
  <c r="X874" i="2"/>
  <c r="AA874" i="2"/>
  <c r="AC874" i="2"/>
  <c r="AD874" i="2"/>
  <c r="M875" i="2"/>
  <c r="AC875" i="2"/>
  <c r="AD875" i="2"/>
  <c r="M876" i="2"/>
  <c r="N876" i="2" s="1"/>
  <c r="P876" i="2"/>
  <c r="S876" i="2"/>
  <c r="U876" i="2"/>
  <c r="X876" i="2"/>
  <c r="AA876" i="2"/>
  <c r="AC876" i="2"/>
  <c r="AD876" i="2"/>
  <c r="M877" i="2"/>
  <c r="W877" i="2"/>
  <c r="AD877" i="2"/>
  <c r="M878" i="2"/>
  <c r="S878" i="2" s="1"/>
  <c r="AC878" i="2"/>
  <c r="AD878" i="2"/>
  <c r="M879" i="2"/>
  <c r="S879" i="2" s="1"/>
  <c r="R879" i="2"/>
  <c r="W879" i="2"/>
  <c r="AC879" i="2"/>
  <c r="AD879" i="2"/>
  <c r="M880" i="2"/>
  <c r="Q880" i="2" s="1"/>
  <c r="P880" i="2"/>
  <c r="S880" i="2"/>
  <c r="U880" i="2"/>
  <c r="X880" i="2"/>
  <c r="AA880" i="2"/>
  <c r="AC880" i="2"/>
  <c r="AD880" i="2"/>
  <c r="M881" i="2"/>
  <c r="W881" i="2"/>
  <c r="AD881" i="2"/>
  <c r="M882" i="2"/>
  <c r="S882" i="2"/>
  <c r="X882" i="2"/>
  <c r="AC882" i="2"/>
  <c r="AD882" i="2"/>
  <c r="M883" i="2"/>
  <c r="S883" i="2" s="1"/>
  <c r="R883" i="2"/>
  <c r="W883" i="2"/>
  <c r="AC883" i="2"/>
  <c r="AD883" i="2"/>
  <c r="M884" i="2"/>
  <c r="Q884" i="2" s="1"/>
  <c r="P884" i="2"/>
  <c r="S884" i="2"/>
  <c r="U884" i="2"/>
  <c r="X884" i="2"/>
  <c r="AA884" i="2"/>
  <c r="AC884" i="2"/>
  <c r="AD884" i="2"/>
  <c r="M885" i="2"/>
  <c r="AD885" i="2"/>
  <c r="M886" i="2"/>
  <c r="S886" i="2"/>
  <c r="AD886" i="2"/>
  <c r="M887" i="2"/>
  <c r="S887" i="2" s="1"/>
  <c r="R887" i="2"/>
  <c r="W887" i="2"/>
  <c r="AC887" i="2"/>
  <c r="AD887" i="2"/>
  <c r="M888" i="2"/>
  <c r="Q888" i="2" s="1"/>
  <c r="P888" i="2"/>
  <c r="S888" i="2"/>
  <c r="U888" i="2"/>
  <c r="X888" i="2"/>
  <c r="AA888" i="2"/>
  <c r="AC888" i="2"/>
  <c r="AD888" i="2"/>
  <c r="M889" i="2"/>
  <c r="W889" i="2" s="1"/>
  <c r="AD889" i="2"/>
  <c r="M890" i="2"/>
  <c r="AD890" i="2"/>
  <c r="M891" i="2"/>
  <c r="S891" i="2" s="1"/>
  <c r="R891" i="2"/>
  <c r="W891" i="2"/>
  <c r="AC891" i="2"/>
  <c r="AD891" i="2"/>
  <c r="M892" i="2"/>
  <c r="P892" i="2"/>
  <c r="S892" i="2"/>
  <c r="U892" i="2"/>
  <c r="X892" i="2"/>
  <c r="AA892" i="2"/>
  <c r="AC892" i="2"/>
  <c r="AD892" i="2"/>
  <c r="M893" i="2"/>
  <c r="R893" i="2" s="1"/>
  <c r="W893" i="2"/>
  <c r="AC893" i="2"/>
  <c r="AD893" i="2"/>
  <c r="M894" i="2"/>
  <c r="P894" i="2"/>
  <c r="X894" i="2"/>
  <c r="AA894" i="2"/>
  <c r="AD894" i="2"/>
  <c r="M895" i="2"/>
  <c r="R895" i="2"/>
  <c r="AD895" i="2"/>
  <c r="M896" i="2"/>
  <c r="X896" i="2"/>
  <c r="AD896" i="2"/>
  <c r="M897" i="2"/>
  <c r="AD897" i="2"/>
  <c r="M898" i="2"/>
  <c r="Q898" i="2" s="1"/>
  <c r="U898" i="2"/>
  <c r="X898" i="2"/>
  <c r="AB898" i="2"/>
  <c r="AD898" i="2"/>
  <c r="M899" i="2"/>
  <c r="R899" i="2" s="1"/>
  <c r="N899" i="2"/>
  <c r="S899" i="2"/>
  <c r="W899" i="2"/>
  <c r="Y899" i="2"/>
  <c r="AD899" i="2"/>
  <c r="M900" i="2"/>
  <c r="O900" i="2" s="1"/>
  <c r="P900" i="2"/>
  <c r="S900" i="2"/>
  <c r="U900" i="2"/>
  <c r="W900" i="2"/>
  <c r="AA900" i="2"/>
  <c r="AB900" i="2"/>
  <c r="AC900" i="2"/>
  <c r="AD900" i="2"/>
  <c r="M901" i="2"/>
  <c r="R901" i="2"/>
  <c r="W901" i="2"/>
  <c r="AC901" i="2"/>
  <c r="AD901" i="2"/>
  <c r="M902" i="2"/>
  <c r="Q902" i="2"/>
  <c r="AB902" i="2"/>
  <c r="AD902" i="2"/>
  <c r="M903" i="2"/>
  <c r="N903" i="2"/>
  <c r="R903" i="2"/>
  <c r="S903" i="2"/>
  <c r="W903" i="2"/>
  <c r="Y903" i="2"/>
  <c r="AC903" i="2"/>
  <c r="AD903" i="2"/>
  <c r="M904" i="2"/>
  <c r="O904" i="2" s="1"/>
  <c r="P904" i="2"/>
  <c r="Q904" i="2"/>
  <c r="S904" i="2"/>
  <c r="U904" i="2"/>
  <c r="W904" i="2"/>
  <c r="X904" i="2"/>
  <c r="AA904" i="2"/>
  <c r="AB904" i="2"/>
  <c r="AC904" i="2"/>
  <c r="AD904" i="2"/>
  <c r="M905" i="2"/>
  <c r="AD905" i="2"/>
  <c r="M906" i="2"/>
  <c r="Q906" i="2" s="1"/>
  <c r="U906" i="2"/>
  <c r="X906" i="2"/>
  <c r="AB906" i="2"/>
  <c r="AD906" i="2"/>
  <c r="M907" i="2"/>
  <c r="R907" i="2" s="1"/>
  <c r="N907" i="2"/>
  <c r="S907" i="2"/>
  <c r="W907" i="2"/>
  <c r="Y907" i="2"/>
  <c r="AD907" i="2"/>
  <c r="M908" i="2"/>
  <c r="O908" i="2" s="1"/>
  <c r="P908" i="2"/>
  <c r="S908" i="2"/>
  <c r="U908" i="2"/>
  <c r="W908" i="2"/>
  <c r="AA908" i="2"/>
  <c r="AB908" i="2"/>
  <c r="AC908" i="2"/>
  <c r="AD908" i="2"/>
  <c r="M909" i="2"/>
  <c r="R909" i="2"/>
  <c r="W909" i="2"/>
  <c r="AC909" i="2"/>
  <c r="AD909" i="2"/>
  <c r="M910" i="2"/>
  <c r="Q910" i="2"/>
  <c r="AB910" i="2"/>
  <c r="AD910" i="2"/>
  <c r="M911" i="2"/>
  <c r="N911" i="2"/>
  <c r="R911" i="2"/>
  <c r="S911" i="2"/>
  <c r="W911" i="2"/>
  <c r="Y911" i="2"/>
  <c r="AC911" i="2"/>
  <c r="AD911" i="2"/>
  <c r="M912" i="2"/>
  <c r="O912" i="2" s="1"/>
  <c r="P912" i="2"/>
  <c r="Q912" i="2"/>
  <c r="S912" i="2"/>
  <c r="U912" i="2"/>
  <c r="W912" i="2"/>
  <c r="X912" i="2"/>
  <c r="AA912" i="2"/>
  <c r="AB912" i="2"/>
  <c r="AC912" i="2"/>
  <c r="AD912" i="2"/>
  <c r="M913" i="2"/>
  <c r="AD913" i="2"/>
  <c r="M914" i="2"/>
  <c r="Q914" i="2" s="1"/>
  <c r="U914" i="2"/>
  <c r="X914" i="2"/>
  <c r="AB914" i="2"/>
  <c r="AD914" i="2"/>
  <c r="M915" i="2"/>
  <c r="R915" i="2" s="1"/>
  <c r="N915" i="2"/>
  <c r="S915" i="2"/>
  <c r="W915" i="2"/>
  <c r="Y915" i="2"/>
  <c r="AD915" i="2"/>
  <c r="M916" i="2"/>
  <c r="O916" i="2" s="1"/>
  <c r="P916" i="2"/>
  <c r="S916" i="2"/>
  <c r="U916" i="2"/>
  <c r="W916" i="2"/>
  <c r="AA916" i="2"/>
  <c r="AB916" i="2"/>
  <c r="AC916" i="2"/>
  <c r="AD916" i="2"/>
  <c r="M917" i="2"/>
  <c r="R917" i="2"/>
  <c r="W917" i="2"/>
  <c r="AC917" i="2"/>
  <c r="AD917" i="2"/>
  <c r="M918" i="2"/>
  <c r="Q918" i="2"/>
  <c r="AB918" i="2"/>
  <c r="AD918" i="2"/>
  <c r="M919" i="2"/>
  <c r="N919" i="2"/>
  <c r="R919" i="2"/>
  <c r="S919" i="2"/>
  <c r="W919" i="2"/>
  <c r="Y919" i="2"/>
  <c r="AC919" i="2"/>
  <c r="AD919" i="2"/>
  <c r="M920" i="2"/>
  <c r="O920" i="2" s="1"/>
  <c r="P920" i="2"/>
  <c r="Q920" i="2"/>
  <c r="S920" i="2"/>
  <c r="U920" i="2"/>
  <c r="W920" i="2"/>
  <c r="X920" i="2"/>
  <c r="AA920" i="2"/>
  <c r="AB920" i="2"/>
  <c r="AC920" i="2"/>
  <c r="AD920" i="2"/>
  <c r="M921" i="2"/>
  <c r="AD921" i="2"/>
  <c r="M922" i="2"/>
  <c r="Q922" i="2" s="1"/>
  <c r="X922" i="2"/>
  <c r="AB922" i="2"/>
  <c r="AD922" i="2"/>
  <c r="M923" i="2"/>
  <c r="R923" i="2" s="1"/>
  <c r="N923" i="2"/>
  <c r="S923" i="2"/>
  <c r="W923" i="2"/>
  <c r="Y923" i="2"/>
  <c r="AD923" i="2"/>
  <c r="M924" i="2"/>
  <c r="O924" i="2" s="1"/>
  <c r="P924" i="2"/>
  <c r="S924" i="2"/>
  <c r="U924" i="2"/>
  <c r="W924" i="2"/>
  <c r="AA924" i="2"/>
  <c r="AB924" i="2"/>
  <c r="AC924" i="2"/>
  <c r="AD924" i="2"/>
  <c r="M925" i="2"/>
  <c r="S925" i="2" s="1"/>
  <c r="R925" i="2"/>
  <c r="W925" i="2"/>
  <c r="Y925" i="2"/>
  <c r="AD925" i="2"/>
  <c r="M926" i="2"/>
  <c r="P926" i="2" s="1"/>
  <c r="U926" i="2"/>
  <c r="W926" i="2"/>
  <c r="AC926" i="2"/>
  <c r="AD926" i="2"/>
  <c r="M927" i="2"/>
  <c r="N927" i="2"/>
  <c r="R927" i="2"/>
  <c r="S927" i="2"/>
  <c r="W927" i="2"/>
  <c r="Y927" i="2"/>
  <c r="AC927" i="2"/>
  <c r="AD927" i="2"/>
  <c r="M928" i="2"/>
  <c r="O928" i="2" s="1"/>
  <c r="P928" i="2"/>
  <c r="Q928" i="2"/>
  <c r="S928" i="2"/>
  <c r="U928" i="2"/>
  <c r="W928" i="2"/>
  <c r="X928" i="2"/>
  <c r="AA928" i="2"/>
  <c r="AB928" i="2"/>
  <c r="AC928" i="2"/>
  <c r="AD928" i="2"/>
  <c r="M929" i="2"/>
  <c r="R929" i="2" s="1"/>
  <c r="W929" i="2"/>
  <c r="AC929" i="2"/>
  <c r="AD929" i="2"/>
  <c r="M930" i="2"/>
  <c r="Q930" i="2"/>
  <c r="S930" i="2"/>
  <c r="X930" i="2"/>
  <c r="AA930" i="2"/>
  <c r="AB930" i="2"/>
  <c r="AD930" i="2"/>
  <c r="M931" i="2"/>
  <c r="N931" i="2"/>
  <c r="S931" i="2"/>
  <c r="Y931" i="2"/>
  <c r="AD931" i="2"/>
  <c r="M932" i="2"/>
  <c r="P932" i="2" s="1"/>
  <c r="U932" i="2"/>
  <c r="W932" i="2"/>
  <c r="AC932" i="2"/>
  <c r="AD932" i="2"/>
  <c r="M933" i="2"/>
  <c r="S933" i="2" s="1"/>
  <c r="N933" i="2"/>
  <c r="R933" i="2"/>
  <c r="W933" i="2"/>
  <c r="Y933" i="2"/>
  <c r="AC933" i="2"/>
  <c r="AD933" i="2"/>
  <c r="M934" i="2"/>
  <c r="P934" i="2" s="1"/>
  <c r="U934" i="2"/>
  <c r="W934" i="2"/>
  <c r="AC934" i="2"/>
  <c r="AD934" i="2"/>
  <c r="M935" i="2"/>
  <c r="N935" i="2"/>
  <c r="R935" i="2"/>
  <c r="S935" i="2"/>
  <c r="W935" i="2"/>
  <c r="Y935" i="2"/>
  <c r="AC935" i="2"/>
  <c r="AD935" i="2"/>
  <c r="M936" i="2"/>
  <c r="O936" i="2" s="1"/>
  <c r="P936" i="2"/>
  <c r="Q936" i="2"/>
  <c r="S936" i="2"/>
  <c r="U936" i="2"/>
  <c r="W936" i="2"/>
  <c r="X936" i="2"/>
  <c r="AA936" i="2"/>
  <c r="AB936" i="2"/>
  <c r="AC936" i="2"/>
  <c r="AD936" i="2"/>
  <c r="M937" i="2"/>
  <c r="R937" i="2" s="1"/>
  <c r="W937" i="2"/>
  <c r="AC937" i="2"/>
  <c r="AD937" i="2"/>
  <c r="M938" i="2"/>
  <c r="Q938" i="2"/>
  <c r="S938" i="2"/>
  <c r="W938" i="2"/>
  <c r="X938" i="2"/>
  <c r="AA938" i="2"/>
  <c r="AC938" i="2"/>
  <c r="AD938" i="2"/>
  <c r="M939" i="2"/>
  <c r="N939" i="2" s="1"/>
  <c r="S939" i="2"/>
  <c r="W939" i="2"/>
  <c r="AD939" i="2"/>
  <c r="M940" i="2"/>
  <c r="O940" i="2" s="1"/>
  <c r="S940" i="2"/>
  <c r="U940" i="2"/>
  <c r="AA940" i="2"/>
  <c r="AB940" i="2"/>
  <c r="AD940" i="2"/>
  <c r="M941" i="2"/>
  <c r="AD941" i="2"/>
  <c r="M942" i="2"/>
  <c r="U942" i="2"/>
  <c r="AD942" i="2"/>
  <c r="M943" i="2"/>
  <c r="S943" i="2" s="1"/>
  <c r="N943" i="2"/>
  <c r="R943" i="2"/>
  <c r="W943" i="2"/>
  <c r="Y943" i="2"/>
  <c r="AC943" i="2"/>
  <c r="AD943" i="2"/>
  <c r="M944" i="2"/>
  <c r="O944" i="2" s="1"/>
  <c r="P944" i="2"/>
  <c r="Q944" i="2"/>
  <c r="U944" i="2"/>
  <c r="W944" i="2"/>
  <c r="X944" i="2"/>
  <c r="AB944" i="2"/>
  <c r="AC944" i="2"/>
  <c r="AD944" i="2"/>
  <c r="M945" i="2"/>
  <c r="N945" i="2"/>
  <c r="R945" i="2"/>
  <c r="S945" i="2"/>
  <c r="W945" i="2"/>
  <c r="Y945" i="2"/>
  <c r="AC945" i="2"/>
  <c r="AD945" i="2"/>
  <c r="M946" i="2"/>
  <c r="O946" i="2" s="1"/>
  <c r="P946" i="2"/>
  <c r="Q946" i="2"/>
  <c r="S946" i="2"/>
  <c r="U946" i="2"/>
  <c r="W946" i="2"/>
  <c r="X946" i="2"/>
  <c r="AA946" i="2"/>
  <c r="AB946" i="2"/>
  <c r="AC946" i="2"/>
  <c r="AD946" i="2"/>
  <c r="M947" i="2"/>
  <c r="N947" i="2" s="1"/>
  <c r="S947" i="2"/>
  <c r="W947" i="2"/>
  <c r="AD947" i="2"/>
  <c r="M948" i="2"/>
  <c r="O948" i="2" s="1"/>
  <c r="S948" i="2"/>
  <c r="U948" i="2"/>
  <c r="AA948" i="2"/>
  <c r="AB948" i="2"/>
  <c r="AD948" i="2"/>
  <c r="M949" i="2"/>
  <c r="AD949" i="2"/>
  <c r="M950" i="2"/>
  <c r="U950" i="2"/>
  <c r="AD950" i="2"/>
  <c r="M951" i="2"/>
  <c r="S951" i="2" s="1"/>
  <c r="N951" i="2"/>
  <c r="R951" i="2"/>
  <c r="W951" i="2"/>
  <c r="Y951" i="2"/>
  <c r="AC951" i="2"/>
  <c r="AD951" i="2"/>
  <c r="M952" i="2"/>
  <c r="O952" i="2" s="1"/>
  <c r="P952" i="2"/>
  <c r="Q952" i="2"/>
  <c r="U952" i="2"/>
  <c r="W952" i="2"/>
  <c r="X952" i="2"/>
  <c r="AB952" i="2"/>
  <c r="AC952" i="2"/>
  <c r="AD952" i="2"/>
  <c r="M953" i="2"/>
  <c r="N953" i="2"/>
  <c r="R953" i="2"/>
  <c r="S953" i="2"/>
  <c r="W953" i="2"/>
  <c r="Y953" i="2"/>
  <c r="AC953" i="2"/>
  <c r="AD953" i="2"/>
  <c r="M954" i="2"/>
  <c r="O954" i="2" s="1"/>
  <c r="P954" i="2"/>
  <c r="Q954" i="2"/>
  <c r="S954" i="2"/>
  <c r="U954" i="2"/>
  <c r="W954" i="2"/>
  <c r="X954" i="2"/>
  <c r="AA954" i="2"/>
  <c r="AB954" i="2"/>
  <c r="AC954" i="2"/>
  <c r="AD954" i="2"/>
  <c r="M955" i="2"/>
  <c r="N955" i="2" s="1"/>
  <c r="S955" i="2"/>
  <c r="W955" i="2"/>
  <c r="AD955" i="2"/>
  <c r="M956" i="2"/>
  <c r="O956" i="2" s="1"/>
  <c r="S956" i="2"/>
  <c r="U956" i="2"/>
  <c r="AA956" i="2"/>
  <c r="AB956" i="2"/>
  <c r="AD956" i="2"/>
  <c r="M957" i="2"/>
  <c r="AD957" i="2"/>
  <c r="M958" i="2"/>
  <c r="U958" i="2"/>
  <c r="AD958" i="2"/>
  <c r="M959" i="2"/>
  <c r="S959" i="2" s="1"/>
  <c r="N959" i="2"/>
  <c r="R959" i="2"/>
  <c r="W959" i="2"/>
  <c r="Y959" i="2"/>
  <c r="AC959" i="2"/>
  <c r="AD959" i="2"/>
  <c r="M960" i="2"/>
  <c r="O960" i="2" s="1"/>
  <c r="P960" i="2"/>
  <c r="Q960" i="2"/>
  <c r="U960" i="2"/>
  <c r="W960" i="2"/>
  <c r="X960" i="2"/>
  <c r="AB960" i="2"/>
  <c r="AC960" i="2"/>
  <c r="AD960" i="2"/>
  <c r="M961" i="2"/>
  <c r="N961" i="2"/>
  <c r="R961" i="2"/>
  <c r="S961" i="2"/>
  <c r="W961" i="2"/>
  <c r="Y961" i="2"/>
  <c r="AC961" i="2"/>
  <c r="AD961" i="2"/>
  <c r="M962" i="2"/>
  <c r="O962" i="2" s="1"/>
  <c r="P962" i="2"/>
  <c r="Q962" i="2"/>
  <c r="S962" i="2"/>
  <c r="U962" i="2"/>
  <c r="W962" i="2"/>
  <c r="X962" i="2"/>
  <c r="AA962" i="2"/>
  <c r="AB962" i="2"/>
  <c r="AC962" i="2"/>
  <c r="AD962" i="2"/>
  <c r="M963" i="2"/>
  <c r="N963" i="2" s="1"/>
  <c r="S963" i="2"/>
  <c r="W963" i="2"/>
  <c r="AD963" i="2"/>
  <c r="M964" i="2"/>
  <c r="O964" i="2" s="1"/>
  <c r="S964" i="2"/>
  <c r="U964" i="2"/>
  <c r="AA964" i="2"/>
  <c r="AB964" i="2"/>
  <c r="AD964" i="2"/>
  <c r="M965" i="2"/>
  <c r="AD965" i="2"/>
  <c r="M966" i="2"/>
  <c r="U966" i="2"/>
  <c r="AD966" i="2"/>
  <c r="M967" i="2"/>
  <c r="S967" i="2" s="1"/>
  <c r="N967" i="2"/>
  <c r="R967" i="2"/>
  <c r="W967" i="2"/>
  <c r="Y967" i="2"/>
  <c r="AC967" i="2"/>
  <c r="AD967" i="2"/>
  <c r="M968" i="2"/>
  <c r="O968" i="2" s="1"/>
  <c r="P968" i="2"/>
  <c r="Q968" i="2"/>
  <c r="U968" i="2"/>
  <c r="W968" i="2"/>
  <c r="X968" i="2"/>
  <c r="AB968" i="2"/>
  <c r="AC968" i="2"/>
  <c r="AD968" i="2"/>
  <c r="M969" i="2"/>
  <c r="N969" i="2"/>
  <c r="R969" i="2"/>
  <c r="S969" i="2"/>
  <c r="W969" i="2"/>
  <c r="Y969" i="2"/>
  <c r="AC969" i="2"/>
  <c r="AD969" i="2"/>
  <c r="M970" i="2"/>
  <c r="O970" i="2" s="1"/>
  <c r="Q970" i="2"/>
  <c r="S970" i="2"/>
  <c r="U970" i="2"/>
  <c r="X970" i="2"/>
  <c r="AA970" i="2"/>
  <c r="AB970" i="2"/>
  <c r="AD970" i="2"/>
  <c r="M971" i="2"/>
  <c r="N971" i="2" s="1"/>
  <c r="S971" i="2"/>
  <c r="W971" i="2"/>
  <c r="AD971" i="2"/>
  <c r="M972" i="2"/>
  <c r="O972" i="2" s="1"/>
  <c r="S972" i="2"/>
  <c r="U972" i="2"/>
  <c r="AA972" i="2"/>
  <c r="AB972" i="2"/>
  <c r="AD972" i="2"/>
  <c r="M973" i="2"/>
  <c r="W973" i="2"/>
  <c r="AD973" i="2"/>
  <c r="M974" i="2"/>
  <c r="AD974" i="2"/>
  <c r="M975" i="2"/>
  <c r="S975" i="2" s="1"/>
  <c r="N975" i="2"/>
  <c r="R975" i="2"/>
  <c r="W975" i="2"/>
  <c r="Y975" i="2"/>
  <c r="AC975" i="2"/>
  <c r="AD975" i="2"/>
  <c r="M976" i="2"/>
  <c r="O976" i="2" s="1"/>
  <c r="P976" i="2"/>
  <c r="Q976" i="2"/>
  <c r="U976" i="2"/>
  <c r="W976" i="2"/>
  <c r="X976" i="2"/>
  <c r="AB976" i="2"/>
  <c r="AC976" i="2"/>
  <c r="AD976" i="2"/>
  <c r="M977" i="2"/>
  <c r="N977" i="2"/>
  <c r="R977" i="2"/>
  <c r="S977" i="2"/>
  <c r="W977" i="2"/>
  <c r="Y977" i="2"/>
  <c r="AC977" i="2"/>
  <c r="AD977" i="2"/>
  <c r="M978" i="2"/>
  <c r="O978" i="2" s="1"/>
  <c r="Q978" i="2"/>
  <c r="S978" i="2"/>
  <c r="U978" i="2"/>
  <c r="X978" i="2"/>
  <c r="AA978" i="2"/>
  <c r="AB978" i="2"/>
  <c r="AD978" i="2"/>
  <c r="M979" i="2"/>
  <c r="N979" i="2" s="1"/>
  <c r="S979" i="2"/>
  <c r="W979" i="2"/>
  <c r="AD979" i="2"/>
  <c r="M980" i="2"/>
  <c r="O980" i="2" s="1"/>
  <c r="S980" i="2"/>
  <c r="U980" i="2"/>
  <c r="AA980" i="2"/>
  <c r="AB980" i="2"/>
  <c r="AD980" i="2"/>
  <c r="M981" i="2"/>
  <c r="W981" i="2"/>
  <c r="AD981" i="2"/>
  <c r="M982" i="2"/>
  <c r="U982" i="2"/>
  <c r="AB982" i="2"/>
  <c r="AD982" i="2"/>
  <c r="M983" i="2"/>
  <c r="S983" i="2" s="1"/>
  <c r="N983" i="2"/>
  <c r="R983" i="2"/>
  <c r="W983" i="2"/>
  <c r="Y983" i="2"/>
  <c r="AC983" i="2"/>
  <c r="AD983" i="2"/>
  <c r="M984" i="2"/>
  <c r="O984" i="2" s="1"/>
  <c r="P984" i="2"/>
  <c r="Q984" i="2"/>
  <c r="U984" i="2"/>
  <c r="W984" i="2"/>
  <c r="X984" i="2"/>
  <c r="AB984" i="2"/>
  <c r="AC984" i="2"/>
  <c r="AD984" i="2"/>
  <c r="M985" i="2"/>
  <c r="N985" i="2"/>
  <c r="R985" i="2"/>
  <c r="S985" i="2"/>
  <c r="W985" i="2"/>
  <c r="Y985" i="2"/>
  <c r="AC985" i="2"/>
  <c r="AD985" i="2"/>
  <c r="M986" i="2"/>
  <c r="O986" i="2" s="1"/>
  <c r="Q986" i="2"/>
  <c r="S986" i="2"/>
  <c r="U986" i="2"/>
  <c r="X986" i="2"/>
  <c r="AA986" i="2"/>
  <c r="AB986" i="2"/>
  <c r="AD986" i="2"/>
  <c r="M987" i="2"/>
  <c r="N987" i="2" s="1"/>
  <c r="S987" i="2"/>
  <c r="W987" i="2"/>
  <c r="AD987" i="2"/>
  <c r="M988" i="2"/>
  <c r="O988" i="2" s="1"/>
  <c r="S988" i="2"/>
  <c r="U988" i="2"/>
  <c r="AA988" i="2"/>
  <c r="AB988" i="2"/>
  <c r="AD988" i="2"/>
  <c r="M989" i="2"/>
  <c r="W989" i="2"/>
  <c r="AD989" i="2"/>
  <c r="M990" i="2"/>
  <c r="U990" i="2"/>
  <c r="AB990" i="2"/>
  <c r="AD990" i="2"/>
  <c r="M991" i="2"/>
  <c r="N991" i="2"/>
  <c r="R991" i="2"/>
  <c r="S991" i="2"/>
  <c r="W991" i="2"/>
  <c r="Y991" i="2"/>
  <c r="AC991" i="2"/>
  <c r="AD991" i="2"/>
  <c r="M992" i="2"/>
  <c r="O992" i="2" s="1"/>
  <c r="P992" i="2"/>
  <c r="Q992" i="2"/>
  <c r="U992" i="2"/>
  <c r="W992" i="2"/>
  <c r="X992" i="2"/>
  <c r="AB992" i="2"/>
  <c r="AC992" i="2"/>
  <c r="AD992" i="2"/>
  <c r="M993" i="2"/>
  <c r="N993" i="2" s="1"/>
  <c r="R993" i="2"/>
  <c r="S993" i="2"/>
  <c r="W993" i="2"/>
  <c r="AC993" i="2"/>
  <c r="AD993" i="2"/>
  <c r="M994" i="2"/>
  <c r="O994" i="2" s="1"/>
  <c r="Q994" i="2"/>
  <c r="S994" i="2"/>
  <c r="U994" i="2"/>
  <c r="X994" i="2"/>
  <c r="AA994" i="2"/>
  <c r="AB994" i="2"/>
  <c r="AD994" i="2"/>
  <c r="M995" i="2"/>
  <c r="N995" i="2" s="1"/>
  <c r="S995" i="2"/>
  <c r="W995" i="2"/>
  <c r="AD995" i="2"/>
  <c r="M996" i="2"/>
  <c r="S996" i="2"/>
  <c r="U996" i="2"/>
  <c r="AA996" i="2"/>
  <c r="AB996" i="2"/>
  <c r="AD996" i="2"/>
  <c r="M997" i="2"/>
  <c r="N997" i="2"/>
  <c r="AD997" i="2"/>
  <c r="M998" i="2"/>
  <c r="U998" i="2" s="1"/>
  <c r="AD998" i="2"/>
  <c r="M999" i="2"/>
  <c r="N999" i="2"/>
  <c r="R999" i="2"/>
  <c r="S999" i="2"/>
  <c r="W999" i="2"/>
  <c r="Y999" i="2"/>
  <c r="AC999" i="2"/>
  <c r="AD999" i="2"/>
  <c r="M1000" i="2"/>
  <c r="O1000" i="2" s="1"/>
  <c r="P1000" i="2"/>
  <c r="Q1000" i="2"/>
  <c r="U1000" i="2"/>
  <c r="W1000" i="2"/>
  <c r="X1000" i="2"/>
  <c r="AB1000" i="2"/>
  <c r="AC1000" i="2"/>
  <c r="AD1000" i="2"/>
  <c r="M1001" i="2"/>
  <c r="N1001" i="2" s="1"/>
  <c r="R1001" i="2"/>
  <c r="S1001" i="2"/>
  <c r="W1001" i="2"/>
  <c r="AC1001" i="2"/>
  <c r="AD1001" i="2"/>
  <c r="M1002" i="2"/>
  <c r="O1002" i="2" s="1"/>
  <c r="Q1002" i="2"/>
  <c r="S1002" i="2"/>
  <c r="U1002" i="2"/>
  <c r="X1002" i="2"/>
  <c r="AA1002" i="2"/>
  <c r="AB1002" i="2"/>
  <c r="AD1002" i="2"/>
  <c r="M1003" i="2"/>
  <c r="S1003" i="2"/>
  <c r="W1003" i="2"/>
  <c r="AD1003" i="2"/>
  <c r="M1004" i="2"/>
  <c r="S1004" i="2"/>
  <c r="U1004" i="2"/>
  <c r="AB1004" i="2"/>
  <c r="AD1004" i="2"/>
  <c r="M1005" i="2"/>
  <c r="Y1005" i="2" s="1"/>
  <c r="AD1005" i="2"/>
  <c r="M1006" i="2"/>
  <c r="P1006" i="2"/>
  <c r="U1006" i="2"/>
  <c r="W1006" i="2"/>
  <c r="AB1006" i="2"/>
  <c r="AC1006" i="2"/>
  <c r="AD1006" i="2"/>
  <c r="M1007" i="2"/>
  <c r="N1007" i="2"/>
  <c r="R1007" i="2"/>
  <c r="S1007" i="2"/>
  <c r="W1007" i="2"/>
  <c r="Y1007" i="2"/>
  <c r="AC1007" i="2"/>
  <c r="AD1007" i="2"/>
  <c r="M1008" i="2"/>
  <c r="O1008" i="2" s="1"/>
  <c r="P1008" i="2"/>
  <c r="Q1008" i="2"/>
  <c r="S1008" i="2"/>
  <c r="U1008" i="2"/>
  <c r="W1008" i="2"/>
  <c r="X1008" i="2"/>
  <c r="AA1008" i="2"/>
  <c r="AB1008" i="2"/>
  <c r="AC1008" i="2"/>
  <c r="AD1008" i="2"/>
  <c r="M1009" i="2"/>
  <c r="N1009" i="2" s="1"/>
  <c r="R1009" i="2"/>
  <c r="S1009" i="2"/>
  <c r="W1009" i="2"/>
  <c r="AC1009" i="2"/>
  <c r="AD1009" i="2"/>
  <c r="M1010" i="2"/>
  <c r="O1010" i="2" s="1"/>
  <c r="Q1010" i="2"/>
  <c r="S1010" i="2"/>
  <c r="U1010" i="2"/>
  <c r="X1010" i="2"/>
  <c r="AA1010" i="2"/>
  <c r="AB1010" i="2"/>
  <c r="AD1010" i="2"/>
  <c r="M1011" i="2"/>
  <c r="N1011" i="2"/>
  <c r="S1011" i="2"/>
  <c r="W1011" i="2"/>
  <c r="Y1011" i="2"/>
  <c r="AD1011" i="2"/>
  <c r="M1012" i="2"/>
  <c r="P1012" i="2"/>
  <c r="W1012" i="2"/>
  <c r="AA1012" i="2"/>
  <c r="AD1012" i="2"/>
  <c r="M1013" i="2"/>
  <c r="Y1013" i="2" s="1"/>
  <c r="AD1013" i="2"/>
  <c r="M1014" i="2"/>
  <c r="S1014" i="2" s="1"/>
  <c r="AD1014" i="2"/>
  <c r="M1015" i="2"/>
  <c r="N1015" i="2"/>
  <c r="R1015" i="2"/>
  <c r="W1015" i="2"/>
  <c r="Y1015" i="2"/>
  <c r="AC1015" i="2"/>
  <c r="AD1015" i="2"/>
  <c r="M1016" i="2"/>
  <c r="U1016" i="2" s="1"/>
  <c r="AD1016" i="2"/>
  <c r="M1017" i="2"/>
  <c r="Q1017" i="2" s="1"/>
  <c r="N1017" i="2"/>
  <c r="S1017" i="2"/>
  <c r="Y1017" i="2"/>
  <c r="AD1017" i="2"/>
  <c r="M1018" i="2"/>
  <c r="O1018" i="2"/>
  <c r="P1018" i="2"/>
  <c r="T1018" i="2"/>
  <c r="U1018" i="2"/>
  <c r="X1018" i="2"/>
  <c r="AA1018" i="2"/>
  <c r="AC1018" i="2"/>
  <c r="AD1018" i="2"/>
  <c r="M1019" i="2"/>
  <c r="R1019" i="2"/>
  <c r="V1019" i="2"/>
  <c r="Z1019" i="2"/>
  <c r="AD1019" i="2"/>
  <c r="M1020" i="2"/>
  <c r="O1020" i="2"/>
  <c r="P1020" i="2"/>
  <c r="T1020" i="2"/>
  <c r="U1020" i="2"/>
  <c r="X1020" i="2"/>
  <c r="AA1020" i="2"/>
  <c r="AC1020" i="2"/>
  <c r="AD1020" i="2"/>
  <c r="M1021" i="2"/>
  <c r="R1021" i="2"/>
  <c r="V1021" i="2"/>
  <c r="Z1021" i="2"/>
  <c r="AD1021" i="2"/>
  <c r="M1022" i="2"/>
  <c r="O1022" i="2"/>
  <c r="P1022" i="2"/>
  <c r="T1022" i="2"/>
  <c r="U1022" i="2"/>
  <c r="X1022" i="2"/>
  <c r="AA1022" i="2"/>
  <c r="AC1022" i="2"/>
  <c r="AD1022" i="2"/>
  <c r="M1023" i="2"/>
  <c r="R1023" i="2"/>
  <c r="V1023" i="2"/>
  <c r="Z1023" i="2"/>
  <c r="AD1023" i="2"/>
  <c r="M1024" i="2"/>
  <c r="O1024" i="2"/>
  <c r="P1024" i="2"/>
  <c r="T1024" i="2"/>
  <c r="U1024" i="2"/>
  <c r="X1024" i="2"/>
  <c r="AA1024" i="2"/>
  <c r="AC1024" i="2"/>
  <c r="AD1024" i="2"/>
  <c r="M1025" i="2"/>
  <c r="R1025" i="2"/>
  <c r="V1025" i="2"/>
  <c r="Z1025" i="2"/>
  <c r="AD1025" i="2"/>
  <c r="M1026" i="2"/>
  <c r="O1026" i="2"/>
  <c r="P1026" i="2"/>
  <c r="T1026" i="2"/>
  <c r="U1026" i="2"/>
  <c r="X1026" i="2"/>
  <c r="AA1026" i="2"/>
  <c r="AC1026" i="2"/>
  <c r="AD1026" i="2"/>
  <c r="M1027" i="2"/>
  <c r="R1027" i="2"/>
  <c r="V1027" i="2"/>
  <c r="Z1027" i="2"/>
  <c r="AD1027" i="2"/>
  <c r="M1028" i="2"/>
  <c r="O1028" i="2"/>
  <c r="P1028" i="2"/>
  <c r="T1028" i="2"/>
  <c r="U1028" i="2"/>
  <c r="X1028" i="2"/>
  <c r="AA1028" i="2"/>
  <c r="AC1028" i="2"/>
  <c r="AD1028" i="2"/>
  <c r="M1029" i="2"/>
  <c r="R1029" i="2"/>
  <c r="V1029" i="2"/>
  <c r="Z1029" i="2"/>
  <c r="AD1029" i="2"/>
  <c r="M1030" i="2"/>
  <c r="O1030" i="2"/>
  <c r="P1030" i="2"/>
  <c r="T1030" i="2"/>
  <c r="U1030" i="2"/>
  <c r="X1030" i="2"/>
  <c r="AA1030" i="2"/>
  <c r="AC1030" i="2"/>
  <c r="AD1030" i="2"/>
  <c r="M1031" i="2"/>
  <c r="R1031" i="2"/>
  <c r="V1031" i="2"/>
  <c r="Z1031" i="2"/>
  <c r="AD1031" i="2"/>
  <c r="M1032" i="2"/>
  <c r="O1032" i="2"/>
  <c r="P1032" i="2"/>
  <c r="T1032" i="2"/>
  <c r="U1032" i="2"/>
  <c r="X1032" i="2"/>
  <c r="AA1032" i="2"/>
  <c r="AC1032" i="2"/>
  <c r="AD1032" i="2"/>
  <c r="M1033" i="2"/>
  <c r="R1033" i="2"/>
  <c r="V1033" i="2"/>
  <c r="Z1033" i="2"/>
  <c r="AD1033" i="2"/>
  <c r="M1034" i="2"/>
  <c r="O1034" i="2"/>
  <c r="P1034" i="2"/>
  <c r="T1034" i="2"/>
  <c r="U1034" i="2"/>
  <c r="X1034" i="2"/>
  <c r="AA1034" i="2"/>
  <c r="AC1034" i="2"/>
  <c r="AD1034" i="2"/>
  <c r="M1035" i="2"/>
  <c r="R1035" i="2"/>
  <c r="V1035" i="2"/>
  <c r="Z1035" i="2"/>
  <c r="AD1035" i="2"/>
  <c r="M1036" i="2"/>
  <c r="O1036" i="2"/>
  <c r="P1036" i="2"/>
  <c r="T1036" i="2"/>
  <c r="U1036" i="2"/>
  <c r="X1036" i="2"/>
  <c r="AA1036" i="2"/>
  <c r="AC1036" i="2"/>
  <c r="AD1036" i="2"/>
  <c r="M1037" i="2"/>
  <c r="R1037" i="2"/>
  <c r="V1037" i="2"/>
  <c r="Z1037" i="2"/>
  <c r="AD1037" i="2"/>
  <c r="M1038" i="2"/>
  <c r="O1038" i="2"/>
  <c r="P1038" i="2"/>
  <c r="T1038" i="2"/>
  <c r="U1038" i="2"/>
  <c r="X1038" i="2"/>
  <c r="AA1038" i="2"/>
  <c r="AC1038" i="2"/>
  <c r="AD1038" i="2"/>
  <c r="M1039" i="2"/>
  <c r="R1039" i="2"/>
  <c r="V1039" i="2"/>
  <c r="Z1039" i="2"/>
  <c r="AD1039" i="2"/>
  <c r="M1040" i="2"/>
  <c r="O1040" i="2"/>
  <c r="P1040" i="2"/>
  <c r="T1040" i="2"/>
  <c r="U1040" i="2"/>
  <c r="X1040" i="2"/>
  <c r="AA1040" i="2"/>
  <c r="AC1040" i="2"/>
  <c r="AD1040" i="2"/>
  <c r="M1041" i="2"/>
  <c r="O1041" i="2" s="1"/>
  <c r="N1041" i="2"/>
  <c r="R1041" i="2"/>
  <c r="V1041" i="2"/>
  <c r="Z1041" i="2"/>
  <c r="AD1041" i="2"/>
  <c r="M1042" i="2"/>
  <c r="N1042" i="2" s="1"/>
  <c r="O1042" i="2"/>
  <c r="S1042" i="2"/>
  <c r="T1042" i="2"/>
  <c r="X1042" i="2"/>
  <c r="Y1042" i="2"/>
  <c r="AC1042" i="2"/>
  <c r="AD1042" i="2"/>
  <c r="M1043" i="2"/>
  <c r="O1043" i="2" s="1"/>
  <c r="N1043" i="2"/>
  <c r="R1043" i="2"/>
  <c r="V1043" i="2"/>
  <c r="Z1043" i="2"/>
  <c r="AD1043" i="2"/>
  <c r="M1044" i="2"/>
  <c r="N1044" i="2" s="1"/>
  <c r="O1044" i="2"/>
  <c r="S1044" i="2"/>
  <c r="T1044" i="2"/>
  <c r="X1044" i="2"/>
  <c r="Y1044" i="2"/>
  <c r="AC1044" i="2"/>
  <c r="AD1044" i="2"/>
  <c r="M1045" i="2"/>
  <c r="O1045" i="2" s="1"/>
  <c r="N1045" i="2"/>
  <c r="R1045" i="2"/>
  <c r="V1045" i="2"/>
  <c r="Z1045" i="2"/>
  <c r="AD1045" i="2"/>
  <c r="M1046" i="2"/>
  <c r="N1046" i="2" s="1"/>
  <c r="O1046" i="2"/>
  <c r="S1046" i="2"/>
  <c r="T1046" i="2"/>
  <c r="X1046" i="2"/>
  <c r="Y1046" i="2"/>
  <c r="AC1046" i="2"/>
  <c r="AD1046" i="2"/>
  <c r="M1047" i="2"/>
  <c r="O1047" i="2" s="1"/>
  <c r="N1047" i="2"/>
  <c r="R1047" i="2"/>
  <c r="V1047" i="2"/>
  <c r="Z1047" i="2"/>
  <c r="AD1047" i="2"/>
  <c r="M1048" i="2"/>
  <c r="N1048" i="2" s="1"/>
  <c r="O1048" i="2"/>
  <c r="S1048" i="2"/>
  <c r="T1048" i="2"/>
  <c r="X1048" i="2"/>
  <c r="Y1048" i="2"/>
  <c r="AC1048" i="2"/>
  <c r="AD1048" i="2"/>
  <c r="M1049" i="2"/>
  <c r="O1049" i="2" s="1"/>
  <c r="N1049" i="2"/>
  <c r="R1049" i="2"/>
  <c r="V1049" i="2"/>
  <c r="Z1049" i="2"/>
  <c r="AD1049" i="2"/>
  <c r="M1050" i="2"/>
  <c r="N1050" i="2" s="1"/>
  <c r="O1050" i="2"/>
  <c r="S1050" i="2"/>
  <c r="T1050" i="2"/>
  <c r="X1050" i="2"/>
  <c r="Y1050" i="2"/>
  <c r="AC1050" i="2"/>
  <c r="AD1050" i="2"/>
  <c r="M1051" i="2"/>
  <c r="O1051" i="2" s="1"/>
  <c r="N1051" i="2"/>
  <c r="R1051" i="2"/>
  <c r="V1051" i="2"/>
  <c r="Z1051" i="2"/>
  <c r="AD1051" i="2"/>
  <c r="M1052" i="2"/>
  <c r="N1052" i="2" s="1"/>
  <c r="O1052" i="2"/>
  <c r="S1052" i="2"/>
  <c r="T1052" i="2"/>
  <c r="X1052" i="2"/>
  <c r="Y1052" i="2"/>
  <c r="AC1052" i="2"/>
  <c r="AD1052" i="2"/>
  <c r="M1053" i="2"/>
  <c r="O1053" i="2" s="1"/>
  <c r="R1053" i="2"/>
  <c r="V1053" i="2"/>
  <c r="Z1053" i="2"/>
  <c r="AD1053" i="2"/>
  <c r="M1054" i="2"/>
  <c r="N1054" i="2" s="1"/>
  <c r="O1054" i="2"/>
  <c r="S1054" i="2"/>
  <c r="T1054" i="2"/>
  <c r="X1054" i="2"/>
  <c r="Y1054" i="2"/>
  <c r="AC1054" i="2"/>
  <c r="AD1054" i="2"/>
  <c r="M1055" i="2"/>
  <c r="O1055" i="2" s="1"/>
  <c r="R1055" i="2"/>
  <c r="V1055" i="2"/>
  <c r="Z1055" i="2"/>
  <c r="AD1055" i="2"/>
  <c r="M1056" i="2"/>
  <c r="N1056" i="2" s="1"/>
  <c r="O1056" i="2"/>
  <c r="S1056" i="2"/>
  <c r="T1056" i="2"/>
  <c r="X1056" i="2"/>
  <c r="Y1056" i="2"/>
  <c r="AC1056" i="2"/>
  <c r="AD1056" i="2"/>
  <c r="M1057" i="2"/>
  <c r="O1057" i="2" s="1"/>
  <c r="R1057" i="2"/>
  <c r="V1057" i="2"/>
  <c r="Z1057" i="2"/>
  <c r="AD1057" i="2"/>
  <c r="M1058" i="2"/>
  <c r="N1058" i="2" s="1"/>
  <c r="O1058" i="2"/>
  <c r="S1058" i="2"/>
  <c r="T1058" i="2"/>
  <c r="X1058" i="2"/>
  <c r="Y1058" i="2"/>
  <c r="AC1058" i="2"/>
  <c r="AD1058" i="2"/>
  <c r="M1059" i="2"/>
  <c r="O1059" i="2" s="1"/>
  <c r="R1059" i="2"/>
  <c r="V1059" i="2"/>
  <c r="Z1059" i="2"/>
  <c r="AD1059" i="2"/>
  <c r="M1060" i="2"/>
  <c r="N1060" i="2" s="1"/>
  <c r="O1060" i="2"/>
  <c r="S1060" i="2"/>
  <c r="T1060" i="2"/>
  <c r="X1060" i="2"/>
  <c r="Y1060" i="2"/>
  <c r="AC1060" i="2"/>
  <c r="AD1060" i="2"/>
  <c r="M1061" i="2"/>
  <c r="O1061" i="2" s="1"/>
  <c r="R1061" i="2"/>
  <c r="V1061" i="2"/>
  <c r="Z1061" i="2"/>
  <c r="AD1061" i="2"/>
  <c r="M1062" i="2"/>
  <c r="N1062" i="2" s="1"/>
  <c r="O1062" i="2"/>
  <c r="S1062" i="2"/>
  <c r="T1062" i="2"/>
  <c r="X1062" i="2"/>
  <c r="Y1062" i="2"/>
  <c r="AC1062" i="2"/>
  <c r="AD1062" i="2"/>
  <c r="M1063" i="2"/>
  <c r="O1063" i="2" s="1"/>
  <c r="R1063" i="2"/>
  <c r="V1063" i="2"/>
  <c r="Z1063" i="2"/>
  <c r="AD1063" i="2"/>
  <c r="M1064" i="2"/>
  <c r="N1064" i="2" s="1"/>
  <c r="O1064" i="2"/>
  <c r="S1064" i="2"/>
  <c r="T1064" i="2"/>
  <c r="X1064" i="2"/>
  <c r="Y1064" i="2"/>
  <c r="AC1064" i="2"/>
  <c r="AD1064" i="2"/>
  <c r="M1065" i="2"/>
  <c r="O1065" i="2" s="1"/>
  <c r="R1065" i="2"/>
  <c r="V1065" i="2"/>
  <c r="Z1065" i="2"/>
  <c r="AD1065" i="2"/>
  <c r="M1066" i="2"/>
  <c r="N1066" i="2" s="1"/>
  <c r="O1066" i="2"/>
  <c r="S1066" i="2"/>
  <c r="T1066" i="2"/>
  <c r="X1066" i="2"/>
  <c r="Y1066" i="2"/>
  <c r="AC1066" i="2"/>
  <c r="AD1066" i="2"/>
  <c r="M1067" i="2"/>
  <c r="O1067" i="2" s="1"/>
  <c r="R1067" i="2"/>
  <c r="V1067" i="2"/>
  <c r="Z1067" i="2"/>
  <c r="AD1067" i="2"/>
  <c r="M1068" i="2"/>
  <c r="N1068" i="2" s="1"/>
  <c r="O1068" i="2"/>
  <c r="S1068" i="2"/>
  <c r="T1068" i="2"/>
  <c r="X1068" i="2"/>
  <c r="Y1068" i="2"/>
  <c r="AC1068" i="2"/>
  <c r="AD1068" i="2"/>
  <c r="M1069" i="2"/>
  <c r="O1069" i="2" s="1"/>
  <c r="R1069" i="2"/>
  <c r="V1069" i="2"/>
  <c r="Z1069" i="2"/>
  <c r="AD1069" i="2"/>
  <c r="M1070" i="2"/>
  <c r="N1070" i="2" s="1"/>
  <c r="O1070" i="2"/>
  <c r="S1070" i="2"/>
  <c r="T1070" i="2"/>
  <c r="X1070" i="2"/>
  <c r="Y1070" i="2"/>
  <c r="AC1070" i="2"/>
  <c r="AD1070" i="2"/>
  <c r="M1071" i="2"/>
  <c r="O1071" i="2" s="1"/>
  <c r="R1071" i="2"/>
  <c r="V1071" i="2"/>
  <c r="Z1071" i="2"/>
  <c r="AD1071" i="2"/>
  <c r="M1072" i="2"/>
  <c r="N1072" i="2" s="1"/>
  <c r="O1072" i="2"/>
  <c r="S1072" i="2"/>
  <c r="T1072" i="2"/>
  <c r="X1072" i="2"/>
  <c r="Y1072" i="2"/>
  <c r="AC1072" i="2"/>
  <c r="AD1072" i="2"/>
  <c r="M1073" i="2"/>
  <c r="O1073" i="2" s="1"/>
  <c r="R1073" i="2"/>
  <c r="V1073" i="2"/>
  <c r="Z1073" i="2"/>
  <c r="AD1073" i="2"/>
  <c r="M1074" i="2"/>
  <c r="N1074" i="2" s="1"/>
  <c r="O1074" i="2"/>
  <c r="S1074" i="2"/>
  <c r="T1074" i="2"/>
  <c r="X1074" i="2"/>
  <c r="Y1074" i="2"/>
  <c r="AC1074" i="2"/>
  <c r="AD1074" i="2"/>
  <c r="M1075" i="2"/>
  <c r="O1075" i="2" s="1"/>
  <c r="R1075" i="2"/>
  <c r="V1075" i="2"/>
  <c r="Z1075" i="2"/>
  <c r="AD1075" i="2"/>
  <c r="M1076" i="2"/>
  <c r="N1076" i="2" s="1"/>
  <c r="O1076" i="2"/>
  <c r="S1076" i="2"/>
  <c r="T1076" i="2"/>
  <c r="X1076" i="2"/>
  <c r="Y1076" i="2"/>
  <c r="AC1076" i="2"/>
  <c r="AD1076" i="2"/>
  <c r="M1077" i="2"/>
  <c r="O1077" i="2" s="1"/>
  <c r="R1077" i="2"/>
  <c r="V1077" i="2"/>
  <c r="Z1077" i="2"/>
  <c r="AD1077" i="2"/>
  <c r="M1078" i="2"/>
  <c r="N1078" i="2" s="1"/>
  <c r="O1078" i="2"/>
  <c r="S1078" i="2"/>
  <c r="T1078" i="2"/>
  <c r="X1078" i="2"/>
  <c r="Y1078" i="2"/>
  <c r="AC1078" i="2"/>
  <c r="AD1078" i="2"/>
  <c r="M1079" i="2"/>
  <c r="O1079" i="2" s="1"/>
  <c r="R1079" i="2"/>
  <c r="V1079" i="2"/>
  <c r="Z1079" i="2"/>
  <c r="AD1079" i="2"/>
  <c r="M1080" i="2"/>
  <c r="N1080" i="2" s="1"/>
  <c r="O1080" i="2"/>
  <c r="S1080" i="2"/>
  <c r="T1080" i="2"/>
  <c r="X1080" i="2"/>
  <c r="Y1080" i="2"/>
  <c r="AC1080" i="2"/>
  <c r="AD1080" i="2"/>
  <c r="M1081" i="2"/>
  <c r="O1081" i="2" s="1"/>
  <c r="R1081" i="2"/>
  <c r="V1081" i="2"/>
  <c r="Z1081" i="2"/>
  <c r="AD1081" i="2"/>
  <c r="M1082" i="2"/>
  <c r="N1082" i="2" s="1"/>
  <c r="O1082" i="2"/>
  <c r="S1082" i="2"/>
  <c r="T1082" i="2"/>
  <c r="X1082" i="2"/>
  <c r="Y1082" i="2"/>
  <c r="AC1082" i="2"/>
  <c r="AD1082" i="2"/>
  <c r="M1083" i="2"/>
  <c r="O1083" i="2" s="1"/>
  <c r="R1083" i="2"/>
  <c r="V1083" i="2"/>
  <c r="Z1083" i="2"/>
  <c r="AD1083" i="2"/>
  <c r="M1084" i="2"/>
  <c r="N1084" i="2" s="1"/>
  <c r="O1084" i="2"/>
  <c r="S1084" i="2"/>
  <c r="T1084" i="2"/>
  <c r="X1084" i="2"/>
  <c r="Y1084" i="2"/>
  <c r="AC1084" i="2"/>
  <c r="AD1084" i="2"/>
  <c r="M1085" i="2"/>
  <c r="O1085" i="2" s="1"/>
  <c r="R1085" i="2"/>
  <c r="V1085" i="2"/>
  <c r="Z1085" i="2"/>
  <c r="AD1085" i="2"/>
  <c r="M1086" i="2"/>
  <c r="N1086" i="2" s="1"/>
  <c r="O1086" i="2"/>
  <c r="S1086" i="2"/>
  <c r="T1086" i="2"/>
  <c r="X1086" i="2"/>
  <c r="Y1086" i="2"/>
  <c r="AC1086" i="2"/>
  <c r="AD1086" i="2"/>
  <c r="M1087" i="2"/>
  <c r="O1087" i="2" s="1"/>
  <c r="R1087" i="2"/>
  <c r="V1087" i="2"/>
  <c r="Z1087" i="2"/>
  <c r="AD1087" i="2"/>
  <c r="M1088" i="2"/>
  <c r="N1088" i="2" s="1"/>
  <c r="O1088" i="2"/>
  <c r="S1088" i="2"/>
  <c r="T1088" i="2"/>
  <c r="X1088" i="2"/>
  <c r="Y1088" i="2"/>
  <c r="AC1088" i="2"/>
  <c r="AD1088" i="2"/>
  <c r="M1089" i="2"/>
  <c r="O1089" i="2" s="1"/>
  <c r="R1089" i="2"/>
  <c r="V1089" i="2"/>
  <c r="Z1089" i="2"/>
  <c r="AD1089" i="2"/>
  <c r="M1090" i="2"/>
  <c r="N1090" i="2" s="1"/>
  <c r="O1090" i="2"/>
  <c r="S1090" i="2"/>
  <c r="T1090" i="2"/>
  <c r="X1090" i="2"/>
  <c r="Y1090" i="2"/>
  <c r="AC1090" i="2"/>
  <c r="AD1090" i="2"/>
  <c r="M1091" i="2"/>
  <c r="O1091" i="2" s="1"/>
  <c r="R1091" i="2"/>
  <c r="V1091" i="2"/>
  <c r="Z1091" i="2"/>
  <c r="AD1091" i="2"/>
  <c r="M1092" i="2"/>
  <c r="N1092" i="2" s="1"/>
  <c r="O1092" i="2"/>
  <c r="S1092" i="2"/>
  <c r="T1092" i="2"/>
  <c r="X1092" i="2"/>
  <c r="Y1092" i="2"/>
  <c r="AC1092" i="2"/>
  <c r="AD1092" i="2"/>
  <c r="M555" i="2"/>
  <c r="AD555" i="2"/>
  <c r="M556" i="2"/>
  <c r="AD556" i="2"/>
  <c r="M557" i="2"/>
  <c r="AD557" i="2"/>
  <c r="M558" i="2"/>
  <c r="AD558" i="2"/>
  <c r="M559" i="2"/>
  <c r="AD559" i="2"/>
  <c r="M560" i="2"/>
  <c r="AD560" i="2"/>
  <c r="M561" i="2"/>
  <c r="AD561" i="2"/>
  <c r="M562" i="2"/>
  <c r="AD562" i="2"/>
  <c r="M563" i="2"/>
  <c r="AD563" i="2"/>
  <c r="M564" i="2"/>
  <c r="AD564" i="2"/>
  <c r="M565" i="2"/>
  <c r="AD565" i="2"/>
  <c r="M566" i="2"/>
  <c r="AD566" i="2"/>
  <c r="M567" i="2"/>
  <c r="AD567" i="2"/>
  <c r="M568" i="2"/>
  <c r="AD568" i="2"/>
  <c r="M569" i="2"/>
  <c r="AD569" i="2"/>
  <c r="M570" i="2"/>
  <c r="AD570" i="2"/>
  <c r="M571" i="2"/>
  <c r="AD571" i="2"/>
  <c r="M572" i="2"/>
  <c r="AD572" i="2"/>
  <c r="M573" i="2"/>
  <c r="AD573" i="2"/>
  <c r="M574" i="2"/>
  <c r="AD574" i="2"/>
  <c r="M575" i="2"/>
  <c r="AD575" i="2"/>
  <c r="M576" i="2"/>
  <c r="AD576" i="2"/>
  <c r="M577" i="2"/>
  <c r="AD577" i="2"/>
  <c r="M578" i="2"/>
  <c r="AD578" i="2"/>
  <c r="M579" i="2"/>
  <c r="AD579" i="2"/>
  <c r="M580" i="2"/>
  <c r="AD580" i="2"/>
  <c r="M581" i="2"/>
  <c r="AD581" i="2"/>
  <c r="M582" i="2"/>
  <c r="AD582" i="2"/>
  <c r="M583" i="2"/>
  <c r="AD583" i="2"/>
  <c r="M584" i="2"/>
  <c r="AD584" i="2"/>
  <c r="M585" i="2"/>
  <c r="AD585" i="2"/>
  <c r="M586" i="2"/>
  <c r="AD586" i="2"/>
  <c r="M587" i="2"/>
  <c r="AD587" i="2"/>
  <c r="M588" i="2"/>
  <c r="P588" i="2" s="1"/>
  <c r="AD588" i="2"/>
  <c r="M589" i="2"/>
  <c r="AD589" i="2"/>
  <c r="M590" i="2"/>
  <c r="AD590" i="2"/>
  <c r="M591" i="2"/>
  <c r="U591" i="2" s="1"/>
  <c r="AD591" i="2"/>
  <c r="M592" i="2"/>
  <c r="AD592" i="2"/>
  <c r="M593" i="2"/>
  <c r="P593" i="2" s="1"/>
  <c r="AD593" i="2"/>
  <c r="M594" i="2"/>
  <c r="AC594" i="2" s="1"/>
  <c r="AD594" i="2"/>
  <c r="M595" i="2"/>
  <c r="AD595" i="2"/>
  <c r="M596" i="2"/>
  <c r="AD596" i="2"/>
  <c r="M597" i="2"/>
  <c r="P597" i="2" s="1"/>
  <c r="AD597" i="2"/>
  <c r="M598" i="2"/>
  <c r="W598" i="2" s="1"/>
  <c r="AD598" i="2"/>
  <c r="M599" i="2"/>
  <c r="Z599" i="2" s="1"/>
  <c r="AD599" i="2"/>
  <c r="M600" i="2"/>
  <c r="AD600" i="2"/>
  <c r="M601" i="2"/>
  <c r="AD601" i="2"/>
  <c r="M602" i="2"/>
  <c r="X602" i="2" s="1"/>
  <c r="AD602" i="2"/>
  <c r="M603" i="2"/>
  <c r="S603" i="2" s="1"/>
  <c r="U603" i="2"/>
  <c r="AD603" i="2"/>
  <c r="M604" i="2"/>
  <c r="X604" i="2" s="1"/>
  <c r="AD604" i="2"/>
  <c r="M605" i="2"/>
  <c r="N605" i="2" s="1"/>
  <c r="S605" i="2"/>
  <c r="AD605" i="2"/>
  <c r="M606" i="2"/>
  <c r="AC606" i="2" s="1"/>
  <c r="AD606" i="2"/>
  <c r="M607" i="2"/>
  <c r="W607" i="2" s="1"/>
  <c r="AD607" i="2"/>
  <c r="M608" i="2"/>
  <c r="AD608" i="2"/>
  <c r="M609" i="2"/>
  <c r="U609" i="2" s="1"/>
  <c r="W609" i="2"/>
  <c r="Z609" i="2"/>
  <c r="AD609" i="2"/>
  <c r="M610" i="2"/>
  <c r="P610" i="2" s="1"/>
  <c r="AD610" i="2"/>
  <c r="M611" i="2"/>
  <c r="N611" i="2" s="1"/>
  <c r="AD611" i="2"/>
  <c r="M612" i="2"/>
  <c r="AD612" i="2"/>
  <c r="M613" i="2"/>
  <c r="U613" i="2" s="1"/>
  <c r="AD613" i="2"/>
  <c r="M614" i="2"/>
  <c r="Q614" i="2" s="1"/>
  <c r="AD614" i="2"/>
  <c r="M615" i="2"/>
  <c r="AD615" i="2"/>
  <c r="M616" i="2"/>
  <c r="AD616" i="2"/>
  <c r="M617" i="2"/>
  <c r="AD617" i="2"/>
  <c r="M618" i="2"/>
  <c r="Q618" i="2" s="1"/>
  <c r="AD618" i="2"/>
  <c r="M619" i="2"/>
  <c r="S619" i="2" s="1"/>
  <c r="AD619" i="2"/>
  <c r="M620" i="2"/>
  <c r="AD620" i="2"/>
  <c r="M621" i="2"/>
  <c r="AD621" i="2"/>
  <c r="M622" i="2"/>
  <c r="Q622" i="2" s="1"/>
  <c r="AD622" i="2"/>
  <c r="M623" i="2"/>
  <c r="O623" i="2" s="1"/>
  <c r="AD623" i="2"/>
  <c r="M624" i="2"/>
  <c r="AD624" i="2"/>
  <c r="M625" i="2"/>
  <c r="W625" i="2" s="1"/>
  <c r="AD625" i="2"/>
  <c r="M626" i="2"/>
  <c r="P626" i="2" s="1"/>
  <c r="AD626" i="2"/>
  <c r="M627" i="2"/>
  <c r="S627" i="2"/>
  <c r="AD627" i="2"/>
  <c r="M628" i="2"/>
  <c r="AD628" i="2"/>
  <c r="M629" i="2"/>
  <c r="Y629" i="2" s="1"/>
  <c r="AD629" i="2"/>
  <c r="M630" i="2"/>
  <c r="P630" i="2" s="1"/>
  <c r="AD630" i="2"/>
  <c r="M4" i="2"/>
  <c r="U4" i="2" s="1"/>
  <c r="AD4" i="2"/>
  <c r="M5" i="2"/>
  <c r="Q5" i="2" s="1"/>
  <c r="AD5" i="2"/>
  <c r="M6" i="2"/>
  <c r="W6" i="2" s="1"/>
  <c r="AD6" i="2"/>
  <c r="M7" i="2"/>
  <c r="AC7" i="2" s="1"/>
  <c r="AD7" i="2"/>
  <c r="M8" i="2"/>
  <c r="W8" i="2" s="1"/>
  <c r="AD8" i="2"/>
  <c r="M9" i="2"/>
  <c r="AD9" i="2"/>
  <c r="M10" i="2"/>
  <c r="P10" i="2" s="1"/>
  <c r="AD10" i="2"/>
  <c r="M11" i="2"/>
  <c r="AD11" i="2"/>
  <c r="M12" i="2"/>
  <c r="AD12" i="2"/>
  <c r="M13" i="2"/>
  <c r="Y13" i="2" s="1"/>
  <c r="AD13" i="2"/>
  <c r="M14" i="2"/>
  <c r="AB14" i="2" s="1"/>
  <c r="AD14" i="2"/>
  <c r="M15" i="2"/>
  <c r="W15" i="2" s="1"/>
  <c r="AD15" i="2"/>
  <c r="M16" i="2"/>
  <c r="P16" i="2" s="1"/>
  <c r="AD16" i="2"/>
  <c r="M17" i="2"/>
  <c r="AD17" i="2"/>
  <c r="M18" i="2"/>
  <c r="AB18" i="2" s="1"/>
  <c r="AD18" i="2"/>
  <c r="M19" i="2"/>
  <c r="AD19" i="2"/>
  <c r="M20" i="2"/>
  <c r="U20" i="2" s="1"/>
  <c r="AD20" i="2"/>
  <c r="M21" i="2"/>
  <c r="N21" i="2" s="1"/>
  <c r="AD21" i="2"/>
  <c r="M22" i="2"/>
  <c r="U22" i="2" s="1"/>
  <c r="AD22" i="2"/>
  <c r="M23" i="2"/>
  <c r="R23" i="2" s="1"/>
  <c r="AD23" i="2"/>
  <c r="M24" i="2"/>
  <c r="S24" i="2" s="1"/>
  <c r="AD24" i="2"/>
  <c r="M25" i="2"/>
  <c r="AD25" i="2"/>
  <c r="M26" i="2"/>
  <c r="AD26" i="2"/>
  <c r="M27" i="2"/>
  <c r="O27" i="2" s="1"/>
  <c r="AD27" i="2"/>
  <c r="M28" i="2"/>
  <c r="AD28" i="2"/>
  <c r="M29" i="2"/>
  <c r="P29" i="2" s="1"/>
  <c r="AD29" i="2"/>
  <c r="M30" i="2"/>
  <c r="Y30" i="2" s="1"/>
  <c r="AD30" i="2"/>
  <c r="M31" i="2"/>
  <c r="S31" i="2" s="1"/>
  <c r="AD31" i="2"/>
  <c r="M32" i="2"/>
  <c r="P32" i="2" s="1"/>
  <c r="AD32" i="2"/>
  <c r="M33" i="2"/>
  <c r="AD33" i="2"/>
  <c r="M34" i="2"/>
  <c r="AD34" i="2"/>
  <c r="M35" i="2"/>
  <c r="AD35" i="2"/>
  <c r="M36" i="2"/>
  <c r="P36" i="2" s="1"/>
  <c r="AD36" i="2"/>
  <c r="M37" i="2"/>
  <c r="T37" i="2" s="1"/>
  <c r="AD37" i="2"/>
  <c r="M38" i="2"/>
  <c r="AD38" i="2"/>
  <c r="M39" i="2"/>
  <c r="O39" i="2" s="1"/>
  <c r="AD39" i="2"/>
  <c r="M40" i="2"/>
  <c r="U40" i="2" s="1"/>
  <c r="AD40" i="2"/>
  <c r="M41" i="2"/>
  <c r="S41" i="2" s="1"/>
  <c r="AD41" i="2"/>
  <c r="M42" i="2"/>
  <c r="AD42" i="2"/>
  <c r="M43" i="2"/>
  <c r="AB43" i="2" s="1"/>
  <c r="AD43" i="2"/>
  <c r="M44" i="2"/>
  <c r="X44" i="2" s="1"/>
  <c r="AD44" i="2"/>
  <c r="M45" i="2"/>
  <c r="AD45" i="2"/>
  <c r="M46" i="2"/>
  <c r="Q46" i="2" s="1"/>
  <c r="AD46" i="2"/>
  <c r="M47" i="2"/>
  <c r="O47" i="2" s="1"/>
  <c r="AD47" i="2"/>
  <c r="M48" i="2"/>
  <c r="X48" i="2" s="1"/>
  <c r="AD48" i="2"/>
  <c r="M49" i="2"/>
  <c r="N49" i="2" s="1"/>
  <c r="AD49" i="2"/>
  <c r="M50" i="2"/>
  <c r="Z50" i="2" s="1"/>
  <c r="AD50" i="2"/>
  <c r="M51" i="2"/>
  <c r="Q51" i="2" s="1"/>
  <c r="AD51" i="2"/>
  <c r="M52" i="2"/>
  <c r="AD52" i="2"/>
  <c r="M53" i="2"/>
  <c r="W53" i="2" s="1"/>
  <c r="AD53" i="2"/>
  <c r="M54" i="2"/>
  <c r="X54" i="2" s="1"/>
  <c r="AD54" i="2"/>
  <c r="M55" i="2"/>
  <c r="AD55" i="2"/>
  <c r="M56" i="2"/>
  <c r="Q56" i="2" s="1"/>
  <c r="AD56" i="2"/>
  <c r="M57" i="2"/>
  <c r="AD57" i="2"/>
  <c r="M58" i="2"/>
  <c r="V58" i="2" s="1"/>
  <c r="AD58" i="2"/>
  <c r="M59" i="2"/>
  <c r="S59" i="2" s="1"/>
  <c r="AD59" i="2"/>
  <c r="M60" i="2"/>
  <c r="AD60" i="2"/>
  <c r="M61" i="2"/>
  <c r="R61" i="2" s="1"/>
  <c r="AD61" i="2"/>
  <c r="M62" i="2"/>
  <c r="AD62" i="2"/>
  <c r="M63" i="2"/>
  <c r="O63" i="2" s="1"/>
  <c r="AD63" i="2"/>
  <c r="M64" i="2"/>
  <c r="AD64" i="2"/>
  <c r="M65" i="2"/>
  <c r="AA65" i="2" s="1"/>
  <c r="AD65" i="2"/>
  <c r="M66" i="2"/>
  <c r="AC66" i="2" s="1"/>
  <c r="AD66" i="2"/>
  <c r="M67" i="2"/>
  <c r="AD67" i="2"/>
  <c r="M68" i="2"/>
  <c r="AD68" i="2"/>
  <c r="M69" i="2"/>
  <c r="AD69" i="2"/>
  <c r="M70" i="2"/>
  <c r="AD70" i="2"/>
  <c r="M71" i="2"/>
  <c r="W71" i="2" s="1"/>
  <c r="AD71" i="2"/>
  <c r="M72" i="2"/>
  <c r="O72" i="2" s="1"/>
  <c r="AD72" i="2"/>
  <c r="M73" i="2"/>
  <c r="AD73" i="2"/>
  <c r="M74" i="2"/>
  <c r="AA74" i="2" s="1"/>
  <c r="AD74" i="2"/>
  <c r="M75" i="2"/>
  <c r="AD75" i="2"/>
  <c r="M76" i="2"/>
  <c r="AC76" i="2" s="1"/>
  <c r="AD76" i="2"/>
  <c r="M77" i="2"/>
  <c r="AA77" i="2" s="1"/>
  <c r="AD77" i="2"/>
  <c r="M78" i="2"/>
  <c r="AD78" i="2"/>
  <c r="M79" i="2"/>
  <c r="AD79" i="2"/>
  <c r="M80" i="2"/>
  <c r="AD80" i="2"/>
  <c r="M81" i="2"/>
  <c r="AD81" i="2"/>
  <c r="M82" i="2"/>
  <c r="AD82" i="2"/>
  <c r="M83" i="2"/>
  <c r="AD83" i="2"/>
  <c r="M84" i="2"/>
  <c r="AD84" i="2"/>
  <c r="M85" i="2"/>
  <c r="AD85" i="2"/>
  <c r="M86" i="2"/>
  <c r="AD86" i="2"/>
  <c r="M87" i="2"/>
  <c r="AD87" i="2"/>
  <c r="M88" i="2"/>
  <c r="AD88" i="2"/>
  <c r="M89" i="2"/>
  <c r="AD89" i="2"/>
  <c r="M90" i="2"/>
  <c r="AD90" i="2"/>
  <c r="M91" i="2"/>
  <c r="AD91" i="2"/>
  <c r="M92" i="2"/>
  <c r="AD92" i="2"/>
  <c r="M93" i="2"/>
  <c r="AD93" i="2"/>
  <c r="M94" i="2"/>
  <c r="AD94" i="2"/>
  <c r="M95" i="2"/>
  <c r="AD95" i="2"/>
  <c r="M96" i="2"/>
  <c r="R96" i="2" s="1"/>
  <c r="AD96" i="2"/>
  <c r="M97" i="2"/>
  <c r="AD97" i="2"/>
  <c r="M98" i="2"/>
  <c r="AD98" i="2"/>
  <c r="M99" i="2"/>
  <c r="AD99" i="2"/>
  <c r="M100" i="2"/>
  <c r="AD100" i="2"/>
  <c r="M101" i="2"/>
  <c r="AD101" i="2"/>
  <c r="M102" i="2"/>
  <c r="AD102" i="2"/>
  <c r="M103" i="2"/>
  <c r="AD103" i="2"/>
  <c r="M104" i="2"/>
  <c r="AD104" i="2"/>
  <c r="M105" i="2"/>
  <c r="AD105" i="2"/>
  <c r="M106" i="2"/>
  <c r="AD106" i="2"/>
  <c r="M107" i="2"/>
  <c r="AD107" i="2"/>
  <c r="M108" i="2"/>
  <c r="AD108" i="2"/>
  <c r="M109" i="2"/>
  <c r="X109" i="2" s="1"/>
  <c r="AD109" i="2"/>
  <c r="M110" i="2"/>
  <c r="AD110" i="2"/>
  <c r="M111" i="2"/>
  <c r="AD111" i="2"/>
  <c r="M112" i="2"/>
  <c r="AD112" i="2"/>
  <c r="M113" i="2"/>
  <c r="AD113" i="2"/>
  <c r="M114" i="2"/>
  <c r="AD114" i="2"/>
  <c r="M115" i="2"/>
  <c r="AD115" i="2"/>
  <c r="M116" i="2"/>
  <c r="AD116" i="2"/>
  <c r="M117" i="2"/>
  <c r="AD117" i="2"/>
  <c r="M118" i="2"/>
  <c r="AD118" i="2"/>
  <c r="M119" i="2"/>
  <c r="AD119" i="2"/>
  <c r="M120" i="2"/>
  <c r="AD120" i="2"/>
  <c r="M121" i="2"/>
  <c r="AD121" i="2"/>
  <c r="M122" i="2"/>
  <c r="AD122" i="2"/>
  <c r="M123" i="2"/>
  <c r="AD123" i="2"/>
  <c r="M124" i="2"/>
  <c r="AD124" i="2"/>
  <c r="M125" i="2"/>
  <c r="AD125" i="2"/>
  <c r="M126" i="2"/>
  <c r="AD126" i="2"/>
  <c r="M127" i="2"/>
  <c r="AD127" i="2"/>
  <c r="M128" i="2"/>
  <c r="AD128" i="2"/>
  <c r="M129" i="2"/>
  <c r="AD129" i="2"/>
  <c r="M130" i="2"/>
  <c r="AD130" i="2"/>
  <c r="M131" i="2"/>
  <c r="AD131" i="2"/>
  <c r="M132" i="2"/>
  <c r="AD132" i="2"/>
  <c r="M133" i="2"/>
  <c r="AD133" i="2"/>
  <c r="M134" i="2"/>
  <c r="AD134" i="2"/>
  <c r="M135" i="2"/>
  <c r="AD135" i="2"/>
  <c r="M136" i="2"/>
  <c r="AD136" i="2"/>
  <c r="M137" i="2"/>
  <c r="AD137" i="2"/>
  <c r="M138" i="2"/>
  <c r="AD138" i="2"/>
  <c r="M139" i="2"/>
  <c r="AD139" i="2"/>
  <c r="M140" i="2"/>
  <c r="AD140" i="2"/>
  <c r="M141" i="2"/>
  <c r="AD141" i="2"/>
  <c r="M142" i="2"/>
  <c r="AD142" i="2"/>
  <c r="M143" i="2"/>
  <c r="AD143" i="2"/>
  <c r="M144" i="2"/>
  <c r="AD144" i="2"/>
  <c r="M145" i="2"/>
  <c r="AD145" i="2"/>
  <c r="M146" i="2"/>
  <c r="AD146" i="2"/>
  <c r="M147" i="2"/>
  <c r="AD147" i="2"/>
  <c r="M148" i="2"/>
  <c r="AD148" i="2"/>
  <c r="M149" i="2"/>
  <c r="AD149" i="2"/>
  <c r="M150" i="2"/>
  <c r="AD150" i="2"/>
  <c r="M151" i="2"/>
  <c r="AD151" i="2"/>
  <c r="M152" i="2"/>
  <c r="AD152" i="2"/>
  <c r="M153" i="2"/>
  <c r="AD153" i="2"/>
  <c r="M154" i="2"/>
  <c r="AD154" i="2"/>
  <c r="M155" i="2"/>
  <c r="AD155" i="2"/>
  <c r="M156" i="2"/>
  <c r="AD156" i="2"/>
  <c r="M157" i="2"/>
  <c r="AD157" i="2"/>
  <c r="M158" i="2"/>
  <c r="AD158" i="2"/>
  <c r="M159" i="2"/>
  <c r="AD159" i="2"/>
  <c r="M160" i="2"/>
  <c r="AD160" i="2"/>
  <c r="M161" i="2"/>
  <c r="AD161" i="2"/>
  <c r="M162" i="2"/>
  <c r="AD162" i="2"/>
  <c r="M163" i="2"/>
  <c r="AD163" i="2"/>
  <c r="M164" i="2"/>
  <c r="AD164" i="2"/>
  <c r="M165" i="2"/>
  <c r="AD165" i="2"/>
  <c r="M166" i="2"/>
  <c r="AD166" i="2"/>
  <c r="M167" i="2"/>
  <c r="AD167" i="2"/>
  <c r="M168" i="2"/>
  <c r="AD168" i="2"/>
  <c r="M169" i="2"/>
  <c r="AD169" i="2"/>
  <c r="M170" i="2"/>
  <c r="AD170" i="2"/>
  <c r="M171" i="2"/>
  <c r="AD171" i="2"/>
  <c r="M172" i="2"/>
  <c r="AD172" i="2"/>
  <c r="M173" i="2"/>
  <c r="AD173" i="2"/>
  <c r="M174" i="2"/>
  <c r="AD174" i="2"/>
  <c r="M175" i="2"/>
  <c r="AD175" i="2"/>
  <c r="M176" i="2"/>
  <c r="AD176" i="2"/>
  <c r="M177" i="2"/>
  <c r="AD177" i="2"/>
  <c r="M178" i="2"/>
  <c r="AD178" i="2"/>
  <c r="M179" i="2"/>
  <c r="AD179" i="2"/>
  <c r="M180" i="2"/>
  <c r="AD180" i="2"/>
  <c r="M181" i="2"/>
  <c r="AD181" i="2"/>
  <c r="M182" i="2"/>
  <c r="AD182" i="2"/>
  <c r="M183" i="2"/>
  <c r="AD183" i="2"/>
  <c r="M184" i="2"/>
  <c r="AD184" i="2"/>
  <c r="M185" i="2"/>
  <c r="AD185" i="2"/>
  <c r="M186" i="2"/>
  <c r="AD186" i="2"/>
  <c r="M187" i="2"/>
  <c r="AD187" i="2"/>
  <c r="M188" i="2"/>
  <c r="AD188" i="2"/>
  <c r="M189" i="2"/>
  <c r="AD189" i="2"/>
  <c r="M190" i="2"/>
  <c r="AD190" i="2"/>
  <c r="M191" i="2"/>
  <c r="AD191" i="2"/>
  <c r="M192" i="2"/>
  <c r="AD192" i="2"/>
  <c r="M193" i="2"/>
  <c r="AD193" i="2"/>
  <c r="M194" i="2"/>
  <c r="AD194" i="2"/>
  <c r="M195" i="2"/>
  <c r="AD195" i="2"/>
  <c r="M196" i="2"/>
  <c r="AD196" i="2"/>
  <c r="M197" i="2"/>
  <c r="AD197" i="2"/>
  <c r="M198" i="2"/>
  <c r="AD198" i="2"/>
  <c r="M199" i="2"/>
  <c r="AD199" i="2"/>
  <c r="M200" i="2"/>
  <c r="AD200" i="2"/>
  <c r="M201" i="2"/>
  <c r="AD201" i="2"/>
  <c r="M202" i="2"/>
  <c r="AD202" i="2"/>
  <c r="M203" i="2"/>
  <c r="AD203" i="2"/>
  <c r="M204" i="2"/>
  <c r="AD204" i="2"/>
  <c r="M205" i="2"/>
  <c r="AD205" i="2"/>
  <c r="M206" i="2"/>
  <c r="AD206" i="2"/>
  <c r="M207" i="2"/>
  <c r="AD207" i="2"/>
  <c r="M208" i="2"/>
  <c r="AD208" i="2"/>
  <c r="M209" i="2"/>
  <c r="AD209" i="2"/>
  <c r="M210" i="2"/>
  <c r="AD210" i="2"/>
  <c r="M211" i="2"/>
  <c r="AD211" i="2"/>
  <c r="M212" i="2"/>
  <c r="AD212" i="2"/>
  <c r="M213" i="2"/>
  <c r="AD213" i="2"/>
  <c r="M214" i="2"/>
  <c r="AD214" i="2"/>
  <c r="M215" i="2"/>
  <c r="AD215" i="2"/>
  <c r="M216" i="2"/>
  <c r="AD216" i="2"/>
  <c r="M217" i="2"/>
  <c r="AD217" i="2"/>
  <c r="M218" i="2"/>
  <c r="AD218" i="2"/>
  <c r="M219" i="2"/>
  <c r="AD219" i="2"/>
  <c r="M220" i="2"/>
  <c r="AD220" i="2"/>
  <c r="M221" i="2"/>
  <c r="AD221" i="2"/>
  <c r="M222" i="2"/>
  <c r="AD222" i="2"/>
  <c r="M223" i="2"/>
  <c r="AD223" i="2"/>
  <c r="M224" i="2"/>
  <c r="AD224" i="2"/>
  <c r="M225" i="2"/>
  <c r="AD225" i="2"/>
  <c r="M226" i="2"/>
  <c r="AD226" i="2"/>
  <c r="M227" i="2"/>
  <c r="AD227" i="2"/>
  <c r="M228" i="2"/>
  <c r="AD228" i="2"/>
  <c r="M229" i="2"/>
  <c r="AD229" i="2"/>
  <c r="M230" i="2"/>
  <c r="AD230" i="2"/>
  <c r="M231" i="2"/>
  <c r="AD231" i="2"/>
  <c r="M232" i="2"/>
  <c r="AD232" i="2"/>
  <c r="M233" i="2"/>
  <c r="AD233" i="2"/>
  <c r="M234" i="2"/>
  <c r="AD234" i="2"/>
  <c r="M235" i="2"/>
  <c r="AD235" i="2"/>
  <c r="M236" i="2"/>
  <c r="AD236" i="2"/>
  <c r="M237" i="2"/>
  <c r="AD237" i="2"/>
  <c r="M238" i="2"/>
  <c r="AD238" i="2"/>
  <c r="M239" i="2"/>
  <c r="AD239" i="2"/>
  <c r="M240" i="2"/>
  <c r="AD240" i="2"/>
  <c r="M241" i="2"/>
  <c r="AD241" i="2"/>
  <c r="M242" i="2"/>
  <c r="AD242" i="2"/>
  <c r="M243" i="2"/>
  <c r="AD243" i="2"/>
  <c r="M244" i="2"/>
  <c r="AD244" i="2"/>
  <c r="M245" i="2"/>
  <c r="AD245" i="2"/>
  <c r="M246" i="2"/>
  <c r="AD246" i="2"/>
  <c r="M247" i="2"/>
  <c r="AD247" i="2"/>
  <c r="M248" i="2"/>
  <c r="AD248" i="2"/>
  <c r="M249" i="2"/>
  <c r="AD249" i="2"/>
  <c r="M250" i="2"/>
  <c r="AD250" i="2"/>
  <c r="M251" i="2"/>
  <c r="AD251" i="2"/>
  <c r="M252" i="2"/>
  <c r="AD252" i="2"/>
  <c r="M253" i="2"/>
  <c r="AD253" i="2"/>
  <c r="M254" i="2"/>
  <c r="AD254" i="2"/>
  <c r="M255" i="2"/>
  <c r="AD255" i="2"/>
  <c r="M256" i="2"/>
  <c r="AD256" i="2"/>
  <c r="M257" i="2"/>
  <c r="AD257" i="2"/>
  <c r="M258" i="2"/>
  <c r="AD258" i="2"/>
  <c r="M259" i="2"/>
  <c r="AD259" i="2"/>
  <c r="M260" i="2"/>
  <c r="AD260" i="2"/>
  <c r="M261" i="2"/>
  <c r="AD261" i="2"/>
  <c r="M262" i="2"/>
  <c r="AD262" i="2"/>
  <c r="M263" i="2"/>
  <c r="AD263" i="2"/>
  <c r="M264" i="2"/>
  <c r="AD264" i="2"/>
  <c r="M265" i="2"/>
  <c r="AD265" i="2"/>
  <c r="M266" i="2"/>
  <c r="AD266" i="2"/>
  <c r="M267" i="2"/>
  <c r="AD267" i="2"/>
  <c r="M268" i="2"/>
  <c r="AD268" i="2"/>
  <c r="M269" i="2"/>
  <c r="AD269" i="2"/>
  <c r="M270" i="2"/>
  <c r="AD270" i="2"/>
  <c r="M271" i="2"/>
  <c r="AD271" i="2"/>
  <c r="M272" i="2"/>
  <c r="AD272" i="2"/>
  <c r="M273" i="2"/>
  <c r="AD273" i="2"/>
  <c r="M274" i="2"/>
  <c r="AD274" i="2"/>
  <c r="M275" i="2"/>
  <c r="AD275" i="2"/>
  <c r="M276" i="2"/>
  <c r="AD276" i="2"/>
  <c r="M277" i="2"/>
  <c r="AD277" i="2"/>
  <c r="M278" i="2"/>
  <c r="AD278" i="2"/>
  <c r="M279" i="2"/>
  <c r="AD279" i="2"/>
  <c r="M280" i="2"/>
  <c r="AD280" i="2"/>
  <c r="M281" i="2"/>
  <c r="AD281" i="2"/>
  <c r="M282" i="2"/>
  <c r="AD282" i="2"/>
  <c r="M283" i="2"/>
  <c r="AD283" i="2"/>
  <c r="M284" i="2"/>
  <c r="AD284" i="2"/>
  <c r="M285" i="2"/>
  <c r="AD285" i="2"/>
  <c r="M286" i="2"/>
  <c r="AD286" i="2"/>
  <c r="M287" i="2"/>
  <c r="AD287" i="2"/>
  <c r="M288" i="2"/>
  <c r="AD288" i="2"/>
  <c r="M289" i="2"/>
  <c r="AD289" i="2"/>
  <c r="M290" i="2"/>
  <c r="AD290" i="2"/>
  <c r="M291" i="2"/>
  <c r="AD291" i="2"/>
  <c r="M292" i="2"/>
  <c r="AD292" i="2"/>
  <c r="M293" i="2"/>
  <c r="AD293" i="2"/>
  <c r="M294" i="2"/>
  <c r="AD294" i="2"/>
  <c r="M295" i="2"/>
  <c r="AD295" i="2"/>
  <c r="M296" i="2"/>
  <c r="AD296" i="2"/>
  <c r="M297" i="2"/>
  <c r="AD297" i="2"/>
  <c r="M298" i="2"/>
  <c r="AD298" i="2"/>
  <c r="M299" i="2"/>
  <c r="AD299" i="2"/>
  <c r="M300" i="2"/>
  <c r="AD300" i="2"/>
  <c r="M301" i="2"/>
  <c r="AD301" i="2"/>
  <c r="M302" i="2"/>
  <c r="AD302" i="2"/>
  <c r="M303" i="2"/>
  <c r="AD303" i="2"/>
  <c r="M304" i="2"/>
  <c r="AD304" i="2"/>
  <c r="M305" i="2"/>
  <c r="AD305" i="2"/>
  <c r="M306" i="2"/>
  <c r="AD306" i="2"/>
  <c r="M307" i="2"/>
  <c r="AD307" i="2"/>
  <c r="M308" i="2"/>
  <c r="AD308" i="2"/>
  <c r="M309" i="2"/>
  <c r="AD309" i="2"/>
  <c r="M310" i="2"/>
  <c r="AD310" i="2"/>
  <c r="M311" i="2"/>
  <c r="AD311" i="2"/>
  <c r="M312" i="2"/>
  <c r="AD312" i="2"/>
  <c r="M313" i="2"/>
  <c r="AD313" i="2"/>
  <c r="M314" i="2"/>
  <c r="AD314" i="2"/>
  <c r="M315" i="2"/>
  <c r="AD315" i="2"/>
  <c r="M316" i="2"/>
  <c r="AD316" i="2"/>
  <c r="M317" i="2"/>
  <c r="AD317" i="2"/>
  <c r="M318" i="2"/>
  <c r="AD318" i="2"/>
  <c r="M319" i="2"/>
  <c r="AC319" i="2"/>
  <c r="AD319" i="2"/>
  <c r="M320" i="2"/>
  <c r="AD320" i="2"/>
  <c r="M321" i="2"/>
  <c r="AD321" i="2"/>
  <c r="M322" i="2"/>
  <c r="AD322" i="2"/>
  <c r="M323" i="2"/>
  <c r="AD323" i="2"/>
  <c r="M324" i="2"/>
  <c r="AD324" i="2"/>
  <c r="M325" i="2"/>
  <c r="AD325" i="2"/>
  <c r="M326" i="2"/>
  <c r="AD326" i="2"/>
  <c r="M327" i="2"/>
  <c r="AD327" i="2"/>
  <c r="M328" i="2"/>
  <c r="AD328" i="2"/>
  <c r="M329" i="2"/>
  <c r="AD329" i="2"/>
  <c r="M330" i="2"/>
  <c r="AD330" i="2"/>
  <c r="M331" i="2"/>
  <c r="AD331" i="2"/>
  <c r="M332" i="2"/>
  <c r="AD332" i="2"/>
  <c r="M333" i="2"/>
  <c r="AD333" i="2"/>
  <c r="M334" i="2"/>
  <c r="AD334" i="2"/>
  <c r="M335" i="2"/>
  <c r="AD335" i="2"/>
  <c r="M336" i="2"/>
  <c r="AD336" i="2"/>
  <c r="M337" i="2"/>
  <c r="AD337" i="2"/>
  <c r="M338" i="2"/>
  <c r="AD338" i="2"/>
  <c r="M339" i="2"/>
  <c r="AD339" i="2"/>
  <c r="M340" i="2"/>
  <c r="AD340" i="2"/>
  <c r="M341" i="2"/>
  <c r="AD341" i="2"/>
  <c r="M342" i="2"/>
  <c r="AD342" i="2"/>
  <c r="M343" i="2"/>
  <c r="AD343" i="2"/>
  <c r="M344" i="2"/>
  <c r="AD344" i="2"/>
  <c r="M345" i="2"/>
  <c r="AD345" i="2"/>
  <c r="M346" i="2"/>
  <c r="AD346" i="2"/>
  <c r="M347" i="2"/>
  <c r="AD347" i="2"/>
  <c r="M348" i="2"/>
  <c r="AD348" i="2"/>
  <c r="M349" i="2"/>
  <c r="AD349" i="2"/>
  <c r="M350" i="2"/>
  <c r="AD350" i="2"/>
  <c r="M351" i="2"/>
  <c r="AD351" i="2"/>
  <c r="M352" i="2"/>
  <c r="AD352" i="2"/>
  <c r="M353" i="2"/>
  <c r="AD353" i="2"/>
  <c r="M354" i="2"/>
  <c r="AD354" i="2"/>
  <c r="M355" i="2"/>
  <c r="AD355" i="2"/>
  <c r="M356" i="2"/>
  <c r="AD356" i="2"/>
  <c r="M357" i="2"/>
  <c r="AD357" i="2"/>
  <c r="M358" i="2"/>
  <c r="AD358" i="2"/>
  <c r="M359" i="2"/>
  <c r="AD359" i="2"/>
  <c r="M360" i="2"/>
  <c r="AD360" i="2"/>
  <c r="M361" i="2"/>
  <c r="AD361" i="2"/>
  <c r="M362" i="2"/>
  <c r="AD362" i="2"/>
  <c r="M363" i="2"/>
  <c r="AD363" i="2"/>
  <c r="M364" i="2"/>
  <c r="AD364" i="2"/>
  <c r="M365" i="2"/>
  <c r="AD365" i="2"/>
  <c r="M366" i="2"/>
  <c r="AD366" i="2"/>
  <c r="M367" i="2"/>
  <c r="AD367" i="2"/>
  <c r="M368" i="2"/>
  <c r="AD368" i="2"/>
  <c r="M369" i="2"/>
  <c r="AD369" i="2"/>
  <c r="M370" i="2"/>
  <c r="AD370" i="2"/>
  <c r="M371" i="2"/>
  <c r="AD371" i="2"/>
  <c r="M372" i="2"/>
  <c r="AD372" i="2"/>
  <c r="M373" i="2"/>
  <c r="AD373" i="2"/>
  <c r="M374" i="2"/>
  <c r="AD374" i="2"/>
  <c r="M375" i="2"/>
  <c r="AD375" i="2"/>
  <c r="M376" i="2"/>
  <c r="AD376" i="2"/>
  <c r="M377" i="2"/>
  <c r="AD377" i="2"/>
  <c r="M378" i="2"/>
  <c r="AD378" i="2"/>
  <c r="M379" i="2"/>
  <c r="AD379" i="2"/>
  <c r="M380" i="2"/>
  <c r="AD380" i="2"/>
  <c r="M381" i="2"/>
  <c r="AD381" i="2"/>
  <c r="M382" i="2"/>
  <c r="AD382" i="2"/>
  <c r="M383" i="2"/>
  <c r="AD383" i="2"/>
  <c r="M384" i="2"/>
  <c r="AD384" i="2"/>
  <c r="M385" i="2"/>
  <c r="AD385" i="2"/>
  <c r="M386" i="2"/>
  <c r="AD386" i="2"/>
  <c r="M387" i="2"/>
  <c r="AD387" i="2"/>
  <c r="M388" i="2"/>
  <c r="AD388" i="2"/>
  <c r="M389" i="2"/>
  <c r="AD389" i="2"/>
  <c r="M390" i="2"/>
  <c r="AD390" i="2"/>
  <c r="M391" i="2"/>
  <c r="AD391" i="2"/>
  <c r="M392" i="2"/>
  <c r="AD392" i="2"/>
  <c r="M393" i="2"/>
  <c r="AD393" i="2"/>
  <c r="M394" i="2"/>
  <c r="AD394" i="2"/>
  <c r="M395" i="2"/>
  <c r="AD395" i="2"/>
  <c r="M396" i="2"/>
  <c r="AD396" i="2"/>
  <c r="M397" i="2"/>
  <c r="AD397" i="2"/>
  <c r="M398" i="2"/>
  <c r="AD398" i="2"/>
  <c r="M399" i="2"/>
  <c r="AD399" i="2"/>
  <c r="M400" i="2"/>
  <c r="AD400" i="2"/>
  <c r="M401" i="2"/>
  <c r="AD401" i="2"/>
  <c r="M402" i="2"/>
  <c r="AD402" i="2"/>
  <c r="M403" i="2"/>
  <c r="AD403" i="2"/>
  <c r="M404" i="2"/>
  <c r="AD404" i="2"/>
  <c r="M405" i="2"/>
  <c r="AD405" i="2"/>
  <c r="M406" i="2"/>
  <c r="AD406" i="2"/>
  <c r="M407" i="2"/>
  <c r="AD407" i="2"/>
  <c r="M408" i="2"/>
  <c r="AD408" i="2"/>
  <c r="M409" i="2"/>
  <c r="AD409" i="2"/>
  <c r="M410" i="2"/>
  <c r="AD410" i="2"/>
  <c r="M411" i="2"/>
  <c r="AD411" i="2"/>
  <c r="M412" i="2"/>
  <c r="AD412" i="2"/>
  <c r="M413" i="2"/>
  <c r="AD413" i="2"/>
  <c r="M414" i="2"/>
  <c r="AD414" i="2"/>
  <c r="M415" i="2"/>
  <c r="AD415" i="2"/>
  <c r="M416" i="2"/>
  <c r="AD416" i="2"/>
  <c r="M417" i="2"/>
  <c r="AD417" i="2"/>
  <c r="M418" i="2"/>
  <c r="AD418" i="2"/>
  <c r="M419" i="2"/>
  <c r="AD419" i="2"/>
  <c r="M420" i="2"/>
  <c r="AD420" i="2"/>
  <c r="M421" i="2"/>
  <c r="AD421" i="2"/>
  <c r="M422" i="2"/>
  <c r="AD422" i="2"/>
  <c r="M423" i="2"/>
  <c r="AD423" i="2"/>
  <c r="M424" i="2"/>
  <c r="AD424" i="2"/>
  <c r="M425" i="2"/>
  <c r="AD425" i="2"/>
  <c r="M426" i="2"/>
  <c r="AD426" i="2"/>
  <c r="M427" i="2"/>
  <c r="AD427" i="2"/>
  <c r="M428" i="2"/>
  <c r="AD428" i="2"/>
  <c r="M429" i="2"/>
  <c r="AD429" i="2"/>
  <c r="M430" i="2"/>
  <c r="AD430" i="2"/>
  <c r="M431" i="2"/>
  <c r="AD431" i="2"/>
  <c r="M432" i="2"/>
  <c r="AD432" i="2"/>
  <c r="M433" i="2"/>
  <c r="AD433" i="2"/>
  <c r="M434" i="2"/>
  <c r="AD434" i="2"/>
  <c r="M435" i="2"/>
  <c r="AD435" i="2"/>
  <c r="M436" i="2"/>
  <c r="AD436" i="2"/>
  <c r="M437" i="2"/>
  <c r="AD437" i="2"/>
  <c r="M438" i="2"/>
  <c r="AD438" i="2"/>
  <c r="M439" i="2"/>
  <c r="AD439" i="2"/>
  <c r="M440" i="2"/>
  <c r="AD440" i="2"/>
  <c r="M441" i="2"/>
  <c r="AD441" i="2"/>
  <c r="M442" i="2"/>
  <c r="AD442" i="2"/>
  <c r="M443" i="2"/>
  <c r="AD443" i="2"/>
  <c r="M444" i="2"/>
  <c r="AD444" i="2"/>
  <c r="M445" i="2"/>
  <c r="AD445" i="2"/>
  <c r="M446" i="2"/>
  <c r="AD446" i="2"/>
  <c r="M447" i="2"/>
  <c r="AD447" i="2"/>
  <c r="M448" i="2"/>
  <c r="AD448" i="2"/>
  <c r="M449" i="2"/>
  <c r="AD449" i="2"/>
  <c r="M450" i="2"/>
  <c r="AD450" i="2"/>
  <c r="M451" i="2"/>
  <c r="AD451" i="2"/>
  <c r="M452" i="2"/>
  <c r="AD452" i="2"/>
  <c r="M453" i="2"/>
  <c r="AD453" i="2"/>
  <c r="M454" i="2"/>
  <c r="AD454" i="2"/>
  <c r="M455" i="2"/>
  <c r="AD455" i="2"/>
  <c r="M456" i="2"/>
  <c r="AD456" i="2"/>
  <c r="M457" i="2"/>
  <c r="AD457" i="2"/>
  <c r="M458" i="2"/>
  <c r="AD458" i="2"/>
  <c r="M459" i="2"/>
  <c r="AD459" i="2"/>
  <c r="M460" i="2"/>
  <c r="AD460" i="2"/>
  <c r="M461" i="2"/>
  <c r="AD461" i="2"/>
  <c r="M462" i="2"/>
  <c r="AD462" i="2"/>
  <c r="M463" i="2"/>
  <c r="AD463" i="2"/>
  <c r="M464" i="2"/>
  <c r="AD464" i="2"/>
  <c r="M465" i="2"/>
  <c r="AD465" i="2"/>
  <c r="M466" i="2"/>
  <c r="AD466" i="2"/>
  <c r="M467" i="2"/>
  <c r="AD467" i="2"/>
  <c r="M468" i="2"/>
  <c r="AD468" i="2"/>
  <c r="M469" i="2"/>
  <c r="AD469" i="2"/>
  <c r="M470" i="2"/>
  <c r="AD470" i="2"/>
  <c r="M471" i="2"/>
  <c r="AD471" i="2"/>
  <c r="M472" i="2"/>
  <c r="AD472" i="2"/>
  <c r="M473" i="2"/>
  <c r="AD473" i="2"/>
  <c r="M474" i="2"/>
  <c r="AD474" i="2"/>
  <c r="M475" i="2"/>
  <c r="P475" i="2" s="1"/>
  <c r="AD475" i="2"/>
  <c r="M476" i="2"/>
  <c r="AD476" i="2"/>
  <c r="M477" i="2"/>
  <c r="AD477" i="2"/>
  <c r="M478" i="2"/>
  <c r="AD478" i="2"/>
  <c r="M479" i="2"/>
  <c r="AD479" i="2"/>
  <c r="M480" i="2"/>
  <c r="AD480" i="2"/>
  <c r="M481" i="2"/>
  <c r="AD481" i="2"/>
  <c r="M482" i="2"/>
  <c r="AD482" i="2"/>
  <c r="M483" i="2"/>
  <c r="AD483" i="2"/>
  <c r="M484" i="2"/>
  <c r="AD484" i="2"/>
  <c r="M485" i="2"/>
  <c r="AD485" i="2"/>
  <c r="M486" i="2"/>
  <c r="AD486" i="2"/>
  <c r="M487" i="2"/>
  <c r="AD487" i="2"/>
  <c r="M488" i="2"/>
  <c r="AD488" i="2"/>
  <c r="M489" i="2"/>
  <c r="AD489" i="2"/>
  <c r="M490" i="2"/>
  <c r="AD490" i="2"/>
  <c r="M491" i="2"/>
  <c r="AD491" i="2"/>
  <c r="M492" i="2"/>
  <c r="AD492" i="2"/>
  <c r="M493" i="2"/>
  <c r="AD493" i="2"/>
  <c r="M494" i="2"/>
  <c r="AD494" i="2"/>
  <c r="M495" i="2"/>
  <c r="AD495" i="2"/>
  <c r="M496" i="2"/>
  <c r="AD496" i="2"/>
  <c r="M497" i="2"/>
  <c r="AD497" i="2"/>
  <c r="M498" i="2"/>
  <c r="AD498" i="2"/>
  <c r="M499" i="2"/>
  <c r="AD499" i="2"/>
  <c r="M500" i="2"/>
  <c r="AD500" i="2"/>
  <c r="M501" i="2"/>
  <c r="AD501" i="2"/>
  <c r="M502" i="2"/>
  <c r="AD502" i="2"/>
  <c r="M503" i="2"/>
  <c r="AD503" i="2"/>
  <c r="M504" i="2"/>
  <c r="AD504" i="2"/>
  <c r="M505" i="2"/>
  <c r="AD505" i="2"/>
  <c r="M506" i="2"/>
  <c r="AD506" i="2"/>
  <c r="M507" i="2"/>
  <c r="AD507" i="2"/>
  <c r="M508" i="2"/>
  <c r="AD508" i="2"/>
  <c r="M509" i="2"/>
  <c r="AD509" i="2"/>
  <c r="M510" i="2"/>
  <c r="AD510" i="2"/>
  <c r="M511" i="2"/>
  <c r="AD511" i="2"/>
  <c r="M512" i="2"/>
  <c r="AD512" i="2"/>
  <c r="M513" i="2"/>
  <c r="AD513" i="2"/>
  <c r="M514" i="2"/>
  <c r="AD514" i="2"/>
  <c r="M515" i="2"/>
  <c r="AD515" i="2"/>
  <c r="M516" i="2"/>
  <c r="AD516" i="2"/>
  <c r="M517" i="2"/>
  <c r="AD517" i="2"/>
  <c r="M518" i="2"/>
  <c r="AD518" i="2"/>
  <c r="M519" i="2"/>
  <c r="AD519" i="2"/>
  <c r="M520" i="2"/>
  <c r="AD520" i="2"/>
  <c r="M521" i="2"/>
  <c r="AD521" i="2"/>
  <c r="M522" i="2"/>
  <c r="AD522" i="2"/>
  <c r="M523" i="2"/>
  <c r="AD523" i="2"/>
  <c r="M524" i="2"/>
  <c r="AD524" i="2"/>
  <c r="M525" i="2"/>
  <c r="AD525" i="2"/>
  <c r="M526" i="2"/>
  <c r="AD526" i="2"/>
  <c r="M527" i="2"/>
  <c r="AD527" i="2"/>
  <c r="M528" i="2"/>
  <c r="V528" i="2" s="1"/>
  <c r="AD528" i="2"/>
  <c r="M529" i="2"/>
  <c r="AD529" i="2"/>
  <c r="M530" i="2"/>
  <c r="AD530" i="2"/>
  <c r="M531" i="2"/>
  <c r="AD531" i="2"/>
  <c r="M532" i="2"/>
  <c r="AD532" i="2"/>
  <c r="M533" i="2"/>
  <c r="AD533" i="2"/>
  <c r="M534" i="2"/>
  <c r="AD534" i="2"/>
  <c r="M535" i="2"/>
  <c r="AD535" i="2"/>
  <c r="M536" i="2"/>
  <c r="AD536" i="2"/>
  <c r="M537" i="2"/>
  <c r="AD537" i="2"/>
  <c r="M538" i="2"/>
  <c r="AD538" i="2"/>
  <c r="M539" i="2"/>
  <c r="AD539" i="2"/>
  <c r="M540" i="2"/>
  <c r="AD540" i="2"/>
  <c r="M541" i="2"/>
  <c r="AD541" i="2"/>
  <c r="M542" i="2"/>
  <c r="AD542" i="2"/>
  <c r="M543" i="2"/>
  <c r="AD543" i="2"/>
  <c r="M544" i="2"/>
  <c r="AD544" i="2"/>
  <c r="M545" i="2"/>
  <c r="AD545" i="2"/>
  <c r="M546" i="2"/>
  <c r="AD546" i="2"/>
  <c r="M547" i="2"/>
  <c r="AD547" i="2"/>
  <c r="M548" i="2"/>
  <c r="AD548" i="2"/>
  <c r="M549" i="2"/>
  <c r="AD549" i="2"/>
  <c r="M550" i="2"/>
  <c r="AD550" i="2"/>
  <c r="M551" i="2"/>
  <c r="AD551" i="2"/>
  <c r="M552" i="2"/>
  <c r="AD552" i="2"/>
  <c r="M553" i="2"/>
  <c r="AD553" i="2"/>
  <c r="M554" i="2"/>
  <c r="AD554" i="2"/>
  <c r="M3" i="2"/>
  <c r="R3" i="2" s="1"/>
  <c r="AD3" i="2"/>
  <c r="A4" i="1"/>
  <c r="A5" i="1" s="1"/>
  <c r="A6" i="1" s="1"/>
  <c r="A7" i="1"/>
  <c r="A8" i="1" s="1"/>
  <c r="A9" i="1" s="1"/>
  <c r="A10" i="1"/>
  <c r="A11" i="1" s="1"/>
  <c r="A12" i="1" s="1"/>
  <c r="A13" i="1" s="1"/>
  <c r="A14" i="1" s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3" i="1"/>
  <c r="A2" i="1"/>
  <c r="K102" i="163" l="1"/>
  <c r="B102" i="163"/>
  <c r="J94" i="163"/>
  <c r="B94" i="163"/>
  <c r="F94" i="163"/>
  <c r="G90" i="163"/>
  <c r="B90" i="163"/>
  <c r="K90" i="163"/>
  <c r="D82" i="163"/>
  <c r="I82" i="163"/>
  <c r="H82" i="163"/>
  <c r="D74" i="163"/>
  <c r="G74" i="163"/>
  <c r="I74" i="163"/>
  <c r="I66" i="163"/>
  <c r="J66" i="163"/>
  <c r="C66" i="163"/>
  <c r="I62" i="163"/>
  <c r="C62" i="163"/>
  <c r="F62" i="163"/>
  <c r="K54" i="163"/>
  <c r="C54" i="163"/>
  <c r="G54" i="163"/>
  <c r="C46" i="163"/>
  <c r="G46" i="163"/>
  <c r="E46" i="163"/>
  <c r="F46" i="163"/>
  <c r="I42" i="163"/>
  <c r="F42" i="163"/>
  <c r="B42" i="163"/>
  <c r="I34" i="163"/>
  <c r="B34" i="163"/>
  <c r="H34" i="163"/>
  <c r="C34" i="163"/>
  <c r="F26" i="163"/>
  <c r="C26" i="163"/>
  <c r="J26" i="163"/>
  <c r="I22" i="163"/>
  <c r="J22" i="163"/>
  <c r="E22" i="163"/>
  <c r="B14" i="163"/>
  <c r="K14" i="163"/>
  <c r="F14" i="163"/>
  <c r="J6" i="163"/>
  <c r="D6" i="163"/>
  <c r="I6" i="163"/>
  <c r="H14" i="163"/>
  <c r="A62" i="163"/>
  <c r="H3" i="163"/>
  <c r="A3" i="163"/>
  <c r="H7" i="163"/>
  <c r="E7" i="163"/>
  <c r="H11" i="163"/>
  <c r="E11" i="163"/>
  <c r="H15" i="163"/>
  <c r="F19" i="163"/>
  <c r="F27" i="163"/>
  <c r="I35" i="163"/>
  <c r="I43" i="163"/>
  <c r="I51" i="163"/>
  <c r="J83" i="163"/>
  <c r="A95" i="163"/>
  <c r="B60" i="163"/>
  <c r="E104" i="163"/>
  <c r="C22" i="163"/>
  <c r="G42" i="163"/>
  <c r="B66" i="163"/>
  <c r="D90" i="163"/>
  <c r="D106" i="163"/>
  <c r="I106" i="163"/>
  <c r="E106" i="163"/>
  <c r="B98" i="163"/>
  <c r="C98" i="163"/>
  <c r="D98" i="163"/>
  <c r="E98" i="163"/>
  <c r="J86" i="163"/>
  <c r="K86" i="163"/>
  <c r="F86" i="163"/>
  <c r="C78" i="163"/>
  <c r="D78" i="163"/>
  <c r="G78" i="163"/>
  <c r="K70" i="163"/>
  <c r="B70" i="163"/>
  <c r="J70" i="163"/>
  <c r="E58" i="163"/>
  <c r="I58" i="163"/>
  <c r="D58" i="163"/>
  <c r="K58" i="163"/>
  <c r="I50" i="163"/>
  <c r="F50" i="163"/>
  <c r="K38" i="163"/>
  <c r="A38" i="163"/>
  <c r="H30" i="163"/>
  <c r="A30" i="163"/>
  <c r="C30" i="163"/>
  <c r="D18" i="163"/>
  <c r="H18" i="163"/>
  <c r="I18" i="163"/>
  <c r="E10" i="163"/>
  <c r="F10" i="163"/>
  <c r="A10" i="163"/>
  <c r="K52" i="163"/>
  <c r="H52" i="163"/>
  <c r="E40" i="163"/>
  <c r="B40" i="163"/>
  <c r="D28" i="163"/>
  <c r="E28" i="163"/>
  <c r="B20" i="163"/>
  <c r="E20" i="163"/>
  <c r="H8" i="163"/>
  <c r="E8" i="163"/>
  <c r="C3" i="163"/>
  <c r="B3" i="163"/>
  <c r="J7" i="163"/>
  <c r="A7" i="163"/>
  <c r="F11" i="163"/>
  <c r="A11" i="163"/>
  <c r="F72" i="163"/>
  <c r="E26" i="163"/>
  <c r="D50" i="163"/>
  <c r="E74" i="163"/>
  <c r="C94" i="163"/>
  <c r="D107" i="163"/>
  <c r="C107" i="163"/>
  <c r="J107" i="163"/>
  <c r="H103" i="163"/>
  <c r="D103" i="163"/>
  <c r="C103" i="163"/>
  <c r="G103" i="163"/>
  <c r="E103" i="163"/>
  <c r="C99" i="163"/>
  <c r="F99" i="163"/>
  <c r="D99" i="163"/>
  <c r="E99" i="163"/>
  <c r="H99" i="163"/>
  <c r="G99" i="163"/>
  <c r="J95" i="163"/>
  <c r="E95" i="163"/>
  <c r="K95" i="163"/>
  <c r="G95" i="163"/>
  <c r="C95" i="163"/>
  <c r="D91" i="163"/>
  <c r="E91" i="163"/>
  <c r="A91" i="163"/>
  <c r="B91" i="163"/>
  <c r="F91" i="163"/>
  <c r="H87" i="163"/>
  <c r="E87" i="163"/>
  <c r="I87" i="163"/>
  <c r="D87" i="163"/>
  <c r="A87" i="163"/>
  <c r="C83" i="163"/>
  <c r="H83" i="163"/>
  <c r="B83" i="163"/>
  <c r="A83" i="163"/>
  <c r="F83" i="163"/>
  <c r="J79" i="163"/>
  <c r="I79" i="163"/>
  <c r="H79" i="163"/>
  <c r="C79" i="163"/>
  <c r="E79" i="163"/>
  <c r="F79" i="163"/>
  <c r="D75" i="163"/>
  <c r="F75" i="163"/>
  <c r="B75" i="163"/>
  <c r="K75" i="163"/>
  <c r="G75" i="163"/>
  <c r="I75" i="163"/>
  <c r="B71" i="163"/>
  <c r="G71" i="163"/>
  <c r="C71" i="163"/>
  <c r="E71" i="163"/>
  <c r="F71" i="163"/>
  <c r="D71" i="163"/>
  <c r="J71" i="163"/>
  <c r="G67" i="163"/>
  <c r="B67" i="163"/>
  <c r="C67" i="163"/>
  <c r="A67" i="163"/>
  <c r="F67" i="163"/>
  <c r="D67" i="163"/>
  <c r="I67" i="163"/>
  <c r="J67" i="163"/>
  <c r="D63" i="163"/>
  <c r="C63" i="163"/>
  <c r="A63" i="163"/>
  <c r="I63" i="163"/>
  <c r="G63" i="163"/>
  <c r="J63" i="163"/>
  <c r="K63" i="163"/>
  <c r="C59" i="163"/>
  <c r="G59" i="163"/>
  <c r="J59" i="163"/>
  <c r="K59" i="163"/>
  <c r="E59" i="163"/>
  <c r="D59" i="163"/>
  <c r="F59" i="163"/>
  <c r="J55" i="163"/>
  <c r="F55" i="163"/>
  <c r="C55" i="163"/>
  <c r="D55" i="163"/>
  <c r="G55" i="163"/>
  <c r="I55" i="163"/>
  <c r="A55" i="163"/>
  <c r="E51" i="163"/>
  <c r="F51" i="163"/>
  <c r="G51" i="163"/>
  <c r="J51" i="163"/>
  <c r="H51" i="163"/>
  <c r="K51" i="163"/>
  <c r="C51" i="163"/>
  <c r="D47" i="163"/>
  <c r="H47" i="163"/>
  <c r="A47" i="163"/>
  <c r="B47" i="163"/>
  <c r="I47" i="163"/>
  <c r="F47" i="163"/>
  <c r="C47" i="163"/>
  <c r="H43" i="163"/>
  <c r="D43" i="163"/>
  <c r="K43" i="163"/>
  <c r="B43" i="163"/>
  <c r="E43" i="163"/>
  <c r="F43" i="163"/>
  <c r="A43" i="163"/>
  <c r="B39" i="163"/>
  <c r="D39" i="163"/>
  <c r="G39" i="163"/>
  <c r="H39" i="163"/>
  <c r="I39" i="163"/>
  <c r="F39" i="163"/>
  <c r="E39" i="163"/>
  <c r="F35" i="163"/>
  <c r="D35" i="163"/>
  <c r="C35" i="163"/>
  <c r="G35" i="163"/>
  <c r="H35" i="163"/>
  <c r="K35" i="163"/>
  <c r="B35" i="163"/>
  <c r="A35" i="163"/>
  <c r="C31" i="163"/>
  <c r="I31" i="163"/>
  <c r="H31" i="163"/>
  <c r="G31" i="163"/>
  <c r="F31" i="163"/>
  <c r="K31" i="163"/>
  <c r="B31" i="163"/>
  <c r="G27" i="163"/>
  <c r="E27" i="163"/>
  <c r="H27" i="163"/>
  <c r="C27" i="163"/>
  <c r="B27" i="163"/>
  <c r="K27" i="163"/>
  <c r="J27" i="163"/>
  <c r="K23" i="163"/>
  <c r="E23" i="163"/>
  <c r="H23" i="163"/>
  <c r="C23" i="163"/>
  <c r="I23" i="163"/>
  <c r="G23" i="163"/>
  <c r="B23" i="163"/>
  <c r="A19" i="163"/>
  <c r="E19" i="163"/>
  <c r="H19" i="163"/>
  <c r="C19" i="163"/>
  <c r="I19" i="163"/>
  <c r="D19" i="163"/>
  <c r="G19" i="163"/>
  <c r="B19" i="163"/>
  <c r="C15" i="163"/>
  <c r="A15" i="163"/>
  <c r="I15" i="163"/>
  <c r="G15" i="163"/>
  <c r="F15" i="163"/>
  <c r="E3" i="163"/>
  <c r="F3" i="163"/>
  <c r="B7" i="163"/>
  <c r="G7" i="163"/>
  <c r="J11" i="163"/>
  <c r="K11" i="163"/>
  <c r="B15" i="163"/>
  <c r="J23" i="163"/>
  <c r="D31" i="163"/>
  <c r="C39" i="163"/>
  <c r="K47" i="163"/>
  <c r="B51" i="163"/>
  <c r="B59" i="163"/>
  <c r="H67" i="163"/>
  <c r="A75" i="163"/>
  <c r="G87" i="163"/>
  <c r="A99" i="163"/>
  <c r="D84" i="163"/>
  <c r="G10" i="163"/>
  <c r="B30" i="163"/>
  <c r="I54" i="163"/>
  <c r="J78" i="163"/>
  <c r="J102" i="163"/>
  <c r="I108" i="163"/>
  <c r="H108" i="163"/>
  <c r="G108" i="163"/>
  <c r="F108" i="163"/>
  <c r="J108" i="163"/>
  <c r="B104" i="163"/>
  <c r="K104" i="163"/>
  <c r="A104" i="163"/>
  <c r="G104" i="163"/>
  <c r="C104" i="163"/>
  <c r="A100" i="163"/>
  <c r="H100" i="163"/>
  <c r="D100" i="163"/>
  <c r="E100" i="163"/>
  <c r="F100" i="163"/>
  <c r="G100" i="163"/>
  <c r="E96" i="163"/>
  <c r="B96" i="163"/>
  <c r="H96" i="163"/>
  <c r="I96" i="163"/>
  <c r="G96" i="163"/>
  <c r="K96" i="163"/>
  <c r="I92" i="163"/>
  <c r="H92" i="163"/>
  <c r="B92" i="163"/>
  <c r="F92" i="163"/>
  <c r="D92" i="163"/>
  <c r="B88" i="163"/>
  <c r="F88" i="163"/>
  <c r="A88" i="163"/>
  <c r="G88" i="163"/>
  <c r="H88" i="163"/>
  <c r="A84" i="163"/>
  <c r="H84" i="163"/>
  <c r="J84" i="163"/>
  <c r="E84" i="163"/>
  <c r="F84" i="163"/>
  <c r="B84" i="163"/>
  <c r="E80" i="163"/>
  <c r="B80" i="163"/>
  <c r="C80" i="163"/>
  <c r="I80" i="163"/>
  <c r="G80" i="163"/>
  <c r="F80" i="163"/>
  <c r="I76" i="163"/>
  <c r="H76" i="163"/>
  <c r="G76" i="163"/>
  <c r="F76" i="163"/>
  <c r="J76" i="163"/>
  <c r="B72" i="163"/>
  <c r="K72" i="163"/>
  <c r="A72" i="163"/>
  <c r="G72" i="163"/>
  <c r="C72" i="163"/>
  <c r="A68" i="163"/>
  <c r="H68" i="163"/>
  <c r="D68" i="163"/>
  <c r="E68" i="163"/>
  <c r="F68" i="163"/>
  <c r="G68" i="163"/>
  <c r="E64" i="163"/>
  <c r="F64" i="163"/>
  <c r="G64" i="163"/>
  <c r="I64" i="163"/>
  <c r="B64" i="163"/>
  <c r="K64" i="163"/>
  <c r="A60" i="163"/>
  <c r="C60" i="163"/>
  <c r="K60" i="163"/>
  <c r="E60" i="163"/>
  <c r="J60" i="163"/>
  <c r="D56" i="163"/>
  <c r="B56" i="163"/>
  <c r="C56" i="163"/>
  <c r="I56" i="163"/>
  <c r="H56" i="163"/>
  <c r="C52" i="163"/>
  <c r="J52" i="163"/>
  <c r="I52" i="163"/>
  <c r="G52" i="163"/>
  <c r="A52" i="163"/>
  <c r="B52" i="163"/>
  <c r="E48" i="163"/>
  <c r="K48" i="163"/>
  <c r="B48" i="163"/>
  <c r="I48" i="163"/>
  <c r="D48" i="163"/>
  <c r="H48" i="163"/>
  <c r="I44" i="163"/>
  <c r="H44" i="163"/>
  <c r="D44" i="163"/>
  <c r="C44" i="163"/>
  <c r="B44" i="163"/>
  <c r="C40" i="163"/>
  <c r="F40" i="163"/>
  <c r="A40" i="163"/>
  <c r="G40" i="163"/>
  <c r="J40" i="163"/>
  <c r="A36" i="163"/>
  <c r="G36" i="163"/>
  <c r="J36" i="163"/>
  <c r="E36" i="163"/>
  <c r="K36" i="163"/>
  <c r="F36" i="163"/>
  <c r="H32" i="163"/>
  <c r="C32" i="163"/>
  <c r="E32" i="163"/>
  <c r="B32" i="163"/>
  <c r="K32" i="163"/>
  <c r="A32" i="163"/>
  <c r="B28" i="163"/>
  <c r="C28" i="163"/>
  <c r="A28" i="163"/>
  <c r="F28" i="163"/>
  <c r="K28" i="163"/>
  <c r="F24" i="163"/>
  <c r="G24" i="163"/>
  <c r="D24" i="163"/>
  <c r="J24" i="163"/>
  <c r="A24" i="163"/>
  <c r="D20" i="163"/>
  <c r="J20" i="163"/>
  <c r="A20" i="163"/>
  <c r="H20" i="163"/>
  <c r="G20" i="163"/>
  <c r="I20" i="163"/>
  <c r="H16" i="163"/>
  <c r="C16" i="163"/>
  <c r="E16" i="163"/>
  <c r="B16" i="163"/>
  <c r="K16" i="163"/>
  <c r="A16" i="163"/>
  <c r="B12" i="163"/>
  <c r="C12" i="163"/>
  <c r="A12" i="163"/>
  <c r="F12" i="163"/>
  <c r="K12" i="163"/>
  <c r="F8" i="163"/>
  <c r="G8" i="163"/>
  <c r="D8" i="163"/>
  <c r="J8" i="163"/>
  <c r="A8" i="163"/>
  <c r="D4" i="163"/>
  <c r="J4" i="163"/>
  <c r="A4" i="163"/>
  <c r="H4" i="163"/>
  <c r="G4" i="163"/>
  <c r="I4" i="163"/>
  <c r="F4" i="163"/>
  <c r="K8" i="163"/>
  <c r="I12" i="163"/>
  <c r="H12" i="163"/>
  <c r="J16" i="163"/>
  <c r="K20" i="163"/>
  <c r="I24" i="163"/>
  <c r="B24" i="163"/>
  <c r="G28" i="163"/>
  <c r="I32" i="163"/>
  <c r="D32" i="163"/>
  <c r="C36" i="163"/>
  <c r="D40" i="163"/>
  <c r="F44" i="163"/>
  <c r="E44" i="163"/>
  <c r="G48" i="163"/>
  <c r="D52" i="163"/>
  <c r="F56" i="163"/>
  <c r="K56" i="163"/>
  <c r="G60" i="163"/>
  <c r="D64" i="163"/>
  <c r="A64" i="163"/>
  <c r="C68" i="163"/>
  <c r="J72" i="163"/>
  <c r="D76" i="163"/>
  <c r="E76" i="163"/>
  <c r="J80" i="163"/>
  <c r="G84" i="163"/>
  <c r="C88" i="163"/>
  <c r="I88" i="163"/>
  <c r="C92" i="163"/>
  <c r="F96" i="163"/>
  <c r="A96" i="163"/>
  <c r="C100" i="163"/>
  <c r="J104" i="163"/>
  <c r="D108" i="163"/>
  <c r="E108" i="163"/>
  <c r="H5" i="163"/>
  <c r="B9" i="163"/>
  <c r="I9" i="163"/>
  <c r="K13" i="163"/>
  <c r="B17" i="163"/>
  <c r="A17" i="163"/>
  <c r="C21" i="163"/>
  <c r="H25" i="163"/>
  <c r="F29" i="163"/>
  <c r="E29" i="163"/>
  <c r="G33" i="163"/>
  <c r="K37" i="163"/>
  <c r="E41" i="163"/>
  <c r="J41" i="163"/>
  <c r="E45" i="163"/>
  <c r="K49" i="163"/>
  <c r="B49" i="163"/>
  <c r="J53" i="163"/>
  <c r="B57" i="163"/>
  <c r="H61" i="163"/>
  <c r="B61" i="163"/>
  <c r="H65" i="163"/>
  <c r="A69" i="163"/>
  <c r="H73" i="163"/>
  <c r="J73" i="163"/>
  <c r="C77" i="163"/>
  <c r="K81" i="163"/>
  <c r="B81" i="163"/>
  <c r="C85" i="163"/>
  <c r="I89" i="163"/>
  <c r="I93" i="163"/>
  <c r="F93" i="163"/>
  <c r="I97" i="163"/>
  <c r="A101" i="163"/>
  <c r="H105" i="163"/>
  <c r="J105" i="163"/>
  <c r="C109" i="163"/>
  <c r="A107" i="163"/>
  <c r="I107" i="163"/>
  <c r="F107" i="163"/>
  <c r="I3" i="163"/>
  <c r="D7" i="163"/>
  <c r="F7" i="163"/>
  <c r="D11" i="163"/>
  <c r="I11" i="163"/>
  <c r="J15" i="163"/>
  <c r="E15" i="163"/>
  <c r="J19" i="163"/>
  <c r="D23" i="163"/>
  <c r="F23" i="163"/>
  <c r="D27" i="163"/>
  <c r="I27" i="163"/>
  <c r="J31" i="163"/>
  <c r="E31" i="163"/>
  <c r="E35" i="163"/>
  <c r="K39" i="163"/>
  <c r="A39" i="163"/>
  <c r="G43" i="163"/>
  <c r="C43" i="163"/>
  <c r="E47" i="163"/>
  <c r="J47" i="163"/>
  <c r="D51" i="163"/>
  <c r="H55" i="163"/>
  <c r="K55" i="163"/>
  <c r="I59" i="163"/>
  <c r="H59" i="163"/>
  <c r="E63" i="163"/>
  <c r="B63" i="163"/>
  <c r="K67" i="163"/>
  <c r="I71" i="163"/>
  <c r="A71" i="163"/>
  <c r="E75" i="163"/>
  <c r="C75" i="163"/>
  <c r="H75" i="163"/>
  <c r="K79" i="163"/>
  <c r="B79" i="163"/>
  <c r="D79" i="163"/>
  <c r="G83" i="163"/>
  <c r="I83" i="163"/>
  <c r="C87" i="163"/>
  <c r="F87" i="163"/>
  <c r="B87" i="163"/>
  <c r="J91" i="163"/>
  <c r="C91" i="163"/>
  <c r="H91" i="163"/>
  <c r="I95" i="163"/>
  <c r="B95" i="163"/>
  <c r="D95" i="163"/>
  <c r="B99" i="163"/>
  <c r="I99" i="163"/>
  <c r="I103" i="163"/>
  <c r="A103" i="163"/>
  <c r="B103" i="163"/>
  <c r="E107" i="163"/>
  <c r="K107" i="163"/>
  <c r="E4" i="163"/>
  <c r="B4" i="163"/>
  <c r="C8" i="163"/>
  <c r="E12" i="163"/>
  <c r="D12" i="163"/>
  <c r="F16" i="163"/>
  <c r="C20" i="163"/>
  <c r="E24" i="163"/>
  <c r="H24" i="163"/>
  <c r="J28" i="163"/>
  <c r="G32" i="163"/>
  <c r="D36" i="163"/>
  <c r="I36" i="163"/>
  <c r="K40" i="163"/>
  <c r="J44" i="163"/>
  <c r="A44" i="163"/>
  <c r="C48" i="163"/>
  <c r="F52" i="163"/>
  <c r="A56" i="163"/>
  <c r="G56" i="163"/>
  <c r="I60" i="163"/>
  <c r="J64" i="163"/>
  <c r="J68" i="163"/>
  <c r="I68" i="163"/>
  <c r="D72" i="163"/>
  <c r="B76" i="163"/>
  <c r="A76" i="163"/>
  <c r="D80" i="163"/>
  <c r="K84" i="163"/>
  <c r="K88" i="163"/>
  <c r="E88" i="163"/>
  <c r="K92" i="163"/>
  <c r="C96" i="163"/>
  <c r="J100" i="163"/>
  <c r="I100" i="163"/>
  <c r="D104" i="163"/>
  <c r="B108" i="163"/>
  <c r="A108" i="163"/>
  <c r="J9" i="163"/>
  <c r="J21" i="163"/>
  <c r="J29" i="163"/>
  <c r="G41" i="163"/>
  <c r="I53" i="163"/>
  <c r="G61" i="163"/>
  <c r="E73" i="163"/>
  <c r="D85" i="163"/>
  <c r="G93" i="163"/>
  <c r="E105" i="163"/>
  <c r="C6" i="163"/>
  <c r="C14" i="163"/>
  <c r="G26" i="163"/>
  <c r="F38" i="163"/>
  <c r="D46" i="163"/>
  <c r="F58" i="163"/>
  <c r="I70" i="163"/>
  <c r="A78" i="163"/>
  <c r="J90" i="163"/>
  <c r="I102" i="163"/>
  <c r="J109" i="163"/>
  <c r="H109" i="163"/>
  <c r="G109" i="163"/>
  <c r="E109" i="163"/>
  <c r="I109" i="163"/>
  <c r="A105" i="163"/>
  <c r="K105" i="163"/>
  <c r="B105" i="163"/>
  <c r="G105" i="163"/>
  <c r="C105" i="163"/>
  <c r="B101" i="163"/>
  <c r="H101" i="163"/>
  <c r="D101" i="163"/>
  <c r="F101" i="163"/>
  <c r="E101" i="163"/>
  <c r="G101" i="163"/>
  <c r="F97" i="163"/>
  <c r="A97" i="163"/>
  <c r="H97" i="163"/>
  <c r="J97" i="163"/>
  <c r="G97" i="163"/>
  <c r="K97" i="163"/>
  <c r="J93" i="163"/>
  <c r="H93" i="163"/>
  <c r="A93" i="163"/>
  <c r="E93" i="163"/>
  <c r="D93" i="163"/>
  <c r="A89" i="163"/>
  <c r="E89" i="163"/>
  <c r="B89" i="163"/>
  <c r="G89" i="163"/>
  <c r="H89" i="163"/>
  <c r="B85" i="163"/>
  <c r="H85" i="163"/>
  <c r="I85" i="163"/>
  <c r="F85" i="163"/>
  <c r="E85" i="163"/>
  <c r="A85" i="163"/>
  <c r="F81" i="163"/>
  <c r="A81" i="163"/>
  <c r="C81" i="163"/>
  <c r="J81" i="163"/>
  <c r="G81" i="163"/>
  <c r="E81" i="163"/>
  <c r="J77" i="163"/>
  <c r="H77" i="163"/>
  <c r="G77" i="163"/>
  <c r="E77" i="163"/>
  <c r="I77" i="163"/>
  <c r="A73" i="163"/>
  <c r="K73" i="163"/>
  <c r="B73" i="163"/>
  <c r="G73" i="163"/>
  <c r="C73" i="163"/>
  <c r="B69" i="163"/>
  <c r="H69" i="163"/>
  <c r="D69" i="163"/>
  <c r="F69" i="163"/>
  <c r="E69" i="163"/>
  <c r="G69" i="163"/>
  <c r="F65" i="163"/>
  <c r="A65" i="163"/>
  <c r="K65" i="163"/>
  <c r="J65" i="163"/>
  <c r="I65" i="163"/>
  <c r="D65" i="163"/>
  <c r="F61" i="163"/>
  <c r="C61" i="163"/>
  <c r="E61" i="163"/>
  <c r="J61" i="163"/>
  <c r="K61" i="163"/>
  <c r="I57" i="163"/>
  <c r="K57" i="163"/>
  <c r="D57" i="163"/>
  <c r="E57" i="163"/>
  <c r="F57" i="163"/>
  <c r="D53" i="163"/>
  <c r="A53" i="163"/>
  <c r="G53" i="163"/>
  <c r="H53" i="163"/>
  <c r="F53" i="163"/>
  <c r="B53" i="163"/>
  <c r="F49" i="163"/>
  <c r="A49" i="163"/>
  <c r="E49" i="163"/>
  <c r="J49" i="163"/>
  <c r="I49" i="163"/>
  <c r="G49" i="163"/>
  <c r="J45" i="163"/>
  <c r="G45" i="163"/>
  <c r="A45" i="163"/>
  <c r="D45" i="163"/>
  <c r="K45" i="163"/>
  <c r="D41" i="163"/>
  <c r="C41" i="163"/>
  <c r="B41" i="163"/>
  <c r="H41" i="163"/>
  <c r="K41" i="163"/>
  <c r="B37" i="163"/>
  <c r="H37" i="163"/>
  <c r="C37" i="163"/>
  <c r="F37" i="163"/>
  <c r="E37" i="163"/>
  <c r="I37" i="163"/>
  <c r="E33" i="163"/>
  <c r="K33" i="163"/>
  <c r="J33" i="163"/>
  <c r="I33" i="163"/>
  <c r="H33" i="163"/>
  <c r="F33" i="163"/>
  <c r="I29" i="163"/>
  <c r="D29" i="163"/>
  <c r="B29" i="163"/>
  <c r="C29" i="163"/>
  <c r="H29" i="163"/>
  <c r="C25" i="163"/>
  <c r="D25" i="163"/>
  <c r="A25" i="163"/>
  <c r="G25" i="163"/>
  <c r="F25" i="163"/>
  <c r="A21" i="163"/>
  <c r="G21" i="163"/>
  <c r="B21" i="163"/>
  <c r="E21" i="163"/>
  <c r="K21" i="163"/>
  <c r="F21" i="163"/>
  <c r="E17" i="163"/>
  <c r="K17" i="163"/>
  <c r="J17" i="163"/>
  <c r="I17" i="163"/>
  <c r="H17" i="163"/>
  <c r="F17" i="163"/>
  <c r="I13" i="163"/>
  <c r="D13" i="163"/>
  <c r="B13" i="163"/>
  <c r="C13" i="163"/>
  <c r="H13" i="163"/>
  <c r="C9" i="163"/>
  <c r="D9" i="163"/>
  <c r="A9" i="163"/>
  <c r="G9" i="163"/>
  <c r="F9" i="163"/>
  <c r="A5" i="163"/>
  <c r="G5" i="163"/>
  <c r="B5" i="163"/>
  <c r="E5" i="163"/>
  <c r="K5" i="163"/>
  <c r="F5" i="163"/>
  <c r="J5" i="163"/>
  <c r="I5" i="163"/>
  <c r="K9" i="163"/>
  <c r="J13" i="163"/>
  <c r="A13" i="163"/>
  <c r="C17" i="163"/>
  <c r="D21" i="163"/>
  <c r="J25" i="163"/>
  <c r="E25" i="163"/>
  <c r="G29" i="163"/>
  <c r="D33" i="163"/>
  <c r="A37" i="163"/>
  <c r="J37" i="163"/>
  <c r="A41" i="163"/>
  <c r="C45" i="163"/>
  <c r="B45" i="163"/>
  <c r="D49" i="163"/>
  <c r="K53" i="163"/>
  <c r="G57" i="163"/>
  <c r="H57" i="163"/>
  <c r="D61" i="163"/>
  <c r="E65" i="163"/>
  <c r="I69" i="163"/>
  <c r="J69" i="163"/>
  <c r="D73" i="163"/>
  <c r="A77" i="163"/>
  <c r="B77" i="163"/>
  <c r="D81" i="163"/>
  <c r="K85" i="163"/>
  <c r="K89" i="163"/>
  <c r="F89" i="163"/>
  <c r="K93" i="163"/>
  <c r="C97" i="163"/>
  <c r="I101" i="163"/>
  <c r="J101" i="163"/>
  <c r="D105" i="163"/>
  <c r="A109" i="163"/>
  <c r="B109" i="163"/>
  <c r="AD11" i="72" a="1"/>
  <c r="AD11" i="72" s="1"/>
  <c r="AD10" i="72" a="1"/>
  <c r="AD10" i="72" s="1"/>
  <c r="AD13" i="72" a="1"/>
  <c r="AD13" i="72" s="1"/>
  <c r="AD12" i="72" a="1"/>
  <c r="AD12" i="72" s="1"/>
  <c r="W2" i="163"/>
  <c r="A106" i="163"/>
  <c r="J106" i="163"/>
  <c r="C106" i="163"/>
  <c r="F106" i="163"/>
  <c r="B106" i="163"/>
  <c r="C102" i="163"/>
  <c r="H102" i="163"/>
  <c r="D102" i="163"/>
  <c r="G102" i="163"/>
  <c r="E102" i="163"/>
  <c r="F102" i="163"/>
  <c r="G98" i="163"/>
  <c r="A98" i="163"/>
  <c r="H98" i="163"/>
  <c r="K98" i="163"/>
  <c r="F98" i="163"/>
  <c r="J98" i="163"/>
  <c r="K94" i="163"/>
  <c r="H94" i="163"/>
  <c r="A94" i="163"/>
  <c r="E94" i="163"/>
  <c r="D94" i="163"/>
  <c r="A90" i="163"/>
  <c r="E90" i="163"/>
  <c r="C90" i="163"/>
  <c r="F90" i="163"/>
  <c r="H90" i="163"/>
  <c r="C86" i="163"/>
  <c r="H86" i="163"/>
  <c r="I86" i="163"/>
  <c r="G86" i="163"/>
  <c r="E86" i="163"/>
  <c r="A86" i="163"/>
  <c r="G82" i="163"/>
  <c r="A82" i="163"/>
  <c r="B82" i="163"/>
  <c r="K82" i="163"/>
  <c r="F82" i="163"/>
  <c r="E82" i="163"/>
  <c r="K78" i="163"/>
  <c r="H78" i="163"/>
  <c r="F78" i="163"/>
  <c r="E78" i="163"/>
  <c r="I78" i="163"/>
  <c r="A74" i="163"/>
  <c r="J74" i="163"/>
  <c r="C74" i="163"/>
  <c r="F74" i="163"/>
  <c r="B74" i="163"/>
  <c r="C70" i="163"/>
  <c r="H70" i="163"/>
  <c r="D70" i="163"/>
  <c r="G70" i="163"/>
  <c r="E70" i="163"/>
  <c r="F70" i="163"/>
  <c r="G66" i="163"/>
  <c r="E66" i="163"/>
  <c r="D66" i="163"/>
  <c r="K66" i="163"/>
  <c r="A66" i="163"/>
  <c r="F66" i="163"/>
  <c r="K62" i="163"/>
  <c r="B62" i="163"/>
  <c r="H62" i="163"/>
  <c r="D62" i="163"/>
  <c r="J62" i="163"/>
  <c r="C58" i="163"/>
  <c r="B58" i="163"/>
  <c r="A58" i="163"/>
  <c r="H58" i="163"/>
  <c r="G58" i="163"/>
  <c r="A54" i="163"/>
  <c r="J54" i="163"/>
  <c r="B54" i="163"/>
  <c r="E54" i="163"/>
  <c r="F54" i="163"/>
  <c r="H54" i="163"/>
  <c r="A50" i="163"/>
  <c r="K50" i="163"/>
  <c r="J50" i="163"/>
  <c r="E50" i="163"/>
  <c r="G50" i="163"/>
  <c r="H50" i="163"/>
  <c r="K46" i="163"/>
  <c r="B46" i="163"/>
  <c r="H46" i="163"/>
  <c r="A46" i="163"/>
  <c r="J46" i="163"/>
  <c r="A42" i="163"/>
  <c r="H42" i="163"/>
  <c r="C42" i="163"/>
  <c r="E42" i="163"/>
  <c r="D42" i="163"/>
  <c r="C38" i="163"/>
  <c r="E38" i="163"/>
  <c r="D38" i="163"/>
  <c r="G38" i="163"/>
  <c r="I38" i="163"/>
  <c r="H38" i="163"/>
  <c r="F34" i="163"/>
  <c r="K34" i="163"/>
  <c r="G34" i="163"/>
  <c r="D34" i="163"/>
  <c r="A34" i="163"/>
  <c r="J34" i="163"/>
  <c r="J30" i="163"/>
  <c r="I30" i="163"/>
  <c r="G30" i="163"/>
  <c r="D30" i="163"/>
  <c r="E30" i="163"/>
  <c r="D26" i="163"/>
  <c r="I26" i="163"/>
  <c r="B26" i="163"/>
  <c r="H26" i="163"/>
  <c r="K26" i="163"/>
  <c r="B22" i="163"/>
  <c r="H22" i="163"/>
  <c r="G22" i="163"/>
  <c r="F22" i="163"/>
  <c r="A22" i="163"/>
  <c r="K22" i="163"/>
  <c r="F18" i="163"/>
  <c r="E18" i="163"/>
  <c r="G18" i="163"/>
  <c r="J18" i="163"/>
  <c r="A18" i="163"/>
  <c r="K18" i="163"/>
  <c r="J14" i="163"/>
  <c r="I14" i="163"/>
  <c r="G14" i="163"/>
  <c r="D14" i="163"/>
  <c r="E14" i="163"/>
  <c r="D10" i="163"/>
  <c r="I10" i="163"/>
  <c r="B10" i="163"/>
  <c r="H10" i="163"/>
  <c r="K10" i="163"/>
  <c r="B6" i="163"/>
  <c r="H6" i="163"/>
  <c r="G6" i="163"/>
  <c r="F6" i="163"/>
  <c r="A6" i="163"/>
  <c r="K6" i="163"/>
  <c r="A79" i="163"/>
  <c r="E83" i="163"/>
  <c r="K83" i="163"/>
  <c r="K87" i="163"/>
  <c r="J87" i="163"/>
  <c r="G91" i="163"/>
  <c r="K91" i="163"/>
  <c r="F95" i="163"/>
  <c r="J99" i="163"/>
  <c r="K99" i="163"/>
  <c r="F103" i="163"/>
  <c r="J103" i="163"/>
  <c r="B107" i="163"/>
  <c r="H107" i="163"/>
  <c r="K4" i="163"/>
  <c r="I8" i="163"/>
  <c r="B8" i="163"/>
  <c r="G12" i="163"/>
  <c r="I16" i="163"/>
  <c r="D16" i="163"/>
  <c r="F20" i="163"/>
  <c r="K24" i="163"/>
  <c r="I28" i="163"/>
  <c r="H28" i="163"/>
  <c r="J32" i="163"/>
  <c r="B36" i="163"/>
  <c r="H40" i="163"/>
  <c r="I40" i="163"/>
  <c r="K44" i="163"/>
  <c r="J48" i="163"/>
  <c r="A48" i="163"/>
  <c r="E52" i="163"/>
  <c r="J56" i="163"/>
  <c r="F60" i="163"/>
  <c r="H60" i="163"/>
  <c r="H64" i="163"/>
  <c r="B68" i="163"/>
  <c r="H72" i="163"/>
  <c r="I72" i="163"/>
  <c r="C76" i="163"/>
  <c r="K80" i="163"/>
  <c r="A80" i="163"/>
  <c r="C84" i="163"/>
  <c r="J88" i="163"/>
  <c r="J92" i="163"/>
  <c r="E92" i="163"/>
  <c r="J96" i="163"/>
  <c r="B100" i="163"/>
  <c r="H104" i="163"/>
  <c r="I104" i="163"/>
  <c r="C108" i="163"/>
  <c r="C5" i="163"/>
  <c r="H9" i="163"/>
  <c r="F13" i="163"/>
  <c r="E13" i="163"/>
  <c r="G17" i="163"/>
  <c r="H21" i="163"/>
  <c r="B25" i="163"/>
  <c r="I25" i="163"/>
  <c r="K29" i="163"/>
  <c r="B33" i="163"/>
  <c r="A33" i="163"/>
  <c r="D37" i="163"/>
  <c r="I41" i="163"/>
  <c r="I45" i="163"/>
  <c r="F45" i="163"/>
  <c r="H49" i="163"/>
  <c r="C53" i="163"/>
  <c r="A57" i="163"/>
  <c r="C57" i="163"/>
  <c r="I61" i="163"/>
  <c r="G65" i="163"/>
  <c r="B65" i="163"/>
  <c r="C69" i="163"/>
  <c r="I73" i="163"/>
  <c r="D77" i="163"/>
  <c r="F77" i="163"/>
  <c r="I81" i="163"/>
  <c r="G85" i="163"/>
  <c r="C89" i="163"/>
  <c r="J89" i="163"/>
  <c r="C93" i="163"/>
  <c r="E97" i="163"/>
  <c r="B97" i="163"/>
  <c r="C101" i="163"/>
  <c r="I105" i="163"/>
  <c r="D109" i="163"/>
  <c r="F109" i="163"/>
  <c r="E6" i="163"/>
  <c r="C10" i="163"/>
  <c r="J10" i="163"/>
  <c r="A14" i="163"/>
  <c r="C18" i="163"/>
  <c r="B18" i="163"/>
  <c r="D22" i="163"/>
  <c r="A26" i="163"/>
  <c r="K30" i="163"/>
  <c r="F30" i="163"/>
  <c r="E34" i="163"/>
  <c r="J38" i="163"/>
  <c r="J42" i="163"/>
  <c r="K42" i="163"/>
  <c r="I46" i="163"/>
  <c r="B50" i="163"/>
  <c r="C50" i="163"/>
  <c r="D54" i="163"/>
  <c r="J58" i="163"/>
  <c r="E62" i="163"/>
  <c r="G62" i="163"/>
  <c r="H66" i="163"/>
  <c r="A70" i="163"/>
  <c r="H74" i="163"/>
  <c r="K74" i="163"/>
  <c r="B78" i="163"/>
  <c r="J82" i="163"/>
  <c r="C82" i="163"/>
  <c r="B86" i="163"/>
  <c r="I90" i="163"/>
  <c r="I94" i="163"/>
  <c r="G94" i="163"/>
  <c r="I98" i="163"/>
  <c r="A102" i="163"/>
  <c r="H106" i="163"/>
  <c r="K106" i="163"/>
  <c r="AE112" i="8"/>
  <c r="AE111" i="8"/>
  <c r="AE110" i="8"/>
  <c r="W101" i="8"/>
  <c r="N83" i="8"/>
  <c r="AE145" i="8"/>
  <c r="AE144" i="8"/>
  <c r="AE143" i="8"/>
  <c r="AE142" i="8"/>
  <c r="AE141" i="8"/>
  <c r="AE140" i="8"/>
  <c r="AE139" i="8"/>
  <c r="AE138" i="8"/>
  <c r="AE137" i="8"/>
  <c r="AE136" i="8"/>
  <c r="AE135" i="8"/>
  <c r="AE134" i="8"/>
  <c r="AE133" i="8"/>
  <c r="AE132" i="8"/>
  <c r="AE131" i="8"/>
  <c r="AE130" i="8"/>
  <c r="AE129" i="8"/>
  <c r="AE128" i="8"/>
  <c r="AE127" i="8"/>
  <c r="AE126" i="8"/>
  <c r="AE125" i="8"/>
  <c r="AE124" i="8"/>
  <c r="AE123" i="8"/>
  <c r="AE122" i="8"/>
  <c r="AE121" i="8"/>
  <c r="AE120" i="8"/>
  <c r="AE119" i="8"/>
  <c r="AE118" i="8"/>
  <c r="AE117" i="8"/>
  <c r="AE116" i="8"/>
  <c r="AE115" i="8"/>
  <c r="AE114" i="8"/>
  <c r="AE113" i="8"/>
  <c r="Z107" i="8"/>
  <c r="AC103" i="8"/>
  <c r="AB95" i="8"/>
  <c r="N91" i="8"/>
  <c r="R83" i="8"/>
  <c r="R107" i="8"/>
  <c r="Z103" i="8"/>
  <c r="AB99" i="8"/>
  <c r="X95" i="8"/>
  <c r="N89" i="8"/>
  <c r="W109" i="8"/>
  <c r="O107" i="8"/>
  <c r="R103" i="8"/>
  <c r="X99" i="8"/>
  <c r="X93" i="8"/>
  <c r="X87" i="8"/>
  <c r="N81" i="8"/>
  <c r="AC107" i="8"/>
  <c r="W105" i="8"/>
  <c r="O103" i="8"/>
  <c r="AB97" i="8"/>
  <c r="R91" i="8"/>
  <c r="X85" i="8"/>
  <c r="X79" i="8"/>
  <c r="U109" i="8"/>
  <c r="U101" i="8"/>
  <c r="AB109" i="8"/>
  <c r="R109" i="8"/>
  <c r="W107" i="8"/>
  <c r="AC105" i="8"/>
  <c r="R105" i="8"/>
  <c r="W103" i="8"/>
  <c r="AC101" i="8"/>
  <c r="R101" i="8"/>
  <c r="T99" i="8"/>
  <c r="T97" i="8"/>
  <c r="R95" i="8"/>
  <c r="N93" i="8"/>
  <c r="X89" i="8"/>
  <c r="R87" i="8"/>
  <c r="N85" i="8"/>
  <c r="X81" i="8"/>
  <c r="R79" i="8"/>
  <c r="U105" i="8"/>
  <c r="X97" i="8"/>
  <c r="Z109" i="8"/>
  <c r="U107" i="8"/>
  <c r="Z105" i="8"/>
  <c r="U103" i="8"/>
  <c r="Z101" i="8"/>
  <c r="Q99" i="8"/>
  <c r="N95" i="8"/>
  <c r="X91" i="8"/>
  <c r="N87" i="8"/>
  <c r="X83" i="8"/>
  <c r="N79" i="8"/>
  <c r="Q80" i="8"/>
  <c r="U80" i="8"/>
  <c r="Y80" i="8"/>
  <c r="AC80" i="8"/>
  <c r="O80" i="8"/>
  <c r="S80" i="8"/>
  <c r="W80" i="8"/>
  <c r="AA80" i="8"/>
  <c r="T80" i="8"/>
  <c r="AB80" i="8"/>
  <c r="Q84" i="8"/>
  <c r="U84" i="8"/>
  <c r="Y84" i="8"/>
  <c r="AC84" i="8"/>
  <c r="O84" i="8"/>
  <c r="S84" i="8"/>
  <c r="W84" i="8"/>
  <c r="AA84" i="8"/>
  <c r="T84" i="8"/>
  <c r="AB84" i="8"/>
  <c r="Q88" i="8"/>
  <c r="U88" i="8"/>
  <c r="Y88" i="8"/>
  <c r="AC88" i="8"/>
  <c r="O88" i="8"/>
  <c r="S88" i="8"/>
  <c r="W88" i="8"/>
  <c r="AA88" i="8"/>
  <c r="T88" i="8"/>
  <c r="AB88" i="8"/>
  <c r="Q92" i="8"/>
  <c r="U92" i="8"/>
  <c r="Y92" i="8"/>
  <c r="AC92" i="8"/>
  <c r="O92" i="8"/>
  <c r="S92" i="8"/>
  <c r="W92" i="8"/>
  <c r="AA92" i="8"/>
  <c r="T92" i="8"/>
  <c r="AB92" i="8"/>
  <c r="O96" i="8"/>
  <c r="S96" i="8"/>
  <c r="W96" i="8"/>
  <c r="AA96" i="8"/>
  <c r="P96" i="8"/>
  <c r="U96" i="8"/>
  <c r="Z96" i="8"/>
  <c r="O100" i="8"/>
  <c r="P100" i="8"/>
  <c r="T100" i="8"/>
  <c r="X100" i="8"/>
  <c r="AB100" i="8"/>
  <c r="P104" i="8"/>
  <c r="T104" i="8"/>
  <c r="X104" i="8"/>
  <c r="AB104" i="8"/>
  <c r="P108" i="8"/>
  <c r="T108" i="8"/>
  <c r="X108" i="8"/>
  <c r="AB108" i="8"/>
  <c r="AC78" i="8"/>
  <c r="Y78" i="8"/>
  <c r="U78" i="8"/>
  <c r="Q78" i="8"/>
  <c r="AC108" i="8"/>
  <c r="W108" i="8"/>
  <c r="R108" i="8"/>
  <c r="AC106" i="8"/>
  <c r="W106" i="8"/>
  <c r="R106" i="8"/>
  <c r="AC104" i="8"/>
  <c r="W104" i="8"/>
  <c r="R104" i="8"/>
  <c r="AC102" i="8"/>
  <c r="W102" i="8"/>
  <c r="R102" i="8"/>
  <c r="AC100" i="8"/>
  <c r="W100" i="8"/>
  <c r="R100" i="8"/>
  <c r="AC98" i="8"/>
  <c r="V98" i="8"/>
  <c r="N98" i="8"/>
  <c r="Y96" i="8"/>
  <c r="R96" i="8"/>
  <c r="X94" i="8"/>
  <c r="N94" i="8"/>
  <c r="X92" i="8"/>
  <c r="N92" i="8"/>
  <c r="X90" i="8"/>
  <c r="N90" i="8"/>
  <c r="X88" i="8"/>
  <c r="N88" i="8"/>
  <c r="X86" i="8"/>
  <c r="N86" i="8"/>
  <c r="X84" i="8"/>
  <c r="N84" i="8"/>
  <c r="X82" i="8"/>
  <c r="N82" i="8"/>
  <c r="X80" i="8"/>
  <c r="N80" i="8"/>
  <c r="Q81" i="8"/>
  <c r="U81" i="8"/>
  <c r="Y81" i="8"/>
  <c r="AC81" i="8"/>
  <c r="O81" i="8"/>
  <c r="S81" i="8"/>
  <c r="W81" i="8"/>
  <c r="AA81" i="8"/>
  <c r="T81" i="8"/>
  <c r="AB81" i="8"/>
  <c r="Q85" i="8"/>
  <c r="U85" i="8"/>
  <c r="Y85" i="8"/>
  <c r="AC85" i="8"/>
  <c r="O85" i="8"/>
  <c r="S85" i="8"/>
  <c r="W85" i="8"/>
  <c r="AA85" i="8"/>
  <c r="T85" i="8"/>
  <c r="AB85" i="8"/>
  <c r="Q89" i="8"/>
  <c r="U89" i="8"/>
  <c r="Y89" i="8"/>
  <c r="AC89" i="8"/>
  <c r="O89" i="8"/>
  <c r="S89" i="8"/>
  <c r="W89" i="8"/>
  <c r="AA89" i="8"/>
  <c r="T89" i="8"/>
  <c r="AB89" i="8"/>
  <c r="Q93" i="8"/>
  <c r="U93" i="8"/>
  <c r="Y93" i="8"/>
  <c r="AC93" i="8"/>
  <c r="O93" i="8"/>
  <c r="S93" i="8"/>
  <c r="W93" i="8"/>
  <c r="AA93" i="8"/>
  <c r="T93" i="8"/>
  <c r="AB93" i="8"/>
  <c r="O97" i="8"/>
  <c r="S97" i="8"/>
  <c r="W97" i="8"/>
  <c r="AA97" i="8"/>
  <c r="P97" i="8"/>
  <c r="U97" i="8"/>
  <c r="Z97" i="8"/>
  <c r="P101" i="8"/>
  <c r="T101" i="8"/>
  <c r="X101" i="8"/>
  <c r="AB101" i="8"/>
  <c r="P105" i="8"/>
  <c r="T105" i="8"/>
  <c r="X105" i="8"/>
  <c r="AB105" i="8"/>
  <c r="P109" i="8"/>
  <c r="T109" i="8"/>
  <c r="X109" i="8"/>
  <c r="AB78" i="8"/>
  <c r="X78" i="8"/>
  <c r="T78" i="8"/>
  <c r="P78" i="8"/>
  <c r="AA109" i="8"/>
  <c r="V109" i="8"/>
  <c r="Q109" i="8"/>
  <c r="AA108" i="8"/>
  <c r="V108" i="8"/>
  <c r="Q108" i="8"/>
  <c r="AA107" i="8"/>
  <c r="V107" i="8"/>
  <c r="AA106" i="8"/>
  <c r="V106" i="8"/>
  <c r="AA105" i="8"/>
  <c r="V105" i="8"/>
  <c r="Q105" i="8"/>
  <c r="AA104" i="8"/>
  <c r="V104" i="8"/>
  <c r="Q104" i="8"/>
  <c r="AA103" i="8"/>
  <c r="V103" i="8"/>
  <c r="AA102" i="8"/>
  <c r="V102" i="8"/>
  <c r="AA101" i="8"/>
  <c r="V101" i="8"/>
  <c r="Q101" i="8"/>
  <c r="AA100" i="8"/>
  <c r="V100" i="8"/>
  <c r="Q100" i="8"/>
  <c r="Y99" i="8"/>
  <c r="AB98" i="8"/>
  <c r="AC97" i="8"/>
  <c r="V97" i="8"/>
  <c r="N97" i="8"/>
  <c r="X96" i="8"/>
  <c r="Q96" i="8"/>
  <c r="Y95" i="8"/>
  <c r="Z93" i="8"/>
  <c r="P93" i="8"/>
  <c r="V92" i="8"/>
  <c r="Z91" i="8"/>
  <c r="Z89" i="8"/>
  <c r="P89" i="8"/>
  <c r="V88" i="8"/>
  <c r="Z87" i="8"/>
  <c r="Z85" i="8"/>
  <c r="P85" i="8"/>
  <c r="V84" i="8"/>
  <c r="Z83" i="8"/>
  <c r="Z81" i="8"/>
  <c r="P81" i="8"/>
  <c r="V80" i="8"/>
  <c r="Z79" i="8"/>
  <c r="Q82" i="8"/>
  <c r="U82" i="8"/>
  <c r="Y82" i="8"/>
  <c r="AC82" i="8"/>
  <c r="O82" i="8"/>
  <c r="S82" i="8"/>
  <c r="W82" i="8"/>
  <c r="AA82" i="8"/>
  <c r="T82" i="8"/>
  <c r="AB82" i="8"/>
  <c r="Q86" i="8"/>
  <c r="U86" i="8"/>
  <c r="Y86" i="8"/>
  <c r="AC86" i="8"/>
  <c r="O86" i="8"/>
  <c r="S86" i="8"/>
  <c r="W86" i="8"/>
  <c r="AA86" i="8"/>
  <c r="T86" i="8"/>
  <c r="AB86" i="8"/>
  <c r="Q90" i="8"/>
  <c r="U90" i="8"/>
  <c r="Y90" i="8"/>
  <c r="AC90" i="8"/>
  <c r="O90" i="8"/>
  <c r="S90" i="8"/>
  <c r="W90" i="8"/>
  <c r="AA90" i="8"/>
  <c r="T90" i="8"/>
  <c r="AB90" i="8"/>
  <c r="Q94" i="8"/>
  <c r="U94" i="8"/>
  <c r="Y94" i="8"/>
  <c r="AC94" i="8"/>
  <c r="O94" i="8"/>
  <c r="S94" i="8"/>
  <c r="W94" i="8"/>
  <c r="AA94" i="8"/>
  <c r="T94" i="8"/>
  <c r="AB94" i="8"/>
  <c r="O98" i="8"/>
  <c r="S98" i="8"/>
  <c r="W98" i="8"/>
  <c r="AA98" i="8"/>
  <c r="P98" i="8"/>
  <c r="U98" i="8"/>
  <c r="Z98" i="8"/>
  <c r="P102" i="8"/>
  <c r="T102" i="8"/>
  <c r="X102" i="8"/>
  <c r="AB102" i="8"/>
  <c r="P106" i="8"/>
  <c r="T106" i="8"/>
  <c r="X106" i="8"/>
  <c r="AB106" i="8"/>
  <c r="AA78" i="8"/>
  <c r="W78" i="8"/>
  <c r="S78" i="8"/>
  <c r="O78" i="8"/>
  <c r="Z108" i="8"/>
  <c r="U108" i="8"/>
  <c r="O108" i="8"/>
  <c r="Z106" i="8"/>
  <c r="U106" i="8"/>
  <c r="O106" i="8"/>
  <c r="Z104" i="8"/>
  <c r="U104" i="8"/>
  <c r="O104" i="8"/>
  <c r="Z102" i="8"/>
  <c r="U102" i="8"/>
  <c r="O102" i="8"/>
  <c r="Z100" i="8"/>
  <c r="U100" i="8"/>
  <c r="N100" i="8"/>
  <c r="Y98" i="8"/>
  <c r="R98" i="8"/>
  <c r="AC96" i="8"/>
  <c r="V96" i="8"/>
  <c r="N96" i="8"/>
  <c r="R94" i="8"/>
  <c r="R92" i="8"/>
  <c r="R90" i="8"/>
  <c r="R88" i="8"/>
  <c r="R86" i="8"/>
  <c r="R84" i="8"/>
  <c r="R82" i="8"/>
  <c r="R80" i="8"/>
  <c r="Q79" i="8"/>
  <c r="U79" i="8"/>
  <c r="Y79" i="8"/>
  <c r="AC79" i="8"/>
  <c r="O79" i="8"/>
  <c r="S79" i="8"/>
  <c r="W79" i="8"/>
  <c r="AA79" i="8"/>
  <c r="T79" i="8"/>
  <c r="AB79" i="8"/>
  <c r="Q83" i="8"/>
  <c r="U83" i="8"/>
  <c r="Y83" i="8"/>
  <c r="AC83" i="8"/>
  <c r="O83" i="8"/>
  <c r="S83" i="8"/>
  <c r="W83" i="8"/>
  <c r="AA83" i="8"/>
  <c r="T83" i="8"/>
  <c r="AB83" i="8"/>
  <c r="Q87" i="8"/>
  <c r="U87" i="8"/>
  <c r="Y87" i="8"/>
  <c r="AC87" i="8"/>
  <c r="O87" i="8"/>
  <c r="S87" i="8"/>
  <c r="W87" i="8"/>
  <c r="AA87" i="8"/>
  <c r="T87" i="8"/>
  <c r="AB87" i="8"/>
  <c r="Q91" i="8"/>
  <c r="U91" i="8"/>
  <c r="Y91" i="8"/>
  <c r="AC91" i="8"/>
  <c r="O91" i="8"/>
  <c r="S91" i="8"/>
  <c r="W91" i="8"/>
  <c r="AA91" i="8"/>
  <c r="T91" i="8"/>
  <c r="AB91" i="8"/>
  <c r="Q95" i="8"/>
  <c r="U95" i="8"/>
  <c r="O95" i="8"/>
  <c r="S95" i="8"/>
  <c r="W95" i="8"/>
  <c r="AA95" i="8"/>
  <c r="T95" i="8"/>
  <c r="Z95" i="8"/>
  <c r="O99" i="8"/>
  <c r="S99" i="8"/>
  <c r="W99" i="8"/>
  <c r="AA99" i="8"/>
  <c r="P99" i="8"/>
  <c r="U99" i="8"/>
  <c r="Z99" i="8"/>
  <c r="P103" i="8"/>
  <c r="T103" i="8"/>
  <c r="X103" i="8"/>
  <c r="AB103" i="8"/>
  <c r="P107" i="8"/>
  <c r="T107" i="8"/>
  <c r="X107" i="8"/>
  <c r="AB107" i="8"/>
  <c r="N78" i="8"/>
  <c r="Z78" i="8"/>
  <c r="V78" i="8"/>
  <c r="AC109" i="8"/>
  <c r="Y109" i="8"/>
  <c r="S109" i="8"/>
  <c r="N109" i="8"/>
  <c r="Y108" i="8"/>
  <c r="S108" i="8"/>
  <c r="N108" i="8"/>
  <c r="Y107" i="8"/>
  <c r="S107" i="8"/>
  <c r="N107" i="8"/>
  <c r="Y106" i="8"/>
  <c r="S106" i="8"/>
  <c r="N106" i="8"/>
  <c r="Y105" i="8"/>
  <c r="S105" i="8"/>
  <c r="N105" i="8"/>
  <c r="Y104" i="8"/>
  <c r="S104" i="8"/>
  <c r="N104" i="8"/>
  <c r="Y103" i="8"/>
  <c r="S103" i="8"/>
  <c r="N103" i="8"/>
  <c r="Y102" i="8"/>
  <c r="S102" i="8"/>
  <c r="N102" i="8"/>
  <c r="Y101" i="8"/>
  <c r="S101" i="8"/>
  <c r="N101" i="8"/>
  <c r="Y100" i="8"/>
  <c r="S100" i="8"/>
  <c r="AC99" i="8"/>
  <c r="V99" i="8"/>
  <c r="N99" i="8"/>
  <c r="X98" i="8"/>
  <c r="Q98" i="8"/>
  <c r="Y97" i="8"/>
  <c r="R97" i="8"/>
  <c r="AB96" i="8"/>
  <c r="T96" i="8"/>
  <c r="AC95" i="8"/>
  <c r="V95" i="8"/>
  <c r="Z94" i="8"/>
  <c r="P94" i="8"/>
  <c r="V93" i="8"/>
  <c r="Z92" i="8"/>
  <c r="P92" i="8"/>
  <c r="V91" i="8"/>
  <c r="Z90" i="8"/>
  <c r="P90" i="8"/>
  <c r="V89" i="8"/>
  <c r="Z88" i="8"/>
  <c r="P88" i="8"/>
  <c r="V87" i="8"/>
  <c r="Z86" i="8"/>
  <c r="P86" i="8"/>
  <c r="V85" i="8"/>
  <c r="Z84" i="8"/>
  <c r="P84" i="8"/>
  <c r="V83" i="8"/>
  <c r="Z82" i="8"/>
  <c r="P82" i="8"/>
  <c r="V81" i="8"/>
  <c r="Z80" i="8"/>
  <c r="P80" i="8"/>
  <c r="V79" i="8"/>
  <c r="AC392" i="2"/>
  <c r="AC124" i="2"/>
  <c r="Y120" i="2"/>
  <c r="R116" i="2"/>
  <c r="Z112" i="2"/>
  <c r="U93" i="2"/>
  <c r="U89" i="2"/>
  <c r="AA139" i="2"/>
  <c r="R137" i="2"/>
  <c r="Y135" i="2"/>
  <c r="Y88" i="2"/>
  <c r="N130" i="2"/>
  <c r="X126" i="2"/>
  <c r="X122" i="2"/>
  <c r="AA118" i="2"/>
  <c r="AC95" i="2"/>
  <c r="O486" i="2"/>
  <c r="U130" i="2"/>
  <c r="U109" i="2"/>
  <c r="T107" i="2"/>
  <c r="AA103" i="2"/>
  <c r="O99" i="2"/>
  <c r="S88" i="2"/>
  <c r="O84" i="2"/>
  <c r="T82" i="2"/>
  <c r="T80" i="2"/>
  <c r="P546" i="2"/>
  <c r="P538" i="2"/>
  <c r="AA534" i="2"/>
  <c r="Q479" i="2"/>
  <c r="AA430" i="2"/>
  <c r="P426" i="2"/>
  <c r="W422" i="2"/>
  <c r="X418" i="2"/>
  <c r="X410" i="2"/>
  <c r="S406" i="2"/>
  <c r="X402" i="2"/>
  <c r="X398" i="2"/>
  <c r="S394" i="2"/>
  <c r="N325" i="2"/>
  <c r="Z321" i="2"/>
  <c r="Y274" i="2"/>
  <c r="V266" i="2"/>
  <c r="AA258" i="2"/>
  <c r="U254" i="2"/>
  <c r="AA250" i="2"/>
  <c r="O244" i="2"/>
  <c r="AC228" i="2"/>
  <c r="O220" i="2"/>
  <c r="AA216" i="2"/>
  <c r="AC212" i="2"/>
  <c r="U208" i="2"/>
  <c r="AA204" i="2"/>
  <c r="AA200" i="2"/>
  <c r="AC188" i="2"/>
  <c r="T184" i="2"/>
  <c r="T176" i="2"/>
  <c r="W522" i="2"/>
  <c r="S518" i="2"/>
  <c r="P514" i="2"/>
  <c r="P502" i="2"/>
  <c r="S494" i="2"/>
  <c r="Q475" i="2"/>
  <c r="X471" i="2"/>
  <c r="X467" i="2"/>
  <c r="Q459" i="2"/>
  <c r="U455" i="2"/>
  <c r="Y451" i="2"/>
  <c r="U447" i="2"/>
  <c r="Y443" i="2"/>
  <c r="U439" i="2"/>
  <c r="Y435" i="2"/>
  <c r="U431" i="2"/>
  <c r="X390" i="2"/>
  <c r="S386" i="2"/>
  <c r="X382" i="2"/>
  <c r="Q584" i="2"/>
  <c r="U580" i="2"/>
  <c r="N572" i="2"/>
  <c r="AC568" i="2"/>
  <c r="N564" i="2"/>
  <c r="U553" i="2"/>
  <c r="U549" i="2"/>
  <c r="AB547" i="2"/>
  <c r="U545" i="2"/>
  <c r="P543" i="2"/>
  <c r="U541" i="2"/>
  <c r="P539" i="2"/>
  <c r="P531" i="2"/>
  <c r="P486" i="2"/>
  <c r="W484" i="2"/>
  <c r="P482" i="2"/>
  <c r="Z478" i="2"/>
  <c r="X425" i="2"/>
  <c r="S419" i="2"/>
  <c r="N415" i="2"/>
  <c r="U413" i="2"/>
  <c r="S411" i="2"/>
  <c r="Y407" i="2"/>
  <c r="S403" i="2"/>
  <c r="N397" i="2"/>
  <c r="U395" i="2"/>
  <c r="Z393" i="2"/>
  <c r="X326" i="2"/>
  <c r="X324" i="2"/>
  <c r="AB287" i="2"/>
  <c r="X283" i="2"/>
  <c r="W281" i="2"/>
  <c r="O279" i="2"/>
  <c r="Q277" i="2"/>
  <c r="X275" i="2"/>
  <c r="AA273" i="2"/>
  <c r="AA271" i="2"/>
  <c r="S267" i="2"/>
  <c r="O265" i="2"/>
  <c r="O261" i="2"/>
  <c r="S259" i="2"/>
  <c r="AA255" i="2"/>
  <c r="O253" i="2"/>
  <c r="S251" i="2"/>
  <c r="U249" i="2"/>
  <c r="AA239" i="2"/>
  <c r="P237" i="2"/>
  <c r="S235" i="2"/>
  <c r="U233" i="2"/>
  <c r="T231" i="2"/>
  <c r="U225" i="2"/>
  <c r="X221" i="2"/>
  <c r="S219" i="2"/>
  <c r="AA217" i="2"/>
  <c r="AC213" i="2"/>
  <c r="AA207" i="2"/>
  <c r="O205" i="2"/>
  <c r="S203" i="2"/>
  <c r="T201" i="2"/>
  <c r="AA199" i="2"/>
  <c r="AA197" i="2"/>
  <c r="O193" i="2"/>
  <c r="T191" i="2"/>
  <c r="AA189" i="2"/>
  <c r="V179" i="2"/>
  <c r="U165" i="2"/>
  <c r="AC163" i="2"/>
  <c r="U157" i="2"/>
  <c r="W153" i="2"/>
  <c r="AC151" i="2"/>
  <c r="Q149" i="2"/>
  <c r="O147" i="2"/>
  <c r="O145" i="2"/>
  <c r="V108" i="2"/>
  <c r="AC106" i="2"/>
  <c r="AC104" i="2"/>
  <c r="Q102" i="2"/>
  <c r="W87" i="2"/>
  <c r="V552" i="2"/>
  <c r="V536" i="2"/>
  <c r="Q481" i="2"/>
  <c r="S428" i="2"/>
  <c r="Q424" i="2"/>
  <c r="S420" i="2"/>
  <c r="X416" i="2"/>
  <c r="S408" i="2"/>
  <c r="AC404" i="2"/>
  <c r="X400" i="2"/>
  <c r="S396" i="2"/>
  <c r="N327" i="2"/>
  <c r="AC288" i="2"/>
  <c r="AC284" i="2"/>
  <c r="N280" i="2"/>
  <c r="W276" i="2"/>
  <c r="U272" i="2"/>
  <c r="AA264" i="2"/>
  <c r="AA248" i="2"/>
  <c r="O246" i="2"/>
  <c r="W242" i="2"/>
  <c r="O238" i="2"/>
  <c r="Q234" i="2"/>
  <c r="AA230" i="2"/>
  <c r="O226" i="2"/>
  <c r="AC222" i="2"/>
  <c r="Z210" i="2"/>
  <c r="Q202" i="2"/>
  <c r="V190" i="2"/>
  <c r="T186" i="2"/>
  <c r="S178" i="2"/>
  <c r="Y174" i="2"/>
  <c r="S170" i="2"/>
  <c r="T168" i="2"/>
  <c r="Y164" i="2"/>
  <c r="P156" i="2"/>
  <c r="Y154" i="2"/>
  <c r="P152" i="2"/>
  <c r="AA148" i="2"/>
  <c r="Y146" i="2"/>
  <c r="O144" i="2"/>
  <c r="Y140" i="2"/>
  <c r="Y138" i="2"/>
  <c r="X136" i="2"/>
  <c r="P516" i="2"/>
  <c r="P508" i="2"/>
  <c r="P500" i="2"/>
  <c r="P488" i="2"/>
  <c r="X473" i="2"/>
  <c r="T465" i="2"/>
  <c r="X457" i="2"/>
  <c r="Q453" i="2"/>
  <c r="Q445" i="2"/>
  <c r="X441" i="2"/>
  <c r="X437" i="2"/>
  <c r="X433" i="2"/>
  <c r="X392" i="2"/>
  <c r="S388" i="2"/>
  <c r="AC384" i="2"/>
  <c r="S380" i="2"/>
  <c r="S376" i="2"/>
  <c r="Y586" i="2"/>
  <c r="Q582" i="2"/>
  <c r="Y574" i="2"/>
  <c r="N556" i="2"/>
  <c r="AA554" i="2"/>
  <c r="P525" i="2"/>
  <c r="P519" i="2"/>
  <c r="P515" i="2"/>
  <c r="P509" i="2"/>
  <c r="P507" i="2"/>
  <c r="Q505" i="2"/>
  <c r="Q503" i="2"/>
  <c r="Q497" i="2"/>
  <c r="Q495" i="2"/>
  <c r="Q493" i="2"/>
  <c r="Q489" i="2"/>
  <c r="Q487" i="2"/>
  <c r="S472" i="2"/>
  <c r="S468" i="2"/>
  <c r="S466" i="2"/>
  <c r="R464" i="2"/>
  <c r="R462" i="2"/>
  <c r="W460" i="2"/>
  <c r="Z456" i="2"/>
  <c r="N452" i="2"/>
  <c r="O450" i="2"/>
  <c r="Z448" i="2"/>
  <c r="N444" i="2"/>
  <c r="O442" i="2"/>
  <c r="Z440" i="2"/>
  <c r="S438" i="2"/>
  <c r="N436" i="2"/>
  <c r="Z432" i="2"/>
  <c r="S430" i="2"/>
  <c r="S391" i="2"/>
  <c r="O389" i="2"/>
  <c r="S383" i="2"/>
  <c r="U381" i="2"/>
  <c r="S379" i="2"/>
  <c r="S377" i="2"/>
  <c r="N375" i="2"/>
  <c r="Y373" i="2"/>
  <c r="N369" i="2"/>
  <c r="N365" i="2"/>
  <c r="N361" i="2"/>
  <c r="S357" i="2"/>
  <c r="N355" i="2"/>
  <c r="U351" i="2"/>
  <c r="N349" i="2"/>
  <c r="U345" i="2"/>
  <c r="Z341" i="2"/>
  <c r="R337" i="2"/>
  <c r="S331" i="2"/>
  <c r="AC329" i="2"/>
  <c r="S327" i="2"/>
  <c r="AC318" i="2"/>
  <c r="S314" i="2"/>
  <c r="U310" i="2"/>
  <c r="W304" i="2"/>
  <c r="R300" i="2"/>
  <c r="S296" i="2"/>
  <c r="N288" i="2"/>
  <c r="R129" i="2"/>
  <c r="Q127" i="2"/>
  <c r="Y125" i="2"/>
  <c r="Z123" i="2"/>
  <c r="R121" i="2"/>
  <c r="Z119" i="2"/>
  <c r="N117" i="2"/>
  <c r="Z115" i="2"/>
  <c r="T92" i="2"/>
  <c r="X374" i="2"/>
  <c r="S372" i="2"/>
  <c r="S364" i="2"/>
  <c r="X360" i="2"/>
  <c r="S358" i="2"/>
  <c r="X356" i="2"/>
  <c r="S350" i="2"/>
  <c r="X348" i="2"/>
  <c r="X344" i="2"/>
  <c r="X342" i="2"/>
  <c r="X336" i="2"/>
  <c r="S328" i="2"/>
  <c r="U317" i="2"/>
  <c r="Q315" i="2"/>
  <c r="S311" i="2"/>
  <c r="R309" i="2"/>
  <c r="T305" i="2"/>
  <c r="T303" i="2"/>
  <c r="S301" i="2"/>
  <c r="Q299" i="2"/>
  <c r="Y297" i="2"/>
  <c r="Q295" i="2"/>
  <c r="T293" i="2"/>
  <c r="X291" i="2"/>
  <c r="T289" i="2"/>
  <c r="AC116" i="2"/>
  <c r="X88" i="2"/>
  <c r="Q61" i="2"/>
  <c r="Y585" i="2"/>
  <c r="P583" i="2"/>
  <c r="X581" i="2"/>
  <c r="Y577" i="2"/>
  <c r="U575" i="2"/>
  <c r="W573" i="2"/>
  <c r="W571" i="2"/>
  <c r="W569" i="2"/>
  <c r="P565" i="2"/>
  <c r="AB561" i="2"/>
  <c r="AB559" i="2"/>
  <c r="U557" i="2"/>
  <c r="S500" i="2"/>
  <c r="P493" i="2"/>
  <c r="Q457" i="2"/>
  <c r="W426" i="2"/>
  <c r="AC272" i="2"/>
  <c r="AA221" i="2"/>
  <c r="AA61" i="2"/>
  <c r="Y31" i="2"/>
  <c r="Z494" i="2"/>
  <c r="O426" i="2"/>
  <c r="AC327" i="2"/>
  <c r="U258" i="2"/>
  <c r="U61" i="2"/>
  <c r="O31" i="2"/>
  <c r="S47" i="2"/>
  <c r="Q539" i="2"/>
  <c r="Z518" i="2"/>
  <c r="Z486" i="2"/>
  <c r="AA424" i="2"/>
  <c r="S280" i="2"/>
  <c r="Z61" i="2"/>
  <c r="U41" i="2"/>
  <c r="AA468" i="2"/>
  <c r="AC588" i="2"/>
  <c r="W468" i="2"/>
  <c r="AB47" i="2"/>
  <c r="X31" i="2"/>
  <c r="AC605" i="2"/>
  <c r="AB588" i="2"/>
  <c r="Y357" i="2"/>
  <c r="U357" i="2"/>
  <c r="Y296" i="2"/>
  <c r="X289" i="2"/>
  <c r="R534" i="2"/>
  <c r="T525" i="2"/>
  <c r="O502" i="2"/>
  <c r="O488" i="2"/>
  <c r="Z482" i="2"/>
  <c r="O468" i="2"/>
  <c r="X453" i="2"/>
  <c r="AA426" i="2"/>
  <c r="Q408" i="2"/>
  <c r="Y383" i="2"/>
  <c r="N357" i="2"/>
  <c r="N296" i="2"/>
  <c r="T249" i="2"/>
  <c r="W190" i="2"/>
  <c r="AC112" i="2"/>
  <c r="AA88" i="2"/>
  <c r="W61" i="2"/>
  <c r="X47" i="2"/>
  <c r="X39" i="2"/>
  <c r="T31" i="2"/>
  <c r="AB22" i="2"/>
  <c r="W5" i="2"/>
  <c r="W605" i="2"/>
  <c r="U588" i="2"/>
  <c r="Q573" i="2"/>
  <c r="AA145" i="2"/>
  <c r="W1016" i="2"/>
  <c r="O974" i="2"/>
  <c r="P974" i="2"/>
  <c r="W974" i="2"/>
  <c r="AC974" i="2"/>
  <c r="Q974" i="2"/>
  <c r="X974" i="2"/>
  <c r="S974" i="2"/>
  <c r="AA974" i="2"/>
  <c r="N957" i="2"/>
  <c r="Y957" i="2"/>
  <c r="R957" i="2"/>
  <c r="AC957" i="2"/>
  <c r="S957" i="2"/>
  <c r="N921" i="2"/>
  <c r="Y921" i="2"/>
  <c r="S921" i="2"/>
  <c r="R921" i="2"/>
  <c r="W921" i="2"/>
  <c r="AC921" i="2"/>
  <c r="U810" i="2"/>
  <c r="AC810" i="2"/>
  <c r="P810" i="2"/>
  <c r="AA810" i="2"/>
  <c r="S810" i="2"/>
  <c r="W810" i="2"/>
  <c r="AB810" i="2"/>
  <c r="Z403" i="2"/>
  <c r="N383" i="2"/>
  <c r="X237" i="2"/>
  <c r="Z145" i="2"/>
  <c r="AC32" i="2"/>
  <c r="AC575" i="2"/>
  <c r="AC1016" i="2"/>
  <c r="AC1014" i="2"/>
  <c r="U1014" i="2"/>
  <c r="O1012" i="2"/>
  <c r="Q1012" i="2"/>
  <c r="X1012" i="2"/>
  <c r="W998" i="2"/>
  <c r="R997" i="2"/>
  <c r="AC997" i="2"/>
  <c r="S997" i="2"/>
  <c r="N989" i="2"/>
  <c r="Y989" i="2"/>
  <c r="R989" i="2"/>
  <c r="AC989" i="2"/>
  <c r="S989" i="2"/>
  <c r="O966" i="2"/>
  <c r="P966" i="2"/>
  <c r="W966" i="2"/>
  <c r="AC966" i="2"/>
  <c r="Q966" i="2"/>
  <c r="X966" i="2"/>
  <c r="S966" i="2"/>
  <c r="AA966" i="2"/>
  <c r="O958" i="2"/>
  <c r="P958" i="2"/>
  <c r="W958" i="2"/>
  <c r="AC958" i="2"/>
  <c r="Q958" i="2"/>
  <c r="X958" i="2"/>
  <c r="S958" i="2"/>
  <c r="AA958" i="2"/>
  <c r="O950" i="2"/>
  <c r="P950" i="2"/>
  <c r="W950" i="2"/>
  <c r="AC950" i="2"/>
  <c r="Q950" i="2"/>
  <c r="X950" i="2"/>
  <c r="S950" i="2"/>
  <c r="AA950" i="2"/>
  <c r="O942" i="2"/>
  <c r="P942" i="2"/>
  <c r="W942" i="2"/>
  <c r="AC942" i="2"/>
  <c r="Q942" i="2"/>
  <c r="X942" i="2"/>
  <c r="S942" i="2"/>
  <c r="AA942" i="2"/>
  <c r="Q896" i="2"/>
  <c r="W896" i="2"/>
  <c r="AB896" i="2"/>
  <c r="O896" i="2"/>
  <c r="T896" i="2"/>
  <c r="Y896" i="2"/>
  <c r="P896" i="2"/>
  <c r="AA896" i="2"/>
  <c r="S896" i="2"/>
  <c r="AC896" i="2"/>
  <c r="U896" i="2"/>
  <c r="N873" i="2"/>
  <c r="U873" i="2"/>
  <c r="V873" i="2"/>
  <c r="AC873" i="2"/>
  <c r="N862" i="2"/>
  <c r="R862" i="2"/>
  <c r="V862" i="2"/>
  <c r="Z862" i="2"/>
  <c r="O862" i="2"/>
  <c r="S862" i="2"/>
  <c r="W862" i="2"/>
  <c r="AA862" i="2"/>
  <c r="P862" i="2"/>
  <c r="T862" i="2"/>
  <c r="X862" i="2"/>
  <c r="AB862" i="2"/>
  <c r="Q862" i="2"/>
  <c r="U862" i="2"/>
  <c r="Y862" i="2"/>
  <c r="N830" i="2"/>
  <c r="R830" i="2"/>
  <c r="V830" i="2"/>
  <c r="Z830" i="2"/>
  <c r="P830" i="2"/>
  <c r="T830" i="2"/>
  <c r="X830" i="2"/>
  <c r="AB830" i="2"/>
  <c r="O830" i="2"/>
  <c r="W830" i="2"/>
  <c r="Q830" i="2"/>
  <c r="Y830" i="2"/>
  <c r="S830" i="2"/>
  <c r="AA830" i="2"/>
  <c r="U830" i="2"/>
  <c r="AC830" i="2"/>
  <c r="O1016" i="2"/>
  <c r="S1016" i="2"/>
  <c r="AA1016" i="2"/>
  <c r="W1014" i="2"/>
  <c r="R1005" i="2"/>
  <c r="AC1005" i="2"/>
  <c r="S1005" i="2"/>
  <c r="AB998" i="2"/>
  <c r="N965" i="2"/>
  <c r="Y965" i="2"/>
  <c r="R965" i="2"/>
  <c r="AC965" i="2"/>
  <c r="S965" i="2"/>
  <c r="N941" i="2"/>
  <c r="Y941" i="2"/>
  <c r="R941" i="2"/>
  <c r="AC941" i="2"/>
  <c r="S941" i="2"/>
  <c r="O890" i="2"/>
  <c r="T890" i="2"/>
  <c r="Y890" i="2"/>
  <c r="P890" i="2"/>
  <c r="U890" i="2"/>
  <c r="AA890" i="2"/>
  <c r="Q890" i="2"/>
  <c r="W890" i="2"/>
  <c r="AB890" i="2"/>
  <c r="S890" i="2"/>
  <c r="X890" i="2"/>
  <c r="AC890" i="2"/>
  <c r="N885" i="2"/>
  <c r="Y885" i="2"/>
  <c r="R885" i="2"/>
  <c r="AC885" i="2"/>
  <c r="S885" i="2"/>
  <c r="W885" i="2"/>
  <c r="W486" i="2"/>
  <c r="U237" i="2"/>
  <c r="U176" i="2"/>
  <c r="W165" i="2"/>
  <c r="W145" i="2"/>
  <c r="Y136" i="2"/>
  <c r="U112" i="2"/>
  <c r="U92" i="2"/>
  <c r="AA53" i="2"/>
  <c r="X32" i="2"/>
  <c r="W29" i="2"/>
  <c r="AA16" i="2"/>
  <c r="O609" i="2"/>
  <c r="AA599" i="2"/>
  <c r="AC583" i="2"/>
  <c r="AB575" i="2"/>
  <c r="W574" i="2"/>
  <c r="AB557" i="2"/>
  <c r="AB1092" i="2"/>
  <c r="W1092" i="2"/>
  <c r="Q1092" i="2"/>
  <c r="N1091" i="2"/>
  <c r="AB1090" i="2"/>
  <c r="W1090" i="2"/>
  <c r="Q1090" i="2"/>
  <c r="N1089" i="2"/>
  <c r="AB1088" i="2"/>
  <c r="W1088" i="2"/>
  <c r="Q1088" i="2"/>
  <c r="N1087" i="2"/>
  <c r="AB1086" i="2"/>
  <c r="W1086" i="2"/>
  <c r="Q1086" i="2"/>
  <c r="N1085" i="2"/>
  <c r="AB1084" i="2"/>
  <c r="W1084" i="2"/>
  <c r="Q1084" i="2"/>
  <c r="N1083" i="2"/>
  <c r="AB1082" i="2"/>
  <c r="W1082" i="2"/>
  <c r="Q1082" i="2"/>
  <c r="N1081" i="2"/>
  <c r="AB1080" i="2"/>
  <c r="W1080" i="2"/>
  <c r="Q1080" i="2"/>
  <c r="N1079" i="2"/>
  <c r="AB1078" i="2"/>
  <c r="W1078" i="2"/>
  <c r="Q1078" i="2"/>
  <c r="N1077" i="2"/>
  <c r="AB1076" i="2"/>
  <c r="W1076" i="2"/>
  <c r="Q1076" i="2"/>
  <c r="N1075" i="2"/>
  <c r="AB1074" i="2"/>
  <c r="W1074" i="2"/>
  <c r="Q1074" i="2"/>
  <c r="N1073" i="2"/>
  <c r="AB1072" i="2"/>
  <c r="W1072" i="2"/>
  <c r="Q1072" i="2"/>
  <c r="N1071" i="2"/>
  <c r="AB1070" i="2"/>
  <c r="W1070" i="2"/>
  <c r="Q1070" i="2"/>
  <c r="N1069" i="2"/>
  <c r="AB1068" i="2"/>
  <c r="W1068" i="2"/>
  <c r="Q1068" i="2"/>
  <c r="N1067" i="2"/>
  <c r="AB1066" i="2"/>
  <c r="W1066" i="2"/>
  <c r="Q1066" i="2"/>
  <c r="N1065" i="2"/>
  <c r="AB1064" i="2"/>
  <c r="W1064" i="2"/>
  <c r="Q1064" i="2"/>
  <c r="N1063" i="2"/>
  <c r="AB1062" i="2"/>
  <c r="W1062" i="2"/>
  <c r="Q1062" i="2"/>
  <c r="N1061" i="2"/>
  <c r="AB1060" i="2"/>
  <c r="W1060" i="2"/>
  <c r="Q1060" i="2"/>
  <c r="N1059" i="2"/>
  <c r="AB1058" i="2"/>
  <c r="W1058" i="2"/>
  <c r="Q1058" i="2"/>
  <c r="N1057" i="2"/>
  <c r="AB1056" i="2"/>
  <c r="W1056" i="2"/>
  <c r="Q1056" i="2"/>
  <c r="N1055" i="2"/>
  <c r="AB1054" i="2"/>
  <c r="W1054" i="2"/>
  <c r="Q1054" i="2"/>
  <c r="N1053" i="2"/>
  <c r="AB1052" i="2"/>
  <c r="W1052" i="2"/>
  <c r="Q1052" i="2"/>
  <c r="AB1050" i="2"/>
  <c r="W1050" i="2"/>
  <c r="Q1050" i="2"/>
  <c r="AB1048" i="2"/>
  <c r="W1048" i="2"/>
  <c r="Q1048" i="2"/>
  <c r="AB1046" i="2"/>
  <c r="W1046" i="2"/>
  <c r="Q1046" i="2"/>
  <c r="AB1044" i="2"/>
  <c r="W1044" i="2"/>
  <c r="Q1044" i="2"/>
  <c r="AB1042" i="2"/>
  <c r="W1042" i="2"/>
  <c r="Q1042" i="2"/>
  <c r="N1040" i="2"/>
  <c r="Q1040" i="2"/>
  <c r="W1040" i="2"/>
  <c r="AB1040" i="2"/>
  <c r="N1038" i="2"/>
  <c r="Q1038" i="2"/>
  <c r="W1038" i="2"/>
  <c r="AB1038" i="2"/>
  <c r="N1036" i="2"/>
  <c r="Q1036" i="2"/>
  <c r="W1036" i="2"/>
  <c r="AB1036" i="2"/>
  <c r="N1034" i="2"/>
  <c r="Q1034" i="2"/>
  <c r="W1034" i="2"/>
  <c r="AB1034" i="2"/>
  <c r="N1032" i="2"/>
  <c r="Q1032" i="2"/>
  <c r="W1032" i="2"/>
  <c r="AB1032" i="2"/>
  <c r="N1030" i="2"/>
  <c r="Q1030" i="2"/>
  <c r="W1030" i="2"/>
  <c r="AB1030" i="2"/>
  <c r="N1028" i="2"/>
  <c r="Q1028" i="2"/>
  <c r="W1028" i="2"/>
  <c r="AB1028" i="2"/>
  <c r="N1026" i="2"/>
  <c r="Q1026" i="2"/>
  <c r="W1026" i="2"/>
  <c r="AB1026" i="2"/>
  <c r="N1024" i="2"/>
  <c r="Q1024" i="2"/>
  <c r="W1024" i="2"/>
  <c r="AB1024" i="2"/>
  <c r="N1022" i="2"/>
  <c r="Q1022" i="2"/>
  <c r="W1022" i="2"/>
  <c r="AB1022" i="2"/>
  <c r="N1020" i="2"/>
  <c r="Q1020" i="2"/>
  <c r="W1020" i="2"/>
  <c r="AB1020" i="2"/>
  <c r="N1018" i="2"/>
  <c r="Q1018" i="2"/>
  <c r="W1018" i="2"/>
  <c r="AB1018" i="2"/>
  <c r="AB1016" i="2"/>
  <c r="Q1016" i="2"/>
  <c r="AB1014" i="2"/>
  <c r="S1013" i="2"/>
  <c r="AC1012" i="2"/>
  <c r="U1012" i="2"/>
  <c r="W1005" i="2"/>
  <c r="O1004" i="2"/>
  <c r="P1004" i="2"/>
  <c r="W1004" i="2"/>
  <c r="AC1004" i="2"/>
  <c r="Q1004" i="2"/>
  <c r="X1004" i="2"/>
  <c r="N1003" i="2"/>
  <c r="Y1003" i="2"/>
  <c r="R1003" i="2"/>
  <c r="AC1003" i="2"/>
  <c r="Y997" i="2"/>
  <c r="O990" i="2"/>
  <c r="P990" i="2"/>
  <c r="W990" i="2"/>
  <c r="AC990" i="2"/>
  <c r="Q990" i="2"/>
  <c r="X990" i="2"/>
  <c r="S990" i="2"/>
  <c r="AA990" i="2"/>
  <c r="N981" i="2"/>
  <c r="Y981" i="2"/>
  <c r="R981" i="2"/>
  <c r="AC981" i="2"/>
  <c r="S981" i="2"/>
  <c r="AB974" i="2"/>
  <c r="N913" i="2"/>
  <c r="Y913" i="2"/>
  <c r="S913" i="2"/>
  <c r="R913" i="2"/>
  <c r="W913" i="2"/>
  <c r="AC913" i="2"/>
  <c r="N897" i="2"/>
  <c r="Y897" i="2"/>
  <c r="S897" i="2"/>
  <c r="R897" i="2"/>
  <c r="W897" i="2"/>
  <c r="AC897" i="2"/>
  <c r="N860" i="2"/>
  <c r="R860" i="2"/>
  <c r="V860" i="2"/>
  <c r="Z860" i="2"/>
  <c r="O860" i="2"/>
  <c r="S860" i="2"/>
  <c r="W860" i="2"/>
  <c r="AA860" i="2"/>
  <c r="P860" i="2"/>
  <c r="T860" i="2"/>
  <c r="X860" i="2"/>
  <c r="AB860" i="2"/>
  <c r="Q860" i="2"/>
  <c r="U860" i="2"/>
  <c r="Y860" i="2"/>
  <c r="O1014" i="2"/>
  <c r="Q1014" i="2"/>
  <c r="X1014" i="2"/>
  <c r="O998" i="2"/>
  <c r="Q998" i="2"/>
  <c r="X998" i="2"/>
  <c r="S998" i="2"/>
  <c r="AA998" i="2"/>
  <c r="N949" i="2"/>
  <c r="Y949" i="2"/>
  <c r="R949" i="2"/>
  <c r="AC949" i="2"/>
  <c r="S949" i="2"/>
  <c r="N905" i="2"/>
  <c r="Y905" i="2"/>
  <c r="S905" i="2"/>
  <c r="R905" i="2"/>
  <c r="W905" i="2"/>
  <c r="AC905" i="2"/>
  <c r="Z502" i="2"/>
  <c r="Q543" i="2"/>
  <c r="Q531" i="2"/>
  <c r="Q507" i="2"/>
  <c r="W502" i="2"/>
  <c r="S486" i="2"/>
  <c r="Q437" i="2"/>
  <c r="Z428" i="2"/>
  <c r="S413" i="2"/>
  <c r="Z383" i="2"/>
  <c r="U365" i="2"/>
  <c r="S355" i="2"/>
  <c r="AA315" i="2"/>
  <c r="AC296" i="2"/>
  <c r="AB283" i="2"/>
  <c r="Y280" i="2"/>
  <c r="U273" i="2"/>
  <c r="X168" i="2"/>
  <c r="AA147" i="2"/>
  <c r="Q145" i="2"/>
  <c r="AB130" i="2"/>
  <c r="AC129" i="2"/>
  <c r="AB41" i="2"/>
  <c r="Q32" i="2"/>
  <c r="S16" i="2"/>
  <c r="Z629" i="2"/>
  <c r="U611" i="2"/>
  <c r="Z603" i="2"/>
  <c r="U586" i="2"/>
  <c r="Y581" i="2"/>
  <c r="P575" i="2"/>
  <c r="AA1092" i="2"/>
  <c r="U1092" i="2"/>
  <c r="P1092" i="2"/>
  <c r="AA1090" i="2"/>
  <c r="U1090" i="2"/>
  <c r="P1090" i="2"/>
  <c r="AA1088" i="2"/>
  <c r="U1088" i="2"/>
  <c r="P1088" i="2"/>
  <c r="AA1086" i="2"/>
  <c r="U1086" i="2"/>
  <c r="P1086" i="2"/>
  <c r="AA1084" i="2"/>
  <c r="U1084" i="2"/>
  <c r="P1084" i="2"/>
  <c r="AA1082" i="2"/>
  <c r="U1082" i="2"/>
  <c r="P1082" i="2"/>
  <c r="AA1080" i="2"/>
  <c r="U1080" i="2"/>
  <c r="P1080" i="2"/>
  <c r="AA1078" i="2"/>
  <c r="U1078" i="2"/>
  <c r="P1078" i="2"/>
  <c r="AA1076" i="2"/>
  <c r="U1076" i="2"/>
  <c r="P1076" i="2"/>
  <c r="AA1074" i="2"/>
  <c r="U1074" i="2"/>
  <c r="P1074" i="2"/>
  <c r="AA1072" i="2"/>
  <c r="U1072" i="2"/>
  <c r="P1072" i="2"/>
  <c r="AA1070" i="2"/>
  <c r="U1070" i="2"/>
  <c r="P1070" i="2"/>
  <c r="AA1068" i="2"/>
  <c r="U1068" i="2"/>
  <c r="P1068" i="2"/>
  <c r="AA1066" i="2"/>
  <c r="U1066" i="2"/>
  <c r="P1066" i="2"/>
  <c r="AA1064" i="2"/>
  <c r="U1064" i="2"/>
  <c r="P1064" i="2"/>
  <c r="AA1062" i="2"/>
  <c r="U1062" i="2"/>
  <c r="P1062" i="2"/>
  <c r="AA1060" i="2"/>
  <c r="U1060" i="2"/>
  <c r="P1060" i="2"/>
  <c r="AA1058" i="2"/>
  <c r="U1058" i="2"/>
  <c r="P1058" i="2"/>
  <c r="AA1056" i="2"/>
  <c r="U1056" i="2"/>
  <c r="P1056" i="2"/>
  <c r="AA1054" i="2"/>
  <c r="U1054" i="2"/>
  <c r="P1054" i="2"/>
  <c r="AA1052" i="2"/>
  <c r="U1052" i="2"/>
  <c r="P1052" i="2"/>
  <c r="AA1050" i="2"/>
  <c r="U1050" i="2"/>
  <c r="P1050" i="2"/>
  <c r="AA1048" i="2"/>
  <c r="U1048" i="2"/>
  <c r="P1048" i="2"/>
  <c r="AA1046" i="2"/>
  <c r="U1046" i="2"/>
  <c r="P1046" i="2"/>
  <c r="AA1044" i="2"/>
  <c r="U1044" i="2"/>
  <c r="P1044" i="2"/>
  <c r="AA1042" i="2"/>
  <c r="U1042" i="2"/>
  <c r="P1042" i="2"/>
  <c r="Y1040" i="2"/>
  <c r="S1040" i="2"/>
  <c r="O1039" i="2"/>
  <c r="N1039" i="2"/>
  <c r="Y1038" i="2"/>
  <c r="S1038" i="2"/>
  <c r="O1037" i="2"/>
  <c r="N1037" i="2"/>
  <c r="Y1036" i="2"/>
  <c r="S1036" i="2"/>
  <c r="O1035" i="2"/>
  <c r="N1035" i="2"/>
  <c r="Y1034" i="2"/>
  <c r="S1034" i="2"/>
  <c r="O1033" i="2"/>
  <c r="N1033" i="2"/>
  <c r="Y1032" i="2"/>
  <c r="S1032" i="2"/>
  <c r="O1031" i="2"/>
  <c r="N1031" i="2"/>
  <c r="Y1030" i="2"/>
  <c r="S1030" i="2"/>
  <c r="O1029" i="2"/>
  <c r="N1029" i="2"/>
  <c r="Y1028" i="2"/>
  <c r="S1028" i="2"/>
  <c r="O1027" i="2"/>
  <c r="N1027" i="2"/>
  <c r="Y1026" i="2"/>
  <c r="S1026" i="2"/>
  <c r="O1025" i="2"/>
  <c r="N1025" i="2"/>
  <c r="Y1024" i="2"/>
  <c r="S1024" i="2"/>
  <c r="O1023" i="2"/>
  <c r="N1023" i="2"/>
  <c r="Y1022" i="2"/>
  <c r="S1022" i="2"/>
  <c r="O1021" i="2"/>
  <c r="N1021" i="2"/>
  <c r="Y1020" i="2"/>
  <c r="S1020" i="2"/>
  <c r="O1019" i="2"/>
  <c r="N1019" i="2"/>
  <c r="Y1018" i="2"/>
  <c r="S1018" i="2"/>
  <c r="X1016" i="2"/>
  <c r="P1016" i="2"/>
  <c r="Q1015" i="2"/>
  <c r="S1015" i="2"/>
  <c r="AA1014" i="2"/>
  <c r="P1014" i="2"/>
  <c r="N1013" i="2"/>
  <c r="AB1012" i="2"/>
  <c r="S1012" i="2"/>
  <c r="R1011" i="2"/>
  <c r="AC1011" i="2"/>
  <c r="O1006" i="2"/>
  <c r="Q1006" i="2"/>
  <c r="X1006" i="2"/>
  <c r="S1006" i="2"/>
  <c r="AA1006" i="2"/>
  <c r="N1005" i="2"/>
  <c r="AA1004" i="2"/>
  <c r="AC998" i="2"/>
  <c r="P998" i="2"/>
  <c r="W997" i="2"/>
  <c r="O996" i="2"/>
  <c r="P996" i="2"/>
  <c r="W996" i="2"/>
  <c r="AC996" i="2"/>
  <c r="Q996" i="2"/>
  <c r="X996" i="2"/>
  <c r="O982" i="2"/>
  <c r="P982" i="2"/>
  <c r="W982" i="2"/>
  <c r="AC982" i="2"/>
  <c r="Q982" i="2"/>
  <c r="X982" i="2"/>
  <c r="S982" i="2"/>
  <c r="AA982" i="2"/>
  <c r="U974" i="2"/>
  <c r="N973" i="2"/>
  <c r="Y973" i="2"/>
  <c r="R973" i="2"/>
  <c r="AC973" i="2"/>
  <c r="S973" i="2"/>
  <c r="AB966" i="2"/>
  <c r="W965" i="2"/>
  <c r="AB958" i="2"/>
  <c r="W957" i="2"/>
  <c r="AB950" i="2"/>
  <c r="W949" i="2"/>
  <c r="AB942" i="2"/>
  <c r="W941" i="2"/>
  <c r="AC1010" i="2"/>
  <c r="W1010" i="2"/>
  <c r="P1010" i="2"/>
  <c r="Y1009" i="2"/>
  <c r="AC1002" i="2"/>
  <c r="W1002" i="2"/>
  <c r="P1002" i="2"/>
  <c r="Y1001" i="2"/>
  <c r="AC995" i="2"/>
  <c r="R995" i="2"/>
  <c r="AC994" i="2"/>
  <c r="W994" i="2"/>
  <c r="P994" i="2"/>
  <c r="Y993" i="2"/>
  <c r="X988" i="2"/>
  <c r="Q988" i="2"/>
  <c r="AC987" i="2"/>
  <c r="R987" i="2"/>
  <c r="AC986" i="2"/>
  <c r="W986" i="2"/>
  <c r="P986" i="2"/>
  <c r="X980" i="2"/>
  <c r="Q980" i="2"/>
  <c r="AC979" i="2"/>
  <c r="R979" i="2"/>
  <c r="AC978" i="2"/>
  <c r="W978" i="2"/>
  <c r="P978" i="2"/>
  <c r="X972" i="2"/>
  <c r="Q972" i="2"/>
  <c r="AC971" i="2"/>
  <c r="R971" i="2"/>
  <c r="AC970" i="2"/>
  <c r="W970" i="2"/>
  <c r="P970" i="2"/>
  <c r="X964" i="2"/>
  <c r="Q964" i="2"/>
  <c r="AC963" i="2"/>
  <c r="R963" i="2"/>
  <c r="X956" i="2"/>
  <c r="Q956" i="2"/>
  <c r="AC955" i="2"/>
  <c r="R955" i="2"/>
  <c r="X948" i="2"/>
  <c r="Q948" i="2"/>
  <c r="AC947" i="2"/>
  <c r="R947" i="2"/>
  <c r="X940" i="2"/>
  <c r="Q940" i="2"/>
  <c r="AC939" i="2"/>
  <c r="R939" i="2"/>
  <c r="O938" i="2"/>
  <c r="P938" i="2"/>
  <c r="S937" i="2"/>
  <c r="AB934" i="2"/>
  <c r="Q934" i="2"/>
  <c r="AB932" i="2"/>
  <c r="S932" i="2"/>
  <c r="R931" i="2"/>
  <c r="AC931" i="2"/>
  <c r="O930" i="2"/>
  <c r="P930" i="2"/>
  <c r="W930" i="2"/>
  <c r="AC930" i="2"/>
  <c r="S929" i="2"/>
  <c r="AB926" i="2"/>
  <c r="Q926" i="2"/>
  <c r="AC925" i="2"/>
  <c r="N925" i="2"/>
  <c r="U922" i="2"/>
  <c r="O918" i="2"/>
  <c r="S918" i="2"/>
  <c r="AA918" i="2"/>
  <c r="P918" i="2"/>
  <c r="W918" i="2"/>
  <c r="AC918" i="2"/>
  <c r="O910" i="2"/>
  <c r="S910" i="2"/>
  <c r="AA910" i="2"/>
  <c r="P910" i="2"/>
  <c r="W910" i="2"/>
  <c r="AC910" i="2"/>
  <c r="O902" i="2"/>
  <c r="S902" i="2"/>
  <c r="AA902" i="2"/>
  <c r="P902" i="2"/>
  <c r="W902" i="2"/>
  <c r="AC902" i="2"/>
  <c r="S895" i="2"/>
  <c r="N895" i="2"/>
  <c r="Y895" i="2"/>
  <c r="O894" i="2"/>
  <c r="T894" i="2"/>
  <c r="Y894" i="2"/>
  <c r="Q894" i="2"/>
  <c r="W894" i="2"/>
  <c r="AB894" i="2"/>
  <c r="O886" i="2"/>
  <c r="T886" i="2"/>
  <c r="Y886" i="2"/>
  <c r="P886" i="2"/>
  <c r="U886" i="2"/>
  <c r="AA886" i="2"/>
  <c r="Q886" i="2"/>
  <c r="W886" i="2"/>
  <c r="AB886" i="2"/>
  <c r="N881" i="2"/>
  <c r="Y881" i="2"/>
  <c r="R881" i="2"/>
  <c r="AC881" i="2"/>
  <c r="S881" i="2"/>
  <c r="X878" i="2"/>
  <c r="N875" i="2"/>
  <c r="U875" i="2"/>
  <c r="V875" i="2"/>
  <c r="N842" i="2"/>
  <c r="R842" i="2"/>
  <c r="V842" i="2"/>
  <c r="Z842" i="2"/>
  <c r="P842" i="2"/>
  <c r="T842" i="2"/>
  <c r="X842" i="2"/>
  <c r="AB842" i="2"/>
  <c r="O842" i="2"/>
  <c r="W842" i="2"/>
  <c r="Q842" i="2"/>
  <c r="Y842" i="2"/>
  <c r="S842" i="2"/>
  <c r="AA842" i="2"/>
  <c r="AC840" i="2"/>
  <c r="N823" i="2"/>
  <c r="U823" i="2"/>
  <c r="AC823" i="2"/>
  <c r="R823" i="2"/>
  <c r="Y823" i="2"/>
  <c r="P823" i="2"/>
  <c r="T823" i="2"/>
  <c r="X823" i="2"/>
  <c r="O806" i="2"/>
  <c r="P806" i="2"/>
  <c r="W806" i="2"/>
  <c r="AC806" i="2"/>
  <c r="S806" i="2"/>
  <c r="AA806" i="2"/>
  <c r="Q806" i="2"/>
  <c r="U806" i="2"/>
  <c r="X806" i="2"/>
  <c r="AA1000" i="2"/>
  <c r="S1000" i="2"/>
  <c r="Y995" i="2"/>
  <c r="AA992" i="2"/>
  <c r="S992" i="2"/>
  <c r="AC988" i="2"/>
  <c r="W988" i="2"/>
  <c r="P988" i="2"/>
  <c r="Y987" i="2"/>
  <c r="AA984" i="2"/>
  <c r="S984" i="2"/>
  <c r="AC980" i="2"/>
  <c r="W980" i="2"/>
  <c r="P980" i="2"/>
  <c r="Y979" i="2"/>
  <c r="AA976" i="2"/>
  <c r="S976" i="2"/>
  <c r="AC972" i="2"/>
  <c r="W972" i="2"/>
  <c r="P972" i="2"/>
  <c r="Y971" i="2"/>
  <c r="AA968" i="2"/>
  <c r="S968" i="2"/>
  <c r="AC964" i="2"/>
  <c r="W964" i="2"/>
  <c r="P964" i="2"/>
  <c r="Y963" i="2"/>
  <c r="AA960" i="2"/>
  <c r="S960" i="2"/>
  <c r="AC956" i="2"/>
  <c r="W956" i="2"/>
  <c r="P956" i="2"/>
  <c r="Y955" i="2"/>
  <c r="AA952" i="2"/>
  <c r="S952" i="2"/>
  <c r="AC948" i="2"/>
  <c r="W948" i="2"/>
  <c r="P948" i="2"/>
  <c r="Y947" i="2"/>
  <c r="AA944" i="2"/>
  <c r="S944" i="2"/>
  <c r="AC940" i="2"/>
  <c r="W940" i="2"/>
  <c r="P940" i="2"/>
  <c r="Y939" i="2"/>
  <c r="AB938" i="2"/>
  <c r="U938" i="2"/>
  <c r="X934" i="2"/>
  <c r="AA932" i="2"/>
  <c r="W931" i="2"/>
  <c r="U930" i="2"/>
  <c r="X926" i="2"/>
  <c r="X918" i="2"/>
  <c r="S917" i="2"/>
  <c r="N917" i="2"/>
  <c r="Y917" i="2"/>
  <c r="X910" i="2"/>
  <c r="S909" i="2"/>
  <c r="N909" i="2"/>
  <c r="Y909" i="2"/>
  <c r="X902" i="2"/>
  <c r="S901" i="2"/>
  <c r="N901" i="2"/>
  <c r="Y901" i="2"/>
  <c r="AC895" i="2"/>
  <c r="U894" i="2"/>
  <c r="N893" i="2"/>
  <c r="Y893" i="2"/>
  <c r="S893" i="2"/>
  <c r="Q892" i="2"/>
  <c r="W892" i="2"/>
  <c r="AB892" i="2"/>
  <c r="O892" i="2"/>
  <c r="T892" i="2"/>
  <c r="Y892" i="2"/>
  <c r="AC886" i="2"/>
  <c r="O882" i="2"/>
  <c r="T882" i="2"/>
  <c r="Y882" i="2"/>
  <c r="P882" i="2"/>
  <c r="U882" i="2"/>
  <c r="AA882" i="2"/>
  <c r="Q882" i="2"/>
  <c r="W882" i="2"/>
  <c r="AB882" i="2"/>
  <c r="N877" i="2"/>
  <c r="Y877" i="2"/>
  <c r="R877" i="2"/>
  <c r="AC877" i="2"/>
  <c r="S877" i="2"/>
  <c r="Q855" i="2"/>
  <c r="AC855" i="2"/>
  <c r="R855" i="2"/>
  <c r="X855" i="2"/>
  <c r="N937" i="2"/>
  <c r="Y937" i="2"/>
  <c r="O934" i="2"/>
  <c r="S934" i="2"/>
  <c r="AA934" i="2"/>
  <c r="O932" i="2"/>
  <c r="Q932" i="2"/>
  <c r="X932" i="2"/>
  <c r="N929" i="2"/>
  <c r="Y929" i="2"/>
  <c r="O926" i="2"/>
  <c r="S926" i="2"/>
  <c r="AA926" i="2"/>
  <c r="O922" i="2"/>
  <c r="P922" i="2"/>
  <c r="W922" i="2"/>
  <c r="AC922" i="2"/>
  <c r="S922" i="2"/>
  <c r="AA922" i="2"/>
  <c r="U918" i="2"/>
  <c r="O914" i="2"/>
  <c r="P914" i="2"/>
  <c r="W914" i="2"/>
  <c r="AC914" i="2"/>
  <c r="S914" i="2"/>
  <c r="AA914" i="2"/>
  <c r="U910" i="2"/>
  <c r="O906" i="2"/>
  <c r="P906" i="2"/>
  <c r="W906" i="2"/>
  <c r="AC906" i="2"/>
  <c r="S906" i="2"/>
  <c r="AA906" i="2"/>
  <c r="U902" i="2"/>
  <c r="O898" i="2"/>
  <c r="P898" i="2"/>
  <c r="W898" i="2"/>
  <c r="AC898" i="2"/>
  <c r="S898" i="2"/>
  <c r="AA898" i="2"/>
  <c r="W895" i="2"/>
  <c r="AC894" i="2"/>
  <c r="S894" i="2"/>
  <c r="N889" i="2"/>
  <c r="Y889" i="2"/>
  <c r="R889" i="2"/>
  <c r="AC889" i="2"/>
  <c r="S889" i="2"/>
  <c r="X886" i="2"/>
  <c r="O878" i="2"/>
  <c r="T878" i="2"/>
  <c r="Y878" i="2"/>
  <c r="P878" i="2"/>
  <c r="U878" i="2"/>
  <c r="AA878" i="2"/>
  <c r="Q878" i="2"/>
  <c r="W878" i="2"/>
  <c r="AB878" i="2"/>
  <c r="N871" i="2"/>
  <c r="U871" i="2"/>
  <c r="V871" i="2"/>
  <c r="AC842" i="2"/>
  <c r="N840" i="2"/>
  <c r="R840" i="2"/>
  <c r="V840" i="2"/>
  <c r="Z840" i="2"/>
  <c r="P840" i="2"/>
  <c r="T840" i="2"/>
  <c r="X840" i="2"/>
  <c r="AB840" i="2"/>
  <c r="O840" i="2"/>
  <c r="W840" i="2"/>
  <c r="Q840" i="2"/>
  <c r="Y840" i="2"/>
  <c r="S840" i="2"/>
  <c r="AA840" i="2"/>
  <c r="S812" i="2"/>
  <c r="AA812" i="2"/>
  <c r="P812" i="2"/>
  <c r="W812" i="2"/>
  <c r="AC812" i="2"/>
  <c r="Q812" i="2"/>
  <c r="U812" i="2"/>
  <c r="X812" i="2"/>
  <c r="Y891" i="2"/>
  <c r="N891" i="2"/>
  <c r="Y888" i="2"/>
  <c r="T888" i="2"/>
  <c r="O888" i="2"/>
  <c r="Y887" i="2"/>
  <c r="N887" i="2"/>
  <c r="Y884" i="2"/>
  <c r="T884" i="2"/>
  <c r="O884" i="2"/>
  <c r="Y883" i="2"/>
  <c r="N883" i="2"/>
  <c r="Y880" i="2"/>
  <c r="T880" i="2"/>
  <c r="O880" i="2"/>
  <c r="Y879" i="2"/>
  <c r="N879" i="2"/>
  <c r="Y876" i="2"/>
  <c r="T876" i="2"/>
  <c r="O876" i="2"/>
  <c r="Y874" i="2"/>
  <c r="T874" i="2"/>
  <c r="O874" i="2"/>
  <c r="Y872" i="2"/>
  <c r="T872" i="2"/>
  <c r="O872" i="2"/>
  <c r="P850" i="2"/>
  <c r="T850" i="2"/>
  <c r="X850" i="2"/>
  <c r="AB850" i="2"/>
  <c r="Q835" i="2"/>
  <c r="AC835" i="2"/>
  <c r="X835" i="2"/>
  <c r="N829" i="2"/>
  <c r="P829" i="2"/>
  <c r="Y829" i="2"/>
  <c r="T829" i="2"/>
  <c r="Y826" i="2"/>
  <c r="Q826" i="2"/>
  <c r="N820" i="2"/>
  <c r="R820" i="2"/>
  <c r="V820" i="2"/>
  <c r="Z820" i="2"/>
  <c r="P820" i="2"/>
  <c r="T820" i="2"/>
  <c r="X820" i="2"/>
  <c r="AB820" i="2"/>
  <c r="N818" i="2"/>
  <c r="R818" i="2"/>
  <c r="V818" i="2"/>
  <c r="Z818" i="2"/>
  <c r="P818" i="2"/>
  <c r="T818" i="2"/>
  <c r="X818" i="2"/>
  <c r="AB818" i="2"/>
  <c r="R815" i="2"/>
  <c r="Y815" i="2"/>
  <c r="N815" i="2"/>
  <c r="U815" i="2"/>
  <c r="AC815" i="2"/>
  <c r="Y814" i="2"/>
  <c r="Q814" i="2"/>
  <c r="N809" i="2"/>
  <c r="S809" i="2"/>
  <c r="O809" i="2"/>
  <c r="Y809" i="2"/>
  <c r="X867" i="2"/>
  <c r="Z866" i="2"/>
  <c r="V866" i="2"/>
  <c r="R866" i="2"/>
  <c r="Z864" i="2"/>
  <c r="V864" i="2"/>
  <c r="R864" i="2"/>
  <c r="AC859" i="2"/>
  <c r="AB858" i="2"/>
  <c r="X858" i="2"/>
  <c r="T858" i="2"/>
  <c r="P858" i="2"/>
  <c r="AB856" i="2"/>
  <c r="X856" i="2"/>
  <c r="T856" i="2"/>
  <c r="P856" i="2"/>
  <c r="O852" i="2"/>
  <c r="S852" i="2"/>
  <c r="W852" i="2"/>
  <c r="AA852" i="2"/>
  <c r="AA850" i="2"/>
  <c r="V850" i="2"/>
  <c r="Q850" i="2"/>
  <c r="P848" i="2"/>
  <c r="T848" i="2"/>
  <c r="X848" i="2"/>
  <c r="AB848" i="2"/>
  <c r="N848" i="2"/>
  <c r="R848" i="2"/>
  <c r="V848" i="2"/>
  <c r="X843" i="2"/>
  <c r="Q843" i="2"/>
  <c r="AC843" i="2"/>
  <c r="W834" i="2"/>
  <c r="W832" i="2"/>
  <c r="R831" i="2"/>
  <c r="Y831" i="2"/>
  <c r="N831" i="2"/>
  <c r="U831" i="2"/>
  <c r="AB831" i="2"/>
  <c r="Z829" i="2"/>
  <c r="W828" i="2"/>
  <c r="W826" i="2"/>
  <c r="P822" i="2"/>
  <c r="T822" i="2"/>
  <c r="X822" i="2"/>
  <c r="AB822" i="2"/>
  <c r="N822" i="2"/>
  <c r="R822" i="2"/>
  <c r="V822" i="2"/>
  <c r="Z822" i="2"/>
  <c r="AA820" i="2"/>
  <c r="S820" i="2"/>
  <c r="AA818" i="2"/>
  <c r="S818" i="2"/>
  <c r="X815" i="2"/>
  <c r="W814" i="2"/>
  <c r="N789" i="2"/>
  <c r="W789" i="2"/>
  <c r="Y789" i="2"/>
  <c r="X924" i="2"/>
  <c r="Q924" i="2"/>
  <c r="AC923" i="2"/>
  <c r="X916" i="2"/>
  <c r="Q916" i="2"/>
  <c r="AC915" i="2"/>
  <c r="X908" i="2"/>
  <c r="Q908" i="2"/>
  <c r="AC907" i="2"/>
  <c r="X900" i="2"/>
  <c r="Q900" i="2"/>
  <c r="AC899" i="2"/>
  <c r="AB888" i="2"/>
  <c r="W888" i="2"/>
  <c r="AB884" i="2"/>
  <c r="W884" i="2"/>
  <c r="AB880" i="2"/>
  <c r="W880" i="2"/>
  <c r="AB876" i="2"/>
  <c r="W876" i="2"/>
  <c r="Q876" i="2"/>
  <c r="AB874" i="2"/>
  <c r="W874" i="2"/>
  <c r="Q874" i="2"/>
  <c r="AB872" i="2"/>
  <c r="W872" i="2"/>
  <c r="Q872" i="2"/>
  <c r="AB870" i="2"/>
  <c r="W870" i="2"/>
  <c r="Q870" i="2"/>
  <c r="AA858" i="2"/>
  <c r="W858" i="2"/>
  <c r="S858" i="2"/>
  <c r="AA856" i="2"/>
  <c r="W856" i="2"/>
  <c r="S856" i="2"/>
  <c r="AB854" i="2"/>
  <c r="X854" i="2"/>
  <c r="T854" i="2"/>
  <c r="Q851" i="2"/>
  <c r="AC851" i="2"/>
  <c r="Z850" i="2"/>
  <c r="U850" i="2"/>
  <c r="O850" i="2"/>
  <c r="AB835" i="2"/>
  <c r="P834" i="2"/>
  <c r="T834" i="2"/>
  <c r="X834" i="2"/>
  <c r="AB834" i="2"/>
  <c r="N834" i="2"/>
  <c r="R834" i="2"/>
  <c r="V834" i="2"/>
  <c r="Z834" i="2"/>
  <c r="P832" i="2"/>
  <c r="T832" i="2"/>
  <c r="X832" i="2"/>
  <c r="AB832" i="2"/>
  <c r="N832" i="2"/>
  <c r="R832" i="2"/>
  <c r="V832" i="2"/>
  <c r="Z832" i="2"/>
  <c r="X829" i="2"/>
  <c r="P828" i="2"/>
  <c r="T828" i="2"/>
  <c r="X828" i="2"/>
  <c r="AB828" i="2"/>
  <c r="N828" i="2"/>
  <c r="R828" i="2"/>
  <c r="V828" i="2"/>
  <c r="Z828" i="2"/>
  <c r="P826" i="2"/>
  <c r="T826" i="2"/>
  <c r="X826" i="2"/>
  <c r="AB826" i="2"/>
  <c r="N826" i="2"/>
  <c r="R826" i="2"/>
  <c r="V826" i="2"/>
  <c r="Z826" i="2"/>
  <c r="N821" i="2"/>
  <c r="T821" i="2"/>
  <c r="P821" i="2"/>
  <c r="Y821" i="2"/>
  <c r="Y820" i="2"/>
  <c r="Q820" i="2"/>
  <c r="Y818" i="2"/>
  <c r="Q818" i="2"/>
  <c r="T815" i="2"/>
  <c r="N814" i="2"/>
  <c r="R814" i="2"/>
  <c r="V814" i="2"/>
  <c r="Z814" i="2"/>
  <c r="P814" i="2"/>
  <c r="T814" i="2"/>
  <c r="X814" i="2"/>
  <c r="AB814" i="2"/>
  <c r="O802" i="2"/>
  <c r="Q802" i="2"/>
  <c r="X802" i="2"/>
  <c r="P802" i="2"/>
  <c r="AA802" i="2"/>
  <c r="U802" i="2"/>
  <c r="AC802" i="2"/>
  <c r="AA846" i="2"/>
  <c r="W846" i="2"/>
  <c r="S846" i="2"/>
  <c r="AA844" i="2"/>
  <c r="W844" i="2"/>
  <c r="S844" i="2"/>
  <c r="O804" i="2"/>
  <c r="P804" i="2"/>
  <c r="O798" i="2"/>
  <c r="Q798" i="2"/>
  <c r="X798" i="2"/>
  <c r="S798" i="2"/>
  <c r="AA798" i="2"/>
  <c r="O794" i="2"/>
  <c r="Q794" i="2"/>
  <c r="X794" i="2"/>
  <c r="S794" i="2"/>
  <c r="AA794" i="2"/>
  <c r="AC790" i="2"/>
  <c r="O790" i="2"/>
  <c r="Q790" i="2"/>
  <c r="X790" i="2"/>
  <c r="S790" i="2"/>
  <c r="AA790" i="2"/>
  <c r="N775" i="2"/>
  <c r="Y775" i="2"/>
  <c r="R775" i="2"/>
  <c r="AC775" i="2"/>
  <c r="S775" i="2"/>
  <c r="AA838" i="2"/>
  <c r="W838" i="2"/>
  <c r="S838" i="2"/>
  <c r="AA836" i="2"/>
  <c r="W836" i="2"/>
  <c r="S836" i="2"/>
  <c r="AA824" i="2"/>
  <c r="W824" i="2"/>
  <c r="S824" i="2"/>
  <c r="X808" i="2"/>
  <c r="Q808" i="2"/>
  <c r="S804" i="2"/>
  <c r="U798" i="2"/>
  <c r="U794" i="2"/>
  <c r="W790" i="2"/>
  <c r="N785" i="2"/>
  <c r="R785" i="2"/>
  <c r="S785" i="2"/>
  <c r="W785" i="2"/>
  <c r="O776" i="2"/>
  <c r="P776" i="2"/>
  <c r="W776" i="2"/>
  <c r="AC776" i="2"/>
  <c r="Q776" i="2"/>
  <c r="X776" i="2"/>
  <c r="S776" i="2"/>
  <c r="AA776" i="2"/>
  <c r="O744" i="2"/>
  <c r="Q744" i="2"/>
  <c r="X744" i="2"/>
  <c r="N731" i="2"/>
  <c r="R731" i="2"/>
  <c r="V731" i="2"/>
  <c r="Z731" i="2"/>
  <c r="P731" i="2"/>
  <c r="T731" i="2"/>
  <c r="X731" i="2"/>
  <c r="AB731" i="2"/>
  <c r="U728" i="2"/>
  <c r="P728" i="2"/>
  <c r="Y728" i="2"/>
  <c r="N723" i="2"/>
  <c r="R723" i="2"/>
  <c r="V723" i="2"/>
  <c r="Z723" i="2"/>
  <c r="P723" i="2"/>
  <c r="T723" i="2"/>
  <c r="X723" i="2"/>
  <c r="AB723" i="2"/>
  <c r="AC796" i="2"/>
  <c r="W796" i="2"/>
  <c r="P796" i="2"/>
  <c r="R793" i="2"/>
  <c r="X788" i="2"/>
  <c r="Q788" i="2"/>
  <c r="W787" i="2"/>
  <c r="AC786" i="2"/>
  <c r="W786" i="2"/>
  <c r="P786" i="2"/>
  <c r="X784" i="2"/>
  <c r="Q784" i="2"/>
  <c r="AC783" i="2"/>
  <c r="R783" i="2"/>
  <c r="AC782" i="2"/>
  <c r="W782" i="2"/>
  <c r="P782" i="2"/>
  <c r="W781" i="2"/>
  <c r="X778" i="2"/>
  <c r="Q778" i="2"/>
  <c r="X774" i="2"/>
  <c r="Q774" i="2"/>
  <c r="W769" i="2"/>
  <c r="AA764" i="2"/>
  <c r="S764" i="2"/>
  <c r="W761" i="2"/>
  <c r="AA754" i="2"/>
  <c r="S754" i="2"/>
  <c r="AA750" i="2"/>
  <c r="S750" i="2"/>
  <c r="AA748" i="2"/>
  <c r="Q748" i="2"/>
  <c r="AC744" i="2"/>
  <c r="U744" i="2"/>
  <c r="O734" i="2"/>
  <c r="X734" i="2"/>
  <c r="T734" i="2"/>
  <c r="AC734" i="2"/>
  <c r="P733" i="2"/>
  <c r="Q733" i="2"/>
  <c r="V733" i="2"/>
  <c r="AA733" i="2"/>
  <c r="N733" i="2"/>
  <c r="S733" i="2"/>
  <c r="Y733" i="2"/>
  <c r="AA731" i="2"/>
  <c r="S731" i="2"/>
  <c r="P730" i="2"/>
  <c r="Y730" i="2"/>
  <c r="U730" i="2"/>
  <c r="Y729" i="2"/>
  <c r="Q729" i="2"/>
  <c r="AC728" i="2"/>
  <c r="P725" i="2"/>
  <c r="T725" i="2"/>
  <c r="X725" i="2"/>
  <c r="AB725" i="2"/>
  <c r="N725" i="2"/>
  <c r="R725" i="2"/>
  <c r="V725" i="2"/>
  <c r="Z725" i="2"/>
  <c r="AA723" i="2"/>
  <c r="S723" i="2"/>
  <c r="P722" i="2"/>
  <c r="Y722" i="2"/>
  <c r="U722" i="2"/>
  <c r="Y721" i="2"/>
  <c r="Q721" i="2"/>
  <c r="P720" i="2"/>
  <c r="X720" i="2"/>
  <c r="T720" i="2"/>
  <c r="AB720" i="2"/>
  <c r="Y719" i="2"/>
  <c r="Q719" i="2"/>
  <c r="P718" i="2"/>
  <c r="X718" i="2"/>
  <c r="T718" i="2"/>
  <c r="AB718" i="2"/>
  <c r="AA800" i="2"/>
  <c r="S800" i="2"/>
  <c r="AA792" i="2"/>
  <c r="S792" i="2"/>
  <c r="AC788" i="2"/>
  <c r="W788" i="2"/>
  <c r="P788" i="2"/>
  <c r="AC784" i="2"/>
  <c r="W784" i="2"/>
  <c r="P784" i="2"/>
  <c r="Y783" i="2"/>
  <c r="AC778" i="2"/>
  <c r="W778" i="2"/>
  <c r="P778" i="2"/>
  <c r="W777" i="2"/>
  <c r="AC774" i="2"/>
  <c r="W774" i="2"/>
  <c r="P774" i="2"/>
  <c r="AA772" i="2"/>
  <c r="S772" i="2"/>
  <c r="S769" i="2"/>
  <c r="AC768" i="2"/>
  <c r="W768" i="2"/>
  <c r="P768" i="2"/>
  <c r="X764" i="2"/>
  <c r="Q764" i="2"/>
  <c r="S761" i="2"/>
  <c r="AA756" i="2"/>
  <c r="S756" i="2"/>
  <c r="X754" i="2"/>
  <c r="Q754" i="2"/>
  <c r="AA752" i="2"/>
  <c r="S752" i="2"/>
  <c r="S751" i="2"/>
  <c r="X750" i="2"/>
  <c r="Q750" i="2"/>
  <c r="Y749" i="2"/>
  <c r="X748" i="2"/>
  <c r="O746" i="2"/>
  <c r="P746" i="2"/>
  <c r="W746" i="2"/>
  <c r="AC746" i="2"/>
  <c r="AB744" i="2"/>
  <c r="S744" i="2"/>
  <c r="O739" i="2"/>
  <c r="Q739" i="2"/>
  <c r="Z739" i="2"/>
  <c r="U739" i="2"/>
  <c r="AC737" i="2"/>
  <c r="O737" i="2"/>
  <c r="AA734" i="2"/>
  <c r="U733" i="2"/>
  <c r="U732" i="2"/>
  <c r="P732" i="2"/>
  <c r="Y732" i="2"/>
  <c r="Y731" i="2"/>
  <c r="Q731" i="2"/>
  <c r="AC730" i="2"/>
  <c r="W729" i="2"/>
  <c r="X728" i="2"/>
  <c r="N727" i="2"/>
  <c r="R727" i="2"/>
  <c r="V727" i="2"/>
  <c r="Z727" i="2"/>
  <c r="P727" i="2"/>
  <c r="T727" i="2"/>
  <c r="X727" i="2"/>
  <c r="AB727" i="2"/>
  <c r="AA725" i="2"/>
  <c r="S725" i="2"/>
  <c r="U724" i="2"/>
  <c r="P724" i="2"/>
  <c r="Y724" i="2"/>
  <c r="Y723" i="2"/>
  <c r="Q723" i="2"/>
  <c r="AC722" i="2"/>
  <c r="W721" i="2"/>
  <c r="Y720" i="2"/>
  <c r="W719" i="2"/>
  <c r="Y718" i="2"/>
  <c r="S777" i="2"/>
  <c r="X772" i="2"/>
  <c r="Q772" i="2"/>
  <c r="AA770" i="2"/>
  <c r="S770" i="2"/>
  <c r="R769" i="2"/>
  <c r="AA766" i="2"/>
  <c r="S766" i="2"/>
  <c r="AC764" i="2"/>
  <c r="W764" i="2"/>
  <c r="P764" i="2"/>
  <c r="AA762" i="2"/>
  <c r="S762" i="2"/>
  <c r="R761" i="2"/>
  <c r="AA758" i="2"/>
  <c r="S758" i="2"/>
  <c r="X756" i="2"/>
  <c r="Q756" i="2"/>
  <c r="AC754" i="2"/>
  <c r="W754" i="2"/>
  <c r="P754" i="2"/>
  <c r="X752" i="2"/>
  <c r="Q752" i="2"/>
  <c r="AC751" i="2"/>
  <c r="AC750" i="2"/>
  <c r="W750" i="2"/>
  <c r="P750" i="2"/>
  <c r="O748" i="2"/>
  <c r="S748" i="2"/>
  <c r="N745" i="2"/>
  <c r="W745" i="2"/>
  <c r="AA744" i="2"/>
  <c r="P744" i="2"/>
  <c r="O741" i="2"/>
  <c r="AA741" i="2"/>
  <c r="U741" i="2"/>
  <c r="U734" i="2"/>
  <c r="AC733" i="2"/>
  <c r="R733" i="2"/>
  <c r="W731" i="2"/>
  <c r="O731" i="2"/>
  <c r="X730" i="2"/>
  <c r="P729" i="2"/>
  <c r="T729" i="2"/>
  <c r="X729" i="2"/>
  <c r="AB729" i="2"/>
  <c r="N729" i="2"/>
  <c r="R729" i="2"/>
  <c r="V729" i="2"/>
  <c r="Z729" i="2"/>
  <c r="Q728" i="2"/>
  <c r="P726" i="2"/>
  <c r="Y726" i="2"/>
  <c r="U726" i="2"/>
  <c r="Y725" i="2"/>
  <c r="Q725" i="2"/>
  <c r="W723" i="2"/>
  <c r="O723" i="2"/>
  <c r="X722" i="2"/>
  <c r="P721" i="2"/>
  <c r="T721" i="2"/>
  <c r="X721" i="2"/>
  <c r="AB721" i="2"/>
  <c r="N721" i="2"/>
  <c r="R721" i="2"/>
  <c r="V721" i="2"/>
  <c r="Z721" i="2"/>
  <c r="U720" i="2"/>
  <c r="P719" i="2"/>
  <c r="T719" i="2"/>
  <c r="X719" i="2"/>
  <c r="AB719" i="2"/>
  <c r="N719" i="2"/>
  <c r="R719" i="2"/>
  <c r="V719" i="2"/>
  <c r="Z719" i="2"/>
  <c r="U718" i="2"/>
  <c r="AC743" i="2"/>
  <c r="Y736" i="2"/>
  <c r="AA735" i="2"/>
  <c r="R735" i="2"/>
  <c r="Z717" i="2"/>
  <c r="V717" i="2"/>
  <c r="R717" i="2"/>
  <c r="N717" i="2"/>
  <c r="AB716" i="2"/>
  <c r="T716" i="2"/>
  <c r="Z715" i="2"/>
  <c r="V715" i="2"/>
  <c r="R715" i="2"/>
  <c r="N715" i="2"/>
  <c r="AB714" i="2"/>
  <c r="T714" i="2"/>
  <c r="Z713" i="2"/>
  <c r="V713" i="2"/>
  <c r="R713" i="2"/>
  <c r="N713" i="2"/>
  <c r="AB712" i="2"/>
  <c r="T712" i="2"/>
  <c r="Z711" i="2"/>
  <c r="V711" i="2"/>
  <c r="R711" i="2"/>
  <c r="N711" i="2"/>
  <c r="AB710" i="2"/>
  <c r="T710" i="2"/>
  <c r="O698" i="2"/>
  <c r="Q698" i="2"/>
  <c r="X698" i="2"/>
  <c r="S698" i="2"/>
  <c r="AA698" i="2"/>
  <c r="Y716" i="2"/>
  <c r="Q716" i="2"/>
  <c r="Y714" i="2"/>
  <c r="Q714" i="2"/>
  <c r="Y712" i="2"/>
  <c r="Q712" i="2"/>
  <c r="Y710" i="2"/>
  <c r="Q710" i="2"/>
  <c r="Y708" i="2"/>
  <c r="Q708" i="2"/>
  <c r="Y706" i="2"/>
  <c r="Q706" i="2"/>
  <c r="U702" i="2"/>
  <c r="W698" i="2"/>
  <c r="AB717" i="2"/>
  <c r="X717" i="2"/>
  <c r="T717" i="2"/>
  <c r="X716" i="2"/>
  <c r="AB715" i="2"/>
  <c r="X715" i="2"/>
  <c r="T715" i="2"/>
  <c r="X714" i="2"/>
  <c r="AB713" i="2"/>
  <c r="X713" i="2"/>
  <c r="T713" i="2"/>
  <c r="X712" i="2"/>
  <c r="AB711" i="2"/>
  <c r="X711" i="2"/>
  <c r="T711" i="2"/>
  <c r="X710" i="2"/>
  <c r="T709" i="2"/>
  <c r="X708" i="2"/>
  <c r="P704" i="2"/>
  <c r="X704" i="2"/>
  <c r="Q704" i="2"/>
  <c r="Y704" i="2"/>
  <c r="U698" i="2"/>
  <c r="AC706" i="2"/>
  <c r="U706" i="2"/>
  <c r="P702" i="2"/>
  <c r="X702" i="2"/>
  <c r="Q702" i="2"/>
  <c r="Y702" i="2"/>
  <c r="AC698" i="2"/>
  <c r="P698" i="2"/>
  <c r="W695" i="2"/>
  <c r="AC692" i="2"/>
  <c r="W692" i="2"/>
  <c r="P692" i="2"/>
  <c r="AA686" i="2"/>
  <c r="S686" i="2"/>
  <c r="R685" i="2"/>
  <c r="AA682" i="2"/>
  <c r="S682" i="2"/>
  <c r="AA680" i="2"/>
  <c r="S680" i="2"/>
  <c r="AC678" i="2"/>
  <c r="W678" i="2"/>
  <c r="P678" i="2"/>
  <c r="W677" i="2"/>
  <c r="Y676" i="2"/>
  <c r="T676" i="2"/>
  <c r="O676" i="2"/>
  <c r="U673" i="2"/>
  <c r="AB672" i="2"/>
  <c r="X672" i="2"/>
  <c r="T672" i="2"/>
  <c r="P672" i="2"/>
  <c r="AA670" i="2"/>
  <c r="W670" i="2"/>
  <c r="S670" i="2"/>
  <c r="O670" i="2"/>
  <c r="AC669" i="2"/>
  <c r="Z668" i="2"/>
  <c r="V668" i="2"/>
  <c r="R668" i="2"/>
  <c r="N668" i="2"/>
  <c r="U665" i="2"/>
  <c r="W662" i="2"/>
  <c r="AC659" i="2"/>
  <c r="U659" i="2"/>
  <c r="O659" i="2"/>
  <c r="Y655" i="2"/>
  <c r="S655" i="2"/>
  <c r="Y653" i="2"/>
  <c r="T653" i="2"/>
  <c r="AA652" i="2"/>
  <c r="S652" i="2"/>
  <c r="AA645" i="2"/>
  <c r="U645" i="2"/>
  <c r="P645" i="2"/>
  <c r="AA644" i="2"/>
  <c r="R644" i="2"/>
  <c r="S642" i="2"/>
  <c r="AA637" i="2"/>
  <c r="U637" i="2"/>
  <c r="P637" i="2"/>
  <c r="AA636" i="2"/>
  <c r="R636" i="2"/>
  <c r="AA633" i="2"/>
  <c r="U633" i="2"/>
  <c r="AB631" i="2"/>
  <c r="W631" i="2"/>
  <c r="Q631" i="2"/>
  <c r="AA690" i="2"/>
  <c r="S690" i="2"/>
  <c r="AA688" i="2"/>
  <c r="S688" i="2"/>
  <c r="Y661" i="2"/>
  <c r="S661" i="2"/>
  <c r="Y657" i="2"/>
  <c r="S657" i="2"/>
  <c r="X655" i="2"/>
  <c r="P655" i="2"/>
  <c r="W654" i="2"/>
  <c r="Y652" i="2"/>
  <c r="R652" i="2"/>
  <c r="AA647" i="2"/>
  <c r="U647" i="2"/>
  <c r="AC646" i="2"/>
  <c r="S646" i="2"/>
  <c r="Y645" i="2"/>
  <c r="T645" i="2"/>
  <c r="O645" i="2"/>
  <c r="Y644" i="2"/>
  <c r="Q644" i="2"/>
  <c r="AB643" i="2"/>
  <c r="W643" i="2"/>
  <c r="Q643" i="2"/>
  <c r="R642" i="2"/>
  <c r="AB641" i="2"/>
  <c r="W641" i="2"/>
  <c r="Q641" i="2"/>
  <c r="AA639" i="2"/>
  <c r="U639" i="2"/>
  <c r="AC638" i="2"/>
  <c r="S638" i="2"/>
  <c r="Y637" i="2"/>
  <c r="T637" i="2"/>
  <c r="O637" i="2"/>
  <c r="Y636" i="2"/>
  <c r="Q636" i="2"/>
  <c r="AB635" i="2"/>
  <c r="W635" i="2"/>
  <c r="Q635" i="2"/>
  <c r="AA631" i="2"/>
  <c r="U631" i="2"/>
  <c r="P631" i="2"/>
  <c r="AA701" i="2"/>
  <c r="R701" i="2"/>
  <c r="X694" i="2"/>
  <c r="Q694" i="2"/>
  <c r="AA692" i="2"/>
  <c r="S692" i="2"/>
  <c r="S691" i="2"/>
  <c r="X690" i="2"/>
  <c r="Q690" i="2"/>
  <c r="Y689" i="2"/>
  <c r="X688" i="2"/>
  <c r="Q688" i="2"/>
  <c r="W687" i="2"/>
  <c r="AC686" i="2"/>
  <c r="W686" i="2"/>
  <c r="P686" i="2"/>
  <c r="W685" i="2"/>
  <c r="X684" i="2"/>
  <c r="Q684" i="2"/>
  <c r="AC683" i="2"/>
  <c r="AC682" i="2"/>
  <c r="W682" i="2"/>
  <c r="P682" i="2"/>
  <c r="AC680" i="2"/>
  <c r="W680" i="2"/>
  <c r="P680" i="2"/>
  <c r="AA678" i="2"/>
  <c r="S678" i="2"/>
  <c r="R677" i="2"/>
  <c r="AB676" i="2"/>
  <c r="W676" i="2"/>
  <c r="Q676" i="2"/>
  <c r="AA674" i="2"/>
  <c r="U674" i="2"/>
  <c r="P674" i="2"/>
  <c r="AC673" i="2"/>
  <c r="Z672" i="2"/>
  <c r="V672" i="2"/>
  <c r="R672" i="2"/>
  <c r="V671" i="2"/>
  <c r="U669" i="2"/>
  <c r="AB668" i="2"/>
  <c r="X668" i="2"/>
  <c r="T668" i="2"/>
  <c r="P668" i="2"/>
  <c r="AA666" i="2"/>
  <c r="W666" i="2"/>
  <c r="S666" i="2"/>
  <c r="O666" i="2"/>
  <c r="AC665" i="2"/>
  <c r="X661" i="2"/>
  <c r="P661" i="2"/>
  <c r="Y659" i="2"/>
  <c r="X657" i="2"/>
  <c r="AA656" i="2"/>
  <c r="AC655" i="2"/>
  <c r="U655" i="2"/>
  <c r="AA643" i="2"/>
  <c r="U643" i="2"/>
  <c r="P643" i="2"/>
  <c r="AA641" i="2"/>
  <c r="U641" i="2"/>
  <c r="P641" i="2"/>
  <c r="AA635" i="2"/>
  <c r="U635" i="2"/>
  <c r="P635" i="2"/>
  <c r="Y631" i="2"/>
  <c r="T631" i="2"/>
  <c r="AB705" i="2"/>
  <c r="X705" i="2"/>
  <c r="T705" i="2"/>
  <c r="X703" i="2"/>
  <c r="T703" i="2"/>
  <c r="AA700" i="2"/>
  <c r="S700" i="2"/>
  <c r="AC694" i="2"/>
  <c r="W694" i="2"/>
  <c r="P694" i="2"/>
  <c r="X692" i="2"/>
  <c r="Q692" i="2"/>
  <c r="AC691" i="2"/>
  <c r="AC690" i="2"/>
  <c r="W690" i="2"/>
  <c r="P690" i="2"/>
  <c r="AC688" i="2"/>
  <c r="W688" i="2"/>
  <c r="P688" i="2"/>
  <c r="S685" i="2"/>
  <c r="AC684" i="2"/>
  <c r="W684" i="2"/>
  <c r="P684" i="2"/>
  <c r="X678" i="2"/>
  <c r="Q678" i="2"/>
  <c r="AA676" i="2"/>
  <c r="U676" i="2"/>
  <c r="P676" i="2"/>
  <c r="Y674" i="2"/>
  <c r="T674" i="2"/>
  <c r="O674" i="2"/>
  <c r="V673" i="2"/>
  <c r="U671" i="2"/>
  <c r="X670" i="2"/>
  <c r="T670" i="2"/>
  <c r="AA668" i="2"/>
  <c r="W668" i="2"/>
  <c r="S668" i="2"/>
  <c r="AC667" i="2"/>
  <c r="Z666" i="2"/>
  <c r="V666" i="2"/>
  <c r="R666" i="2"/>
  <c r="V665" i="2"/>
  <c r="Y663" i="2"/>
  <c r="AC661" i="2"/>
  <c r="U661" i="2"/>
  <c r="W646" i="2"/>
  <c r="AB645" i="2"/>
  <c r="W645" i="2"/>
  <c r="S644" i="2"/>
  <c r="Y643" i="2"/>
  <c r="T643" i="2"/>
  <c r="Y641" i="2"/>
  <c r="T641" i="2"/>
  <c r="W638" i="2"/>
  <c r="AB637" i="2"/>
  <c r="W637" i="2"/>
  <c r="S636" i="2"/>
  <c r="Y635" i="2"/>
  <c r="T635" i="2"/>
  <c r="P535" i="2"/>
  <c r="Q535" i="2"/>
  <c r="Q477" i="2"/>
  <c r="P477" i="2"/>
  <c r="AA454" i="2"/>
  <c r="S454" i="2"/>
  <c r="AA305" i="2"/>
  <c r="Q285" i="2"/>
  <c r="T285" i="2"/>
  <c r="AC285" i="2"/>
  <c r="O285" i="2"/>
  <c r="Y285" i="2"/>
  <c r="S285" i="2"/>
  <c r="AA285" i="2"/>
  <c r="R270" i="2"/>
  <c r="AA270" i="2"/>
  <c r="P536" i="2"/>
  <c r="AA536" i="2"/>
  <c r="N536" i="2"/>
  <c r="P529" i="2"/>
  <c r="T529" i="2"/>
  <c r="P517" i="2"/>
  <c r="AC517" i="2"/>
  <c r="P498" i="2"/>
  <c r="Z498" i="2"/>
  <c r="Q491" i="2"/>
  <c r="P491" i="2"/>
  <c r="P484" i="2"/>
  <c r="S484" i="2"/>
  <c r="Z484" i="2"/>
  <c r="AC429" i="2"/>
  <c r="X429" i="2"/>
  <c r="X305" i="2"/>
  <c r="P527" i="2"/>
  <c r="Q527" i="2"/>
  <c r="P289" i="2"/>
  <c r="U289" i="2"/>
  <c r="O289" i="2"/>
  <c r="AC289" i="2"/>
  <c r="Q281" i="2"/>
  <c r="T281" i="2"/>
  <c r="AC281" i="2"/>
  <c r="O281" i="2"/>
  <c r="Y281" i="2"/>
  <c r="S281" i="2"/>
  <c r="AB281" i="2"/>
  <c r="O269" i="2"/>
  <c r="U269" i="2"/>
  <c r="X245" i="2"/>
  <c r="O245" i="2"/>
  <c r="P533" i="2"/>
  <c r="Y533" i="2"/>
  <c r="P521" i="2"/>
  <c r="T521" i="2"/>
  <c r="P512" i="2"/>
  <c r="S512" i="2"/>
  <c r="S470" i="2"/>
  <c r="O470" i="2"/>
  <c r="U343" i="2"/>
  <c r="Z343" i="2"/>
  <c r="AC322" i="2"/>
  <c r="S322" i="2"/>
  <c r="Q305" i="2"/>
  <c r="O305" i="2"/>
  <c r="U305" i="2"/>
  <c r="AC305" i="2"/>
  <c r="S305" i="2"/>
  <c r="Y305" i="2"/>
  <c r="V268" i="2"/>
  <c r="AA268" i="2"/>
  <c r="P534" i="2"/>
  <c r="S534" i="2"/>
  <c r="O534" i="2"/>
  <c r="Z534" i="2"/>
  <c r="P504" i="2"/>
  <c r="O504" i="2"/>
  <c r="S446" i="2"/>
  <c r="AA446" i="2"/>
  <c r="N405" i="2"/>
  <c r="S405" i="2"/>
  <c r="O434" i="2"/>
  <c r="AA434" i="2"/>
  <c r="U425" i="2"/>
  <c r="Q425" i="2"/>
  <c r="AC425" i="2"/>
  <c r="N399" i="2"/>
  <c r="Y399" i="2"/>
  <c r="AB535" i="2"/>
  <c r="W534" i="2"/>
  <c r="AC533" i="2"/>
  <c r="P523" i="2"/>
  <c r="Q523" i="2"/>
  <c r="AC521" i="2"/>
  <c r="AA512" i="2"/>
  <c r="V474" i="2"/>
  <c r="R474" i="2"/>
  <c r="AA470" i="2"/>
  <c r="O458" i="2"/>
  <c r="Y458" i="2"/>
  <c r="O417" i="2"/>
  <c r="Z417" i="2"/>
  <c r="N385" i="2"/>
  <c r="Z385" i="2"/>
  <c r="O373" i="2"/>
  <c r="U373" i="2"/>
  <c r="N319" i="2"/>
  <c r="S319" i="2"/>
  <c r="P305" i="2"/>
  <c r="U285" i="2"/>
  <c r="AA256" i="2"/>
  <c r="O256" i="2"/>
  <c r="Z117" i="2"/>
  <c r="P109" i="2"/>
  <c r="AA92" i="2"/>
  <c r="P92" i="2"/>
  <c r="X41" i="2"/>
  <c r="Q41" i="2"/>
  <c r="AC40" i="2"/>
  <c r="AB39" i="2"/>
  <c r="S39" i="2"/>
  <c r="AC18" i="2"/>
  <c r="Z500" i="2"/>
  <c r="S426" i="2"/>
  <c r="Y355" i="2"/>
  <c r="Z327" i="2"/>
  <c r="W296" i="2"/>
  <c r="W280" i="2"/>
  <c r="AA168" i="2"/>
  <c r="R145" i="2"/>
  <c r="W130" i="2"/>
  <c r="R117" i="2"/>
  <c r="AA109" i="2"/>
  <c r="O109" i="2"/>
  <c r="X92" i="2"/>
  <c r="O92" i="2"/>
  <c r="Y84" i="2"/>
  <c r="T47" i="2"/>
  <c r="AC41" i="2"/>
  <c r="W41" i="2"/>
  <c r="P41" i="2"/>
  <c r="P40" i="2"/>
  <c r="Y39" i="2"/>
  <c r="Q39" i="2"/>
  <c r="AA29" i="2"/>
  <c r="AB584" i="2"/>
  <c r="T273" i="2"/>
  <c r="P221" i="2"/>
  <c r="O204" i="2"/>
  <c r="P168" i="2"/>
  <c r="AA146" i="2"/>
  <c r="AA137" i="2"/>
  <c r="AC130" i="2"/>
  <c r="Q130" i="2"/>
  <c r="V120" i="2"/>
  <c r="AC117" i="2"/>
  <c r="AA99" i="2"/>
  <c r="AC92" i="2"/>
  <c r="AB50" i="2"/>
  <c r="Y47" i="2"/>
  <c r="Q47" i="2"/>
  <c r="AA41" i="2"/>
  <c r="T39" i="2"/>
  <c r="U32" i="2"/>
  <c r="AC31" i="2"/>
  <c r="W16" i="2"/>
  <c r="Y15" i="2"/>
  <c r="AC10" i="2"/>
  <c r="AA5" i="2"/>
  <c r="Y582" i="2"/>
  <c r="R568" i="2"/>
  <c r="R550" i="2"/>
  <c r="AA550" i="2"/>
  <c r="P540" i="2"/>
  <c r="V540" i="2"/>
  <c r="P526" i="2"/>
  <c r="S526" i="2"/>
  <c r="Z526" i="2"/>
  <c r="P510" i="2"/>
  <c r="R510" i="2"/>
  <c r="W510" i="2"/>
  <c r="P496" i="2"/>
  <c r="O496" i="2"/>
  <c r="Q485" i="2"/>
  <c r="P485" i="2"/>
  <c r="Z3" i="2"/>
  <c r="P545" i="2"/>
  <c r="T545" i="2"/>
  <c r="Y545" i="2"/>
  <c r="P542" i="2"/>
  <c r="Z542" i="2"/>
  <c r="P524" i="2"/>
  <c r="N524" i="2"/>
  <c r="P506" i="2"/>
  <c r="Z506" i="2"/>
  <c r="P490" i="2"/>
  <c r="Z490" i="2"/>
  <c r="AC549" i="2"/>
  <c r="P532" i="2"/>
  <c r="N532" i="2"/>
  <c r="P528" i="2"/>
  <c r="N528" i="2"/>
  <c r="AA528" i="2"/>
  <c r="P513" i="2"/>
  <c r="T513" i="2"/>
  <c r="AA510" i="2"/>
  <c r="P494" i="2"/>
  <c r="W494" i="2"/>
  <c r="O494" i="2"/>
  <c r="P480" i="2"/>
  <c r="O480" i="2"/>
  <c r="X449" i="2"/>
  <c r="AC449" i="2"/>
  <c r="O3" i="2"/>
  <c r="V3" i="2"/>
  <c r="P544" i="2"/>
  <c r="V544" i="2"/>
  <c r="P530" i="2"/>
  <c r="S530" i="2"/>
  <c r="Z530" i="2"/>
  <c r="P511" i="2"/>
  <c r="AB511" i="2"/>
  <c r="P492" i="2"/>
  <c r="Z492" i="2"/>
  <c r="S492" i="2"/>
  <c r="P478" i="2"/>
  <c r="O478" i="2"/>
  <c r="W478" i="2"/>
  <c r="O409" i="2"/>
  <c r="Z409" i="2"/>
  <c r="P541" i="2"/>
  <c r="T541" i="2"/>
  <c r="Y541" i="2"/>
  <c r="P520" i="2"/>
  <c r="N520" i="2"/>
  <c r="Q499" i="2"/>
  <c r="P499" i="2"/>
  <c r="P476" i="2"/>
  <c r="S476" i="2"/>
  <c r="W476" i="2"/>
  <c r="Z476" i="2"/>
  <c r="W550" i="2"/>
  <c r="AC545" i="2"/>
  <c r="AA544" i="2"/>
  <c r="AC541" i="2"/>
  <c r="AA540" i="2"/>
  <c r="P537" i="2"/>
  <c r="T537" i="2"/>
  <c r="W530" i="2"/>
  <c r="W526" i="2"/>
  <c r="P522" i="2"/>
  <c r="Z522" i="2"/>
  <c r="O522" i="2"/>
  <c r="P518" i="2"/>
  <c r="W518" i="2"/>
  <c r="O518" i="2"/>
  <c r="S510" i="2"/>
  <c r="Q501" i="2"/>
  <c r="P501" i="2"/>
  <c r="W492" i="2"/>
  <c r="Q483" i="2"/>
  <c r="P483" i="2"/>
  <c r="S478" i="2"/>
  <c r="AC469" i="2"/>
  <c r="U469" i="2"/>
  <c r="N422" i="2"/>
  <c r="O422" i="2"/>
  <c r="Y422" i="2"/>
  <c r="R422" i="2"/>
  <c r="Z422" i="2"/>
  <c r="S422" i="2"/>
  <c r="V236" i="2"/>
  <c r="U236" i="2"/>
  <c r="Q196" i="2"/>
  <c r="W196" i="2"/>
  <c r="N134" i="2"/>
  <c r="P134" i="2"/>
  <c r="AB134" i="2"/>
  <c r="Q134" i="2"/>
  <c r="O132" i="2"/>
  <c r="Y132" i="2"/>
  <c r="AC132" i="2"/>
  <c r="P118" i="2"/>
  <c r="Q118" i="2"/>
  <c r="W118" i="2"/>
  <c r="R118" i="2"/>
  <c r="Z118" i="2"/>
  <c r="X114" i="2"/>
  <c r="Y114" i="2"/>
  <c r="Y49" i="2"/>
  <c r="Q28" i="2"/>
  <c r="AC28" i="2"/>
  <c r="O22" i="2"/>
  <c r="P22" i="2"/>
  <c r="W22" i="2"/>
  <c r="AC22" i="2"/>
  <c r="Q22" i="2"/>
  <c r="X22" i="2"/>
  <c r="O557" i="2"/>
  <c r="Q557" i="2"/>
  <c r="X557" i="2"/>
  <c r="S557" i="2"/>
  <c r="AA557" i="2"/>
  <c r="Y521" i="2"/>
  <c r="V512" i="2"/>
  <c r="S502" i="2"/>
  <c r="W500" i="2"/>
  <c r="Z474" i="2"/>
  <c r="AC457" i="2"/>
  <c r="AC453" i="2"/>
  <c r="Q433" i="2"/>
  <c r="Q429" i="2"/>
  <c r="N428" i="2"/>
  <c r="V426" i="2"/>
  <c r="N426" i="2"/>
  <c r="Y425" i="2"/>
  <c r="P425" i="2"/>
  <c r="S424" i="2"/>
  <c r="N413" i="2"/>
  <c r="Y405" i="2"/>
  <c r="AB404" i="2"/>
  <c r="Z389" i="2"/>
  <c r="N381" i="2"/>
  <c r="Z369" i="2"/>
  <c r="S356" i="2"/>
  <c r="U355" i="2"/>
  <c r="U337" i="2"/>
  <c r="Y303" i="2"/>
  <c r="R296" i="2"/>
  <c r="AC293" i="2"/>
  <c r="AA289" i="2"/>
  <c r="Q287" i="2"/>
  <c r="X285" i="2"/>
  <c r="P285" i="2"/>
  <c r="Q283" i="2"/>
  <c r="X281" i="2"/>
  <c r="R280" i="2"/>
  <c r="AC280" i="2"/>
  <c r="Z258" i="2"/>
  <c r="R258" i="2"/>
  <c r="U256" i="2"/>
  <c r="T237" i="2"/>
  <c r="O237" i="2"/>
  <c r="AA237" i="2"/>
  <c r="AC220" i="2"/>
  <c r="W189" i="2"/>
  <c r="V118" i="2"/>
  <c r="V104" i="2"/>
  <c r="Q104" i="2"/>
  <c r="R104" i="2"/>
  <c r="AC96" i="2"/>
  <c r="V96" i="2"/>
  <c r="U83" i="2"/>
  <c r="V83" i="2"/>
  <c r="O75" i="2"/>
  <c r="W75" i="2"/>
  <c r="T43" i="2"/>
  <c r="S29" i="2"/>
  <c r="AB29" i="2"/>
  <c r="U29" i="2"/>
  <c r="AC29" i="2"/>
  <c r="AA22" i="2"/>
  <c r="N627" i="2"/>
  <c r="U627" i="2"/>
  <c r="Z627" i="2"/>
  <c r="Q586" i="2"/>
  <c r="Z586" i="2"/>
  <c r="R586" i="2"/>
  <c r="AC586" i="2"/>
  <c r="Q569" i="2"/>
  <c r="W557" i="2"/>
  <c r="Y389" i="2"/>
  <c r="Y369" i="2"/>
  <c r="U293" i="2"/>
  <c r="AA272" i="2"/>
  <c r="O272" i="2"/>
  <c r="W266" i="2"/>
  <c r="X265" i="2"/>
  <c r="X205" i="2"/>
  <c r="X134" i="2"/>
  <c r="Y133" i="2"/>
  <c r="AC133" i="2"/>
  <c r="U118" i="2"/>
  <c r="T99" i="2"/>
  <c r="U99" i="2"/>
  <c r="U86" i="2"/>
  <c r="T86" i="2"/>
  <c r="U49" i="2"/>
  <c r="Q49" i="2"/>
  <c r="V49" i="2"/>
  <c r="V25" i="2"/>
  <c r="Z25" i="2"/>
  <c r="Z426" i="2"/>
  <c r="R426" i="2"/>
  <c r="Y413" i="2"/>
  <c r="AC400" i="2"/>
  <c r="N389" i="2"/>
  <c r="X384" i="2"/>
  <c r="U369" i="2"/>
  <c r="X318" i="2"/>
  <c r="W309" i="2"/>
  <c r="P281" i="2"/>
  <c r="U281" i="2"/>
  <c r="AA281" i="2"/>
  <c r="U265" i="2"/>
  <c r="AC236" i="2"/>
  <c r="U221" i="2"/>
  <c r="O221" i="2"/>
  <c r="U205" i="2"/>
  <c r="AA193" i="2"/>
  <c r="T193" i="2"/>
  <c r="AC193" i="2"/>
  <c r="W134" i="2"/>
  <c r="N121" i="2"/>
  <c r="U121" i="2"/>
  <c r="AC121" i="2"/>
  <c r="U120" i="2"/>
  <c r="N120" i="2"/>
  <c r="AC120" i="2"/>
  <c r="Q120" i="2"/>
  <c r="AC118" i="2"/>
  <c r="O118" i="2"/>
  <c r="U101" i="2"/>
  <c r="X101" i="2"/>
  <c r="AC99" i="2"/>
  <c r="AA89" i="2"/>
  <c r="O87" i="2"/>
  <c r="U78" i="2"/>
  <c r="AA78" i="2"/>
  <c r="AC49" i="2"/>
  <c r="X28" i="2"/>
  <c r="S22" i="2"/>
  <c r="W14" i="2"/>
  <c r="Q14" i="2"/>
  <c r="X14" i="2"/>
  <c r="W7" i="2"/>
  <c r="R7" i="2"/>
  <c r="Y7" i="2"/>
  <c r="U619" i="2"/>
  <c r="AC619" i="2"/>
  <c r="P596" i="2"/>
  <c r="X596" i="2"/>
  <c r="N576" i="2"/>
  <c r="W576" i="2"/>
  <c r="AC557" i="2"/>
  <c r="P557" i="2"/>
  <c r="O168" i="2"/>
  <c r="U147" i="2"/>
  <c r="AA138" i="2"/>
  <c r="X130" i="2"/>
  <c r="P130" i="2"/>
  <c r="Q117" i="2"/>
  <c r="U116" i="2"/>
  <c r="R112" i="2"/>
  <c r="AA82" i="2"/>
  <c r="O74" i="2"/>
  <c r="S65" i="2"/>
  <c r="V54" i="2"/>
  <c r="AC47" i="2"/>
  <c r="W47" i="2"/>
  <c r="X24" i="2"/>
  <c r="AB16" i="2"/>
  <c r="X10" i="2"/>
  <c r="N609" i="2"/>
  <c r="X593" i="2"/>
  <c r="X584" i="2"/>
  <c r="Q583" i="2"/>
  <c r="P581" i="2"/>
  <c r="Z538" i="2"/>
  <c r="T241" i="2"/>
  <c r="U241" i="2"/>
  <c r="R214" i="2"/>
  <c r="Q214" i="2"/>
  <c r="AA214" i="2"/>
  <c r="U214" i="2"/>
  <c r="AC214" i="2"/>
  <c r="W198" i="2"/>
  <c r="V198" i="2"/>
  <c r="O185" i="2"/>
  <c r="U185" i="2"/>
  <c r="W185" i="2"/>
  <c r="O173" i="2"/>
  <c r="R173" i="2"/>
  <c r="U173" i="2"/>
  <c r="O143" i="2"/>
  <c r="AA143" i="2"/>
  <c r="X592" i="2"/>
  <c r="O592" i="2"/>
  <c r="S592" i="2"/>
  <c r="R578" i="2"/>
  <c r="Z578" i="2"/>
  <c r="N578" i="2"/>
  <c r="V578" i="2"/>
  <c r="U578" i="2"/>
  <c r="Y578" i="2"/>
  <c r="AC529" i="2"/>
  <c r="AC525" i="2"/>
  <c r="AC509" i="2"/>
  <c r="W506" i="2"/>
  <c r="Z504" i="2"/>
  <c r="W498" i="2"/>
  <c r="Z496" i="2"/>
  <c r="W490" i="2"/>
  <c r="Z488" i="2"/>
  <c r="W482" i="2"/>
  <c r="Z480" i="2"/>
  <c r="AC445" i="2"/>
  <c r="Y363" i="2"/>
  <c r="N363" i="2"/>
  <c r="S361" i="2"/>
  <c r="Y361" i="2"/>
  <c r="Z345" i="2"/>
  <c r="W343" i="2"/>
  <c r="AC337" i="2"/>
  <c r="S337" i="2"/>
  <c r="S335" i="2"/>
  <c r="U335" i="2"/>
  <c r="AC326" i="2"/>
  <c r="S326" i="2"/>
  <c r="X303" i="2"/>
  <c r="X299" i="2"/>
  <c r="AB299" i="2"/>
  <c r="X279" i="2"/>
  <c r="S279" i="2"/>
  <c r="Y279" i="2"/>
  <c r="T253" i="2"/>
  <c r="P253" i="2"/>
  <c r="X253" i="2"/>
  <c r="V244" i="2"/>
  <c r="AC244" i="2"/>
  <c r="W214" i="2"/>
  <c r="AA162" i="2"/>
  <c r="Y162" i="2"/>
  <c r="U113" i="2"/>
  <c r="Y113" i="2"/>
  <c r="Q67" i="2"/>
  <c r="W67" i="2"/>
  <c r="U36" i="2"/>
  <c r="AC36" i="2"/>
  <c r="R590" i="2"/>
  <c r="AC590" i="2"/>
  <c r="N3" i="2"/>
  <c r="AA546" i="2"/>
  <c r="R546" i="2"/>
  <c r="N544" i="2"/>
  <c r="S542" i="2"/>
  <c r="N540" i="2"/>
  <c r="S538" i="2"/>
  <c r="AC537" i="2"/>
  <c r="T533" i="2"/>
  <c r="O530" i="2"/>
  <c r="Y529" i="2"/>
  <c r="O526" i="2"/>
  <c r="Y525" i="2"/>
  <c r="S522" i="2"/>
  <c r="U517" i="2"/>
  <c r="V516" i="2"/>
  <c r="AB515" i="2"/>
  <c r="AA514" i="2"/>
  <c r="R514" i="2"/>
  <c r="AC513" i="2"/>
  <c r="N512" i="2"/>
  <c r="Q511" i="2"/>
  <c r="Z510" i="2"/>
  <c r="O510" i="2"/>
  <c r="Y509" i="2"/>
  <c r="N508" i="2"/>
  <c r="S506" i="2"/>
  <c r="P505" i="2"/>
  <c r="W504" i="2"/>
  <c r="O500" i="2"/>
  <c r="S498" i="2"/>
  <c r="P497" i="2"/>
  <c r="W496" i="2"/>
  <c r="O492" i="2"/>
  <c r="S490" i="2"/>
  <c r="P489" i="2"/>
  <c r="W488" i="2"/>
  <c r="O484" i="2"/>
  <c r="S482" i="2"/>
  <c r="P481" i="2"/>
  <c r="W480" i="2"/>
  <c r="O476" i="2"/>
  <c r="AA472" i="2"/>
  <c r="W470" i="2"/>
  <c r="AA466" i="2"/>
  <c r="AA450" i="2"/>
  <c r="Q449" i="2"/>
  <c r="X445" i="2"/>
  <c r="AC441" i="2"/>
  <c r="AA438" i="2"/>
  <c r="AC437" i="2"/>
  <c r="AC422" i="2"/>
  <c r="U422" i="2"/>
  <c r="Z419" i="2"/>
  <c r="Z415" i="2"/>
  <c r="O411" i="2"/>
  <c r="S404" i="2"/>
  <c r="N403" i="2"/>
  <c r="O395" i="2"/>
  <c r="U389" i="2"/>
  <c r="U385" i="2"/>
  <c r="U383" i="2"/>
  <c r="U377" i="2"/>
  <c r="Z361" i="2"/>
  <c r="O357" i="2"/>
  <c r="Z357" i="2"/>
  <c r="S342" i="2"/>
  <c r="Z337" i="2"/>
  <c r="S336" i="2"/>
  <c r="AC316" i="2"/>
  <c r="X316" i="2"/>
  <c r="Z311" i="2"/>
  <c r="N302" i="2"/>
  <c r="Y302" i="2"/>
  <c r="P297" i="2"/>
  <c r="X297" i="2"/>
  <c r="O293" i="2"/>
  <c r="Y293" i="2"/>
  <c r="S293" i="2"/>
  <c r="AA293" i="2"/>
  <c r="R266" i="2"/>
  <c r="O266" i="2"/>
  <c r="AA266" i="2"/>
  <c r="Q266" i="2"/>
  <c r="T245" i="2"/>
  <c r="P245" i="2"/>
  <c r="U245" i="2"/>
  <c r="O242" i="2"/>
  <c r="Q242" i="2"/>
  <c r="V242" i="2"/>
  <c r="V214" i="2"/>
  <c r="AA213" i="2"/>
  <c r="Q194" i="2"/>
  <c r="R194" i="2"/>
  <c r="W194" i="2"/>
  <c r="AA185" i="2"/>
  <c r="T172" i="2"/>
  <c r="U172" i="2"/>
  <c r="O163" i="2"/>
  <c r="T95" i="2"/>
  <c r="O95" i="2"/>
  <c r="AA95" i="2"/>
  <c r="R59" i="2"/>
  <c r="Y59" i="2"/>
  <c r="Z59" i="2"/>
  <c r="S37" i="2"/>
  <c r="AA37" i="2"/>
  <c r="P18" i="2"/>
  <c r="U18" i="2"/>
  <c r="Q18" i="2"/>
  <c r="W18" i="2"/>
  <c r="Q598" i="2"/>
  <c r="R598" i="2"/>
  <c r="AA598" i="2"/>
  <c r="AC592" i="2"/>
  <c r="N588" i="2"/>
  <c r="O588" i="2"/>
  <c r="T588" i="2"/>
  <c r="Y588" i="2"/>
  <c r="Q588" i="2"/>
  <c r="X588" i="2"/>
  <c r="S588" i="2"/>
  <c r="AA588" i="2"/>
  <c r="AC580" i="2"/>
  <c r="R580" i="2"/>
  <c r="AC578" i="2"/>
  <c r="V546" i="2"/>
  <c r="W514" i="2"/>
  <c r="AC362" i="2"/>
  <c r="S362" i="2"/>
  <c r="N345" i="2"/>
  <c r="AC345" i="2"/>
  <c r="R343" i="2"/>
  <c r="O343" i="2"/>
  <c r="O337" i="2"/>
  <c r="W337" i="2"/>
  <c r="AC330" i="2"/>
  <c r="S330" i="2"/>
  <c r="N308" i="2"/>
  <c r="S308" i="2"/>
  <c r="Q303" i="2"/>
  <c r="O303" i="2"/>
  <c r="U303" i="2"/>
  <c r="AC303" i="2"/>
  <c r="P303" i="2"/>
  <c r="Y278" i="2"/>
  <c r="W278" i="2"/>
  <c r="T263" i="2"/>
  <c r="AA263" i="2"/>
  <c r="U218" i="2"/>
  <c r="AA218" i="2"/>
  <c r="O164" i="2"/>
  <c r="S164" i="2"/>
  <c r="X164" i="2"/>
  <c r="O103" i="2"/>
  <c r="Y103" i="2"/>
  <c r="S103" i="2"/>
  <c r="AC103" i="2"/>
  <c r="T103" i="2"/>
  <c r="N607" i="2"/>
  <c r="U607" i="2"/>
  <c r="AC607" i="2"/>
  <c r="O607" i="2"/>
  <c r="Y607" i="2"/>
  <c r="R607" i="2"/>
  <c r="Z607" i="2"/>
  <c r="AC546" i="2"/>
  <c r="U546" i="2"/>
  <c r="W542" i="2"/>
  <c r="W538" i="2"/>
  <c r="Y517" i="2"/>
  <c r="S514" i="2"/>
  <c r="O191" i="2"/>
  <c r="P191" i="2"/>
  <c r="Y191" i="2"/>
  <c r="S191" i="2"/>
  <c r="AA191" i="2"/>
  <c r="AA164" i="2"/>
  <c r="S160" i="2"/>
  <c r="AA160" i="2"/>
  <c r="N125" i="2"/>
  <c r="R125" i="2"/>
  <c r="U125" i="2"/>
  <c r="O122" i="2"/>
  <c r="AC122" i="2"/>
  <c r="S122" i="2"/>
  <c r="Q106" i="2"/>
  <c r="W106" i="2"/>
  <c r="R106" i="2"/>
  <c r="V106" i="2"/>
  <c r="U71" i="2"/>
  <c r="V71" i="2"/>
  <c r="O71" i="2"/>
  <c r="Q71" i="2"/>
  <c r="P46" i="2"/>
  <c r="U46" i="2"/>
  <c r="X46" i="2"/>
  <c r="AC46" i="2"/>
  <c r="AB12" i="2"/>
  <c r="AA12" i="2"/>
  <c r="R625" i="2"/>
  <c r="N625" i="2"/>
  <c r="Z625" i="2"/>
  <c r="O625" i="2"/>
  <c r="U625" i="2"/>
  <c r="S560" i="2"/>
  <c r="Y560" i="2"/>
  <c r="N560" i="2"/>
  <c r="R560" i="2"/>
  <c r="AC560" i="2"/>
  <c r="Z546" i="2"/>
  <c r="O546" i="2"/>
  <c r="O542" i="2"/>
  <c r="O538" i="2"/>
  <c r="Y537" i="2"/>
  <c r="U529" i="2"/>
  <c r="U525" i="2"/>
  <c r="V524" i="2"/>
  <c r="AB523" i="2"/>
  <c r="AA522" i="2"/>
  <c r="R522" i="2"/>
  <c r="Q519" i="2"/>
  <c r="T517" i="2"/>
  <c r="N516" i="2"/>
  <c r="Q515" i="2"/>
  <c r="Z514" i="2"/>
  <c r="O514" i="2"/>
  <c r="Y513" i="2"/>
  <c r="T509" i="2"/>
  <c r="O506" i="2"/>
  <c r="S504" i="2"/>
  <c r="P503" i="2"/>
  <c r="O498" i="2"/>
  <c r="S496" i="2"/>
  <c r="P495" i="2"/>
  <c r="O490" i="2"/>
  <c r="S488" i="2"/>
  <c r="P487" i="2"/>
  <c r="O482" i="2"/>
  <c r="S480" i="2"/>
  <c r="P479" i="2"/>
  <c r="AA442" i="2"/>
  <c r="Q441" i="2"/>
  <c r="AC433" i="2"/>
  <c r="O419" i="2"/>
  <c r="AC408" i="2"/>
  <c r="O383" i="2"/>
  <c r="R373" i="2"/>
  <c r="N373" i="2"/>
  <c r="Z373" i="2"/>
  <c r="R369" i="2"/>
  <c r="O369" i="2"/>
  <c r="X362" i="2"/>
  <c r="O361" i="2"/>
  <c r="R355" i="2"/>
  <c r="O355" i="2"/>
  <c r="Z355" i="2"/>
  <c r="Y351" i="2"/>
  <c r="S345" i="2"/>
  <c r="N343" i="2"/>
  <c r="Y337" i="2"/>
  <c r="N337" i="2"/>
  <c r="X330" i="2"/>
  <c r="Z329" i="2"/>
  <c r="N329" i="2"/>
  <c r="AC325" i="2"/>
  <c r="AC324" i="2"/>
  <c r="S324" i="2"/>
  <c r="X322" i="2"/>
  <c r="AC317" i="2"/>
  <c r="AC309" i="2"/>
  <c r="AC308" i="2"/>
  <c r="AA303" i="2"/>
  <c r="S303" i="2"/>
  <c r="AC279" i="2"/>
  <c r="N278" i="2"/>
  <c r="S277" i="2"/>
  <c r="AC277" i="2"/>
  <c r="P265" i="2"/>
  <c r="AA265" i="2"/>
  <c r="T265" i="2"/>
  <c r="AC265" i="2"/>
  <c r="S263" i="2"/>
  <c r="AA253" i="2"/>
  <c r="AA245" i="2"/>
  <c r="V238" i="2"/>
  <c r="W238" i="2"/>
  <c r="R230" i="2"/>
  <c r="R218" i="2"/>
  <c r="O214" i="2"/>
  <c r="Y211" i="2"/>
  <c r="S211" i="2"/>
  <c r="T211" i="2"/>
  <c r="P205" i="2"/>
  <c r="AA205" i="2"/>
  <c r="T205" i="2"/>
  <c r="AC205" i="2"/>
  <c r="X191" i="2"/>
  <c r="R185" i="2"/>
  <c r="AA173" i="2"/>
  <c r="P164" i="2"/>
  <c r="Z161" i="2"/>
  <c r="Q161" i="2"/>
  <c r="W161" i="2"/>
  <c r="AA159" i="2"/>
  <c r="AC159" i="2"/>
  <c r="U143" i="2"/>
  <c r="S132" i="2"/>
  <c r="X132" i="2"/>
  <c r="AC125" i="2"/>
  <c r="Y122" i="2"/>
  <c r="U114" i="2"/>
  <c r="P114" i="2"/>
  <c r="AC114" i="2"/>
  <c r="Q114" i="2"/>
  <c r="T105" i="2"/>
  <c r="U105" i="2"/>
  <c r="U103" i="2"/>
  <c r="R73" i="2"/>
  <c r="Z73" i="2"/>
  <c r="U73" i="2"/>
  <c r="AA71" i="2"/>
  <c r="AA70" i="2"/>
  <c r="AC70" i="2"/>
  <c r="N55" i="2"/>
  <c r="W55" i="2"/>
  <c r="Y55" i="2"/>
  <c r="P48" i="2"/>
  <c r="Y48" i="2"/>
  <c r="AC45" i="2"/>
  <c r="V45" i="2"/>
  <c r="AB35" i="2"/>
  <c r="S35" i="2"/>
  <c r="P8" i="2"/>
  <c r="S607" i="2"/>
  <c r="S604" i="2"/>
  <c r="AC604" i="2"/>
  <c r="P595" i="2"/>
  <c r="Q595" i="2"/>
  <c r="X595" i="2"/>
  <c r="Y595" i="2"/>
  <c r="Y592" i="2"/>
  <c r="P591" i="2"/>
  <c r="Q591" i="2"/>
  <c r="X591" i="2"/>
  <c r="AC591" i="2"/>
  <c r="W588" i="2"/>
  <c r="Q578" i="2"/>
  <c r="O561" i="2"/>
  <c r="P561" i="2"/>
  <c r="X561" i="2"/>
  <c r="U561" i="2"/>
  <c r="AC561" i="2"/>
  <c r="Q561" i="2"/>
  <c r="W561" i="2"/>
  <c r="Y118" i="2"/>
  <c r="S118" i="2"/>
  <c r="N118" i="2"/>
  <c r="S109" i="2"/>
  <c r="Y109" i="2"/>
  <c r="P88" i="2"/>
  <c r="U84" i="2"/>
  <c r="R65" i="2"/>
  <c r="P61" i="2"/>
  <c r="O61" i="2"/>
  <c r="V61" i="2"/>
  <c r="AC61" i="2"/>
  <c r="P44" i="2"/>
  <c r="S43" i="2"/>
  <c r="AC39" i="2"/>
  <c r="W39" i="2"/>
  <c r="W17" i="2"/>
  <c r="AC17" i="2"/>
  <c r="P14" i="2"/>
  <c r="U10" i="2"/>
  <c r="R605" i="2"/>
  <c r="O605" i="2"/>
  <c r="Z605" i="2"/>
  <c r="N603" i="2"/>
  <c r="AC603" i="2"/>
  <c r="U582" i="2"/>
  <c r="N582" i="2"/>
  <c r="AC582" i="2"/>
  <c r="V582" i="2"/>
  <c r="O573" i="2"/>
  <c r="P573" i="2"/>
  <c r="X573" i="2"/>
  <c r="U573" i="2"/>
  <c r="AC573" i="2"/>
  <c r="O569" i="2"/>
  <c r="P569" i="2"/>
  <c r="X569" i="2"/>
  <c r="U569" i="2"/>
  <c r="AC569" i="2"/>
  <c r="S568" i="2"/>
  <c r="Y568" i="2"/>
  <c r="N568" i="2"/>
  <c r="AC559" i="2"/>
  <c r="AB273" i="2"/>
  <c r="AC256" i="2"/>
  <c r="AC237" i="2"/>
  <c r="U168" i="2"/>
  <c r="AC147" i="2"/>
  <c r="U145" i="2"/>
  <c r="AC134" i="2"/>
  <c r="U134" i="2"/>
  <c r="AA130" i="2"/>
  <c r="S130" i="2"/>
  <c r="Y121" i="2"/>
  <c r="Y117" i="2"/>
  <c r="AC109" i="2"/>
  <c r="T109" i="2"/>
  <c r="N39" i="2"/>
  <c r="P39" i="2"/>
  <c r="U39" i="2"/>
  <c r="AA39" i="2"/>
  <c r="P28" i="2"/>
  <c r="U28" i="2"/>
  <c r="R25" i="2"/>
  <c r="AA25" i="2"/>
  <c r="U615" i="2"/>
  <c r="Y615" i="2"/>
  <c r="S606" i="2"/>
  <c r="X606" i="2"/>
  <c r="U605" i="2"/>
  <c r="N594" i="2"/>
  <c r="V594" i="2"/>
  <c r="N586" i="2"/>
  <c r="V586" i="2"/>
  <c r="AB573" i="2"/>
  <c r="AB569" i="2"/>
  <c r="U583" i="2"/>
  <c r="Z576" i="2"/>
  <c r="P554" i="2"/>
  <c r="R554" i="2"/>
  <c r="Z554" i="2"/>
  <c r="O554" i="2"/>
  <c r="V554" i="2"/>
  <c r="AC554" i="2"/>
  <c r="U554" i="2"/>
  <c r="AC553" i="2"/>
  <c r="P551" i="2"/>
  <c r="Q551" i="2"/>
  <c r="P548" i="2"/>
  <c r="N548" i="2"/>
  <c r="P472" i="2"/>
  <c r="R472" i="2"/>
  <c r="Z472" i="2"/>
  <c r="N472" i="2"/>
  <c r="V472" i="2"/>
  <c r="P466" i="2"/>
  <c r="R466" i="2"/>
  <c r="Z466" i="2"/>
  <c r="N466" i="2"/>
  <c r="V466" i="2"/>
  <c r="S458" i="2"/>
  <c r="Y455" i="2"/>
  <c r="P454" i="2"/>
  <c r="R454" i="2"/>
  <c r="Z454" i="2"/>
  <c r="N454" i="2"/>
  <c r="V454" i="2"/>
  <c r="P451" i="2"/>
  <c r="X451" i="2"/>
  <c r="S450" i="2"/>
  <c r="Y447" i="2"/>
  <c r="P446" i="2"/>
  <c r="R446" i="2"/>
  <c r="Z446" i="2"/>
  <c r="N446" i="2"/>
  <c r="V446" i="2"/>
  <c r="P443" i="2"/>
  <c r="X443" i="2"/>
  <c r="S442" i="2"/>
  <c r="Y439" i="2"/>
  <c r="P438" i="2"/>
  <c r="R438" i="2"/>
  <c r="Z438" i="2"/>
  <c r="N438" i="2"/>
  <c r="V438" i="2"/>
  <c r="P435" i="2"/>
  <c r="X435" i="2"/>
  <c r="S434" i="2"/>
  <c r="Y431" i="2"/>
  <c r="P430" i="2"/>
  <c r="R430" i="2"/>
  <c r="Z430" i="2"/>
  <c r="N430" i="2"/>
  <c r="V430" i="2"/>
  <c r="U427" i="2"/>
  <c r="P427" i="2"/>
  <c r="Y427" i="2"/>
  <c r="P423" i="2"/>
  <c r="U423" i="2"/>
  <c r="Y423" i="2"/>
  <c r="Q554" i="2"/>
  <c r="P552" i="2"/>
  <c r="N552" i="2"/>
  <c r="P550" i="2"/>
  <c r="O550" i="2"/>
  <c r="Z550" i="2"/>
  <c r="S550" i="2"/>
  <c r="P549" i="2"/>
  <c r="Y549" i="2"/>
  <c r="T549" i="2"/>
  <c r="W472" i="2"/>
  <c r="P470" i="2"/>
  <c r="N470" i="2"/>
  <c r="V470" i="2"/>
  <c r="R470" i="2"/>
  <c r="Z470" i="2"/>
  <c r="Q469" i="2"/>
  <c r="X469" i="2"/>
  <c r="P469" i="2"/>
  <c r="W466" i="2"/>
  <c r="AA458" i="2"/>
  <c r="W454" i="2"/>
  <c r="U453" i="2"/>
  <c r="P453" i="2"/>
  <c r="Y453" i="2"/>
  <c r="W446" i="2"/>
  <c r="U445" i="2"/>
  <c r="P445" i="2"/>
  <c r="Y445" i="2"/>
  <c r="W438" i="2"/>
  <c r="U437" i="2"/>
  <c r="P437" i="2"/>
  <c r="Y437" i="2"/>
  <c r="W430" i="2"/>
  <c r="U429" i="2"/>
  <c r="P429" i="2"/>
  <c r="Y429" i="2"/>
  <c r="P553" i="2"/>
  <c r="T553" i="2"/>
  <c r="Y553" i="2"/>
  <c r="Q473" i="2"/>
  <c r="P473" i="2"/>
  <c r="Q467" i="2"/>
  <c r="P467" i="2"/>
  <c r="P458" i="2"/>
  <c r="R458" i="2"/>
  <c r="W458" i="2"/>
  <c r="AC458" i="2"/>
  <c r="N458" i="2"/>
  <c r="U458" i="2"/>
  <c r="Z458" i="2"/>
  <c r="S456" i="2"/>
  <c r="N456" i="2"/>
  <c r="P455" i="2"/>
  <c r="X455" i="2"/>
  <c r="P450" i="2"/>
  <c r="R450" i="2"/>
  <c r="Z450" i="2"/>
  <c r="N450" i="2"/>
  <c r="V450" i="2"/>
  <c r="S448" i="2"/>
  <c r="N448" i="2"/>
  <c r="P447" i="2"/>
  <c r="X447" i="2"/>
  <c r="P442" i="2"/>
  <c r="R442" i="2"/>
  <c r="Z442" i="2"/>
  <c r="N442" i="2"/>
  <c r="V442" i="2"/>
  <c r="S440" i="2"/>
  <c r="N440" i="2"/>
  <c r="P439" i="2"/>
  <c r="X439" i="2"/>
  <c r="P434" i="2"/>
  <c r="R434" i="2"/>
  <c r="Z434" i="2"/>
  <c r="N434" i="2"/>
  <c r="V434" i="2"/>
  <c r="S432" i="2"/>
  <c r="N432" i="2"/>
  <c r="P431" i="2"/>
  <c r="X431" i="2"/>
  <c r="W554" i="2"/>
  <c r="AB551" i="2"/>
  <c r="V548" i="2"/>
  <c r="P547" i="2"/>
  <c r="Q547" i="2"/>
  <c r="P474" i="2"/>
  <c r="O474" i="2"/>
  <c r="W474" i="2"/>
  <c r="S474" i="2"/>
  <c r="AA474" i="2"/>
  <c r="O472" i="2"/>
  <c r="Q471" i="2"/>
  <c r="P471" i="2"/>
  <c r="P468" i="2"/>
  <c r="N468" i="2"/>
  <c r="V468" i="2"/>
  <c r="R468" i="2"/>
  <c r="Z468" i="2"/>
  <c r="O466" i="2"/>
  <c r="V458" i="2"/>
  <c r="U457" i="2"/>
  <c r="P457" i="2"/>
  <c r="Y457" i="2"/>
  <c r="O454" i="2"/>
  <c r="Z452" i="2"/>
  <c r="U451" i="2"/>
  <c r="W450" i="2"/>
  <c r="U449" i="2"/>
  <c r="P449" i="2"/>
  <c r="Y449" i="2"/>
  <c r="O446" i="2"/>
  <c r="Z444" i="2"/>
  <c r="U443" i="2"/>
  <c r="W442" i="2"/>
  <c r="U441" i="2"/>
  <c r="P441" i="2"/>
  <c r="Y441" i="2"/>
  <c r="O438" i="2"/>
  <c r="Z436" i="2"/>
  <c r="U435" i="2"/>
  <c r="W434" i="2"/>
  <c r="U433" i="2"/>
  <c r="P433" i="2"/>
  <c r="Y433" i="2"/>
  <c r="O430" i="2"/>
  <c r="X427" i="2"/>
  <c r="Q418" i="2"/>
  <c r="AC418" i="2"/>
  <c r="S417" i="2"/>
  <c r="U415" i="2"/>
  <c r="S414" i="2"/>
  <c r="Q414" i="2"/>
  <c r="Q410" i="2"/>
  <c r="AC410" i="2"/>
  <c r="S409" i="2"/>
  <c r="S407" i="2"/>
  <c r="N407" i="2"/>
  <c r="S399" i="2"/>
  <c r="S393" i="2"/>
  <c r="S371" i="2"/>
  <c r="N371" i="2"/>
  <c r="Z371" i="2"/>
  <c r="O371" i="2"/>
  <c r="S368" i="2"/>
  <c r="X368" i="2"/>
  <c r="N367" i="2"/>
  <c r="Y367" i="2"/>
  <c r="O367" i="2"/>
  <c r="Z367" i="2"/>
  <c r="R347" i="2"/>
  <c r="S347" i="2"/>
  <c r="S341" i="2"/>
  <c r="U341" i="2"/>
  <c r="S334" i="2"/>
  <c r="X334" i="2"/>
  <c r="AC332" i="2"/>
  <c r="S332" i="2"/>
  <c r="X332" i="2"/>
  <c r="U537" i="2"/>
  <c r="U533" i="2"/>
  <c r="V532" i="2"/>
  <c r="AB531" i="2"/>
  <c r="AA530" i="2"/>
  <c r="R530" i="2"/>
  <c r="S528" i="2"/>
  <c r="AB527" i="2"/>
  <c r="AA526" i="2"/>
  <c r="R526" i="2"/>
  <c r="U521" i="2"/>
  <c r="V520" i="2"/>
  <c r="AB519" i="2"/>
  <c r="AA518" i="2"/>
  <c r="R518" i="2"/>
  <c r="U513" i="2"/>
  <c r="U509" i="2"/>
  <c r="V508" i="2"/>
  <c r="AB507" i="2"/>
  <c r="AA506" i="2"/>
  <c r="R506" i="2"/>
  <c r="X505" i="2"/>
  <c r="AA504" i="2"/>
  <c r="R504" i="2"/>
  <c r="X503" i="2"/>
  <c r="AA502" i="2"/>
  <c r="R502" i="2"/>
  <c r="X501" i="2"/>
  <c r="AA500" i="2"/>
  <c r="R500" i="2"/>
  <c r="X499" i="2"/>
  <c r="AA498" i="2"/>
  <c r="R498" i="2"/>
  <c r="X497" i="2"/>
  <c r="AA496" i="2"/>
  <c r="R496" i="2"/>
  <c r="X495" i="2"/>
  <c r="AA494" i="2"/>
  <c r="R494" i="2"/>
  <c r="X493" i="2"/>
  <c r="AA492" i="2"/>
  <c r="R492" i="2"/>
  <c r="X491" i="2"/>
  <c r="AA490" i="2"/>
  <c r="R490" i="2"/>
  <c r="X489" i="2"/>
  <c r="AA488" i="2"/>
  <c r="R488" i="2"/>
  <c r="X487" i="2"/>
  <c r="AA486" i="2"/>
  <c r="R486" i="2"/>
  <c r="X485" i="2"/>
  <c r="AA484" i="2"/>
  <c r="R484" i="2"/>
  <c r="X483" i="2"/>
  <c r="AA482" i="2"/>
  <c r="R482" i="2"/>
  <c r="X481" i="2"/>
  <c r="AA480" i="2"/>
  <c r="R480" i="2"/>
  <c r="X479" i="2"/>
  <c r="AA478" i="2"/>
  <c r="R478" i="2"/>
  <c r="X477" i="2"/>
  <c r="AA476" i="2"/>
  <c r="R476" i="2"/>
  <c r="X475" i="2"/>
  <c r="V428" i="2"/>
  <c r="P422" i="2"/>
  <c r="Q422" i="2"/>
  <c r="V422" i="2"/>
  <c r="AA422" i="2"/>
  <c r="U419" i="2"/>
  <c r="AB418" i="2"/>
  <c r="Z411" i="2"/>
  <c r="AB410" i="2"/>
  <c r="Z407" i="2"/>
  <c r="S402" i="2"/>
  <c r="O393" i="2"/>
  <c r="S392" i="2"/>
  <c r="R389" i="2"/>
  <c r="S389" i="2"/>
  <c r="S384" i="2"/>
  <c r="Y381" i="2"/>
  <c r="S359" i="2"/>
  <c r="U359" i="2"/>
  <c r="O345" i="2"/>
  <c r="W345" i="2"/>
  <c r="R345" i="2"/>
  <c r="Y345" i="2"/>
  <c r="AC341" i="2"/>
  <c r="U321" i="2"/>
  <c r="N321" i="2"/>
  <c r="AC321" i="2"/>
  <c r="S321" i="2"/>
  <c r="P309" i="2"/>
  <c r="Q309" i="2"/>
  <c r="V309" i="2"/>
  <c r="AA309" i="2"/>
  <c r="N309" i="2"/>
  <c r="S309" i="2"/>
  <c r="Y309" i="2"/>
  <c r="O309" i="2"/>
  <c r="U309" i="2"/>
  <c r="Z309" i="2"/>
  <c r="R417" i="2"/>
  <c r="N417" i="2"/>
  <c r="Y417" i="2"/>
  <c r="S415" i="2"/>
  <c r="O415" i="2"/>
  <c r="R409" i="2"/>
  <c r="N409" i="2"/>
  <c r="Y409" i="2"/>
  <c r="O399" i="2"/>
  <c r="Z399" i="2"/>
  <c r="S387" i="2"/>
  <c r="Y387" i="2"/>
  <c r="R385" i="2"/>
  <c r="O385" i="2"/>
  <c r="Y375" i="2"/>
  <c r="Y371" i="2"/>
  <c r="S370" i="2"/>
  <c r="X370" i="2"/>
  <c r="U367" i="2"/>
  <c r="R351" i="2"/>
  <c r="N351" i="2"/>
  <c r="Z351" i="2"/>
  <c r="O351" i="2"/>
  <c r="X340" i="2"/>
  <c r="S340" i="2"/>
  <c r="R335" i="2"/>
  <c r="N335" i="2"/>
  <c r="W335" i="2"/>
  <c r="O335" i="2"/>
  <c r="Z335" i="2"/>
  <c r="U333" i="2"/>
  <c r="N333" i="2"/>
  <c r="AC333" i="2"/>
  <c r="AC328" i="2"/>
  <c r="X328" i="2"/>
  <c r="P311" i="2"/>
  <c r="R311" i="2"/>
  <c r="Y311" i="2"/>
  <c r="N311" i="2"/>
  <c r="U311" i="2"/>
  <c r="AC311" i="2"/>
  <c r="O311" i="2"/>
  <c r="W311" i="2"/>
  <c r="W546" i="2"/>
  <c r="Q546" i="2"/>
  <c r="S544" i="2"/>
  <c r="AB543" i="2"/>
  <c r="AA542" i="2"/>
  <c r="R542" i="2"/>
  <c r="S540" i="2"/>
  <c r="AB539" i="2"/>
  <c r="AA538" i="2"/>
  <c r="R538" i="2"/>
  <c r="S536" i="2"/>
  <c r="S418" i="2"/>
  <c r="U417" i="2"/>
  <c r="Y415" i="2"/>
  <c r="S410" i="2"/>
  <c r="U409" i="2"/>
  <c r="X408" i="2"/>
  <c r="AB408" i="2"/>
  <c r="O407" i="2"/>
  <c r="S400" i="2"/>
  <c r="U399" i="2"/>
  <c r="Y385" i="2"/>
  <c r="U375" i="2"/>
  <c r="U371" i="2"/>
  <c r="AC368" i="2"/>
  <c r="S367" i="2"/>
  <c r="Z347" i="2"/>
  <c r="S344" i="2"/>
  <c r="N341" i="2"/>
  <c r="AC335" i="2"/>
  <c r="S329" i="2"/>
  <c r="U329" i="2"/>
  <c r="AC320" i="2"/>
  <c r="S320" i="2"/>
  <c r="X320" i="2"/>
  <c r="S300" i="2"/>
  <c r="S292" i="2"/>
  <c r="N292" i="2"/>
  <c r="AC292" i="2"/>
  <c r="S284" i="2"/>
  <c r="W284" i="2"/>
  <c r="Q275" i="2"/>
  <c r="O275" i="2"/>
  <c r="U275" i="2"/>
  <c r="AC275" i="2"/>
  <c r="R262" i="2"/>
  <c r="O262" i="2"/>
  <c r="W262" i="2"/>
  <c r="Q262" i="2"/>
  <c r="AA262" i="2"/>
  <c r="V260" i="2"/>
  <c r="AC260" i="2"/>
  <c r="Q250" i="2"/>
  <c r="W250" i="2"/>
  <c r="R250" i="2"/>
  <c r="Z250" i="2"/>
  <c r="S247" i="2"/>
  <c r="T247" i="2"/>
  <c r="S243" i="2"/>
  <c r="T243" i="2"/>
  <c r="P199" i="2"/>
  <c r="X199" i="2"/>
  <c r="S199" i="2"/>
  <c r="Y199" i="2"/>
  <c r="O183" i="2"/>
  <c r="U183" i="2"/>
  <c r="Q131" i="2"/>
  <c r="Y131" i="2"/>
  <c r="N126" i="2"/>
  <c r="P126" i="2"/>
  <c r="U126" i="2"/>
  <c r="AA126" i="2"/>
  <c r="Q126" i="2"/>
  <c r="W126" i="2"/>
  <c r="AB126" i="2"/>
  <c r="Q124" i="2"/>
  <c r="Y124" i="2"/>
  <c r="R124" i="2"/>
  <c r="Z124" i="2"/>
  <c r="S111" i="2"/>
  <c r="X111" i="2"/>
  <c r="U91" i="2"/>
  <c r="V91" i="2"/>
  <c r="AA91" i="2"/>
  <c r="Q79" i="2"/>
  <c r="AC79" i="2"/>
  <c r="V79" i="2"/>
  <c r="AA79" i="2"/>
  <c r="O33" i="2"/>
  <c r="Q33" i="2"/>
  <c r="X33" i="2"/>
  <c r="S33" i="2"/>
  <c r="AB33" i="2"/>
  <c r="U33" i="2"/>
  <c r="AC33" i="2"/>
  <c r="P33" i="2"/>
  <c r="W33" i="2"/>
  <c r="P26" i="2"/>
  <c r="X26" i="2"/>
  <c r="P601" i="2"/>
  <c r="N601" i="2"/>
  <c r="V601" i="2"/>
  <c r="AC601" i="2"/>
  <c r="O601" i="2"/>
  <c r="W601" i="2"/>
  <c r="R601" i="2"/>
  <c r="S601" i="2"/>
  <c r="Z601" i="2"/>
  <c r="AA601" i="2"/>
  <c r="Q579" i="2"/>
  <c r="AC579" i="2"/>
  <c r="U579" i="2"/>
  <c r="X579" i="2"/>
  <c r="Y579" i="2"/>
  <c r="W558" i="2"/>
  <c r="Y558" i="2"/>
  <c r="S373" i="2"/>
  <c r="U361" i="2"/>
  <c r="AC343" i="2"/>
  <c r="S343" i="2"/>
  <c r="Z319" i="2"/>
  <c r="AB308" i="2"/>
  <c r="Q297" i="2"/>
  <c r="O297" i="2"/>
  <c r="U297" i="2"/>
  <c r="AC297" i="2"/>
  <c r="Y292" i="2"/>
  <c r="S288" i="2"/>
  <c r="R288" i="2"/>
  <c r="Y284" i="2"/>
  <c r="T275" i="2"/>
  <c r="AC262" i="2"/>
  <c r="P261" i="2"/>
  <c r="AA261" i="2"/>
  <c r="T261" i="2"/>
  <c r="AC261" i="2"/>
  <c r="V250" i="2"/>
  <c r="R246" i="2"/>
  <c r="Q246" i="2"/>
  <c r="AA246" i="2"/>
  <c r="U246" i="2"/>
  <c r="AC246" i="2"/>
  <c r="O230" i="2"/>
  <c r="V230" i="2"/>
  <c r="AC230" i="2"/>
  <c r="Q230" i="2"/>
  <c r="W230" i="2"/>
  <c r="O208" i="2"/>
  <c r="AA208" i="2"/>
  <c r="AC208" i="2"/>
  <c r="O202" i="2"/>
  <c r="R202" i="2"/>
  <c r="AA202" i="2"/>
  <c r="U202" i="2"/>
  <c r="U199" i="2"/>
  <c r="O156" i="2"/>
  <c r="S156" i="2"/>
  <c r="AA156" i="2"/>
  <c r="T156" i="2"/>
  <c r="O152" i="2"/>
  <c r="S152" i="2"/>
  <c r="AA152" i="2"/>
  <c r="T152" i="2"/>
  <c r="W149" i="2"/>
  <c r="Z149" i="2"/>
  <c r="T144" i="2"/>
  <c r="AA144" i="2"/>
  <c r="Q141" i="2"/>
  <c r="W141" i="2"/>
  <c r="T128" i="2"/>
  <c r="X128" i="2"/>
  <c r="T126" i="2"/>
  <c r="V124" i="2"/>
  <c r="Z111" i="2"/>
  <c r="P80" i="2"/>
  <c r="X80" i="2"/>
  <c r="O80" i="2"/>
  <c r="Y80" i="2"/>
  <c r="S80" i="2"/>
  <c r="AA80" i="2"/>
  <c r="Q63" i="2"/>
  <c r="AA63" i="2"/>
  <c r="U63" i="2"/>
  <c r="AC63" i="2"/>
  <c r="V63" i="2"/>
  <c r="W63" i="2"/>
  <c r="P38" i="2"/>
  <c r="AC38" i="2"/>
  <c r="U38" i="2"/>
  <c r="P587" i="2"/>
  <c r="U587" i="2"/>
  <c r="X587" i="2"/>
  <c r="Q587" i="2"/>
  <c r="AC587" i="2"/>
  <c r="O565" i="2"/>
  <c r="Q565" i="2"/>
  <c r="X565" i="2"/>
  <c r="S565" i="2"/>
  <c r="AA565" i="2"/>
  <c r="U565" i="2"/>
  <c r="W565" i="2"/>
  <c r="AB565" i="2"/>
  <c r="AC565" i="2"/>
  <c r="P563" i="2"/>
  <c r="AB563" i="2"/>
  <c r="N300" i="2"/>
  <c r="AC300" i="2"/>
  <c r="T297" i="2"/>
  <c r="AB295" i="2"/>
  <c r="W292" i="2"/>
  <c r="AB291" i="2"/>
  <c r="Y288" i="2"/>
  <c r="R284" i="2"/>
  <c r="AB277" i="2"/>
  <c r="AA275" i="2"/>
  <c r="S275" i="2"/>
  <c r="V262" i="2"/>
  <c r="X261" i="2"/>
  <c r="U250" i="2"/>
  <c r="W246" i="2"/>
  <c r="AA243" i="2"/>
  <c r="O241" i="2"/>
  <c r="X241" i="2"/>
  <c r="P241" i="2"/>
  <c r="AA241" i="2"/>
  <c r="Z230" i="2"/>
  <c r="O218" i="2"/>
  <c r="V218" i="2"/>
  <c r="AC218" i="2"/>
  <c r="Q218" i="2"/>
  <c r="W218" i="2"/>
  <c r="P213" i="2"/>
  <c r="T213" i="2"/>
  <c r="Z202" i="2"/>
  <c r="T199" i="2"/>
  <c r="P193" i="2"/>
  <c r="X193" i="2"/>
  <c r="S193" i="2"/>
  <c r="Y193" i="2"/>
  <c r="AC183" i="2"/>
  <c r="O180" i="2"/>
  <c r="U180" i="2"/>
  <c r="O176" i="2"/>
  <c r="X176" i="2"/>
  <c r="P176" i="2"/>
  <c r="AA176" i="2"/>
  <c r="Y156" i="2"/>
  <c r="Y152" i="2"/>
  <c r="AA150" i="2"/>
  <c r="Y150" i="2"/>
  <c r="O137" i="2"/>
  <c r="U137" i="2"/>
  <c r="W137" i="2"/>
  <c r="O136" i="2"/>
  <c r="AC136" i="2"/>
  <c r="S136" i="2"/>
  <c r="N133" i="2"/>
  <c r="R133" i="2"/>
  <c r="U133" i="2"/>
  <c r="AC126" i="2"/>
  <c r="S126" i="2"/>
  <c r="U124" i="2"/>
  <c r="N122" i="2"/>
  <c r="P122" i="2"/>
  <c r="U122" i="2"/>
  <c r="AA122" i="2"/>
  <c r="Q122" i="2"/>
  <c r="W122" i="2"/>
  <c r="AB122" i="2"/>
  <c r="N116" i="2"/>
  <c r="V116" i="2"/>
  <c r="Q116" i="2"/>
  <c r="Y116" i="2"/>
  <c r="N114" i="2"/>
  <c r="R114" i="2"/>
  <c r="V114" i="2"/>
  <c r="Z114" i="2"/>
  <c r="O114" i="2"/>
  <c r="S114" i="2"/>
  <c r="W114" i="2"/>
  <c r="AA114" i="2"/>
  <c r="N113" i="2"/>
  <c r="Q113" i="2"/>
  <c r="Z113" i="2"/>
  <c r="R113" i="2"/>
  <c r="AC113" i="2"/>
  <c r="Y111" i="2"/>
  <c r="Q110" i="2"/>
  <c r="W110" i="2"/>
  <c r="O105" i="2"/>
  <c r="X105" i="2"/>
  <c r="P105" i="2"/>
  <c r="AA105" i="2"/>
  <c r="O101" i="2"/>
  <c r="AA101" i="2"/>
  <c r="P101" i="2"/>
  <c r="P95" i="2"/>
  <c r="X95" i="2"/>
  <c r="S95" i="2"/>
  <c r="Y95" i="2"/>
  <c r="AC91" i="2"/>
  <c r="Z85" i="2"/>
  <c r="AA85" i="2"/>
  <c r="AC80" i="2"/>
  <c r="AC64" i="2"/>
  <c r="P64" i="2"/>
  <c r="U64" i="2"/>
  <c r="AC42" i="2"/>
  <c r="P42" i="2"/>
  <c r="U42" i="2"/>
  <c r="O617" i="2"/>
  <c r="S617" i="2"/>
  <c r="Z617" i="2"/>
  <c r="U617" i="2"/>
  <c r="S318" i="2"/>
  <c r="N317" i="2"/>
  <c r="S316" i="2"/>
  <c r="R308" i="2"/>
  <c r="AA297" i="2"/>
  <c r="S297" i="2"/>
  <c r="X295" i="2"/>
  <c r="Q293" i="2"/>
  <c r="P293" i="2"/>
  <c r="X293" i="2"/>
  <c r="R292" i="2"/>
  <c r="Q291" i="2"/>
  <c r="Q289" i="2"/>
  <c r="S289" i="2"/>
  <c r="Y289" i="2"/>
  <c r="W288" i="2"/>
  <c r="X287" i="2"/>
  <c r="N284" i="2"/>
  <c r="X277" i="2"/>
  <c r="S276" i="2"/>
  <c r="Y275" i="2"/>
  <c r="P275" i="2"/>
  <c r="S274" i="2"/>
  <c r="N274" i="2"/>
  <c r="U262" i="2"/>
  <c r="U261" i="2"/>
  <c r="O260" i="2"/>
  <c r="AC250" i="2"/>
  <c r="O250" i="2"/>
  <c r="AA247" i="2"/>
  <c r="V246" i="2"/>
  <c r="Y243" i="2"/>
  <c r="AC241" i="2"/>
  <c r="Q238" i="2"/>
  <c r="AA238" i="2"/>
  <c r="U238" i="2"/>
  <c r="AC238" i="2"/>
  <c r="S231" i="2"/>
  <c r="AA231" i="2"/>
  <c r="U230" i="2"/>
  <c r="U229" i="2"/>
  <c r="AA229" i="2"/>
  <c r="U222" i="2"/>
  <c r="V222" i="2"/>
  <c r="Z218" i="2"/>
  <c r="W202" i="2"/>
  <c r="AC199" i="2"/>
  <c r="O199" i="2"/>
  <c r="U193" i="2"/>
  <c r="O189" i="2"/>
  <c r="R189" i="2"/>
  <c r="U189" i="2"/>
  <c r="S186" i="2"/>
  <c r="AA186" i="2"/>
  <c r="AA183" i="2"/>
  <c r="AC176" i="2"/>
  <c r="O159" i="2"/>
  <c r="U159" i="2"/>
  <c r="X156" i="2"/>
  <c r="U153" i="2"/>
  <c r="X152" i="2"/>
  <c r="O151" i="2"/>
  <c r="S148" i="2"/>
  <c r="AC144" i="2"/>
  <c r="O139" i="2"/>
  <c r="U139" i="2"/>
  <c r="V139" i="2"/>
  <c r="Z131" i="2"/>
  <c r="N129" i="2"/>
  <c r="U129" i="2"/>
  <c r="Y129" i="2"/>
  <c r="Y126" i="2"/>
  <c r="O126" i="2"/>
  <c r="N124" i="2"/>
  <c r="T122" i="2"/>
  <c r="Q119" i="2"/>
  <c r="Y119" i="2"/>
  <c r="Z116" i="2"/>
  <c r="AB114" i="2"/>
  <c r="T114" i="2"/>
  <c r="P111" i="2"/>
  <c r="AC105" i="2"/>
  <c r="P99" i="2"/>
  <c r="X99" i="2"/>
  <c r="S99" i="2"/>
  <c r="Y99" i="2"/>
  <c r="U95" i="2"/>
  <c r="Q91" i="2"/>
  <c r="P84" i="2"/>
  <c r="X84" i="2"/>
  <c r="S84" i="2"/>
  <c r="AA84" i="2"/>
  <c r="T84" i="2"/>
  <c r="AC84" i="2"/>
  <c r="U80" i="2"/>
  <c r="U79" i="2"/>
  <c r="S66" i="2"/>
  <c r="X66" i="2"/>
  <c r="O66" i="2"/>
  <c r="Y66" i="2"/>
  <c r="U62" i="2"/>
  <c r="AC62" i="2"/>
  <c r="P62" i="2"/>
  <c r="N35" i="2"/>
  <c r="P35" i="2"/>
  <c r="U35" i="2"/>
  <c r="AA35" i="2"/>
  <c r="O35" i="2"/>
  <c r="W35" i="2"/>
  <c r="AC35" i="2"/>
  <c r="Q35" i="2"/>
  <c r="X35" i="2"/>
  <c r="T35" i="2"/>
  <c r="Y35" i="2"/>
  <c r="AA33" i="2"/>
  <c r="U621" i="2"/>
  <c r="AC621" i="2"/>
  <c r="S621" i="2"/>
  <c r="P579" i="2"/>
  <c r="AA242" i="2"/>
  <c r="O236" i="2"/>
  <c r="Q83" i="2"/>
  <c r="AC83" i="2"/>
  <c r="Q75" i="2"/>
  <c r="V75" i="2"/>
  <c r="N65" i="2"/>
  <c r="V65" i="2"/>
  <c r="AC65" i="2"/>
  <c r="Q65" i="2"/>
  <c r="W65" i="2"/>
  <c r="X58" i="2"/>
  <c r="AC58" i="2"/>
  <c r="R53" i="2"/>
  <c r="Q53" i="2"/>
  <c r="AC53" i="2"/>
  <c r="V53" i="2"/>
  <c r="N43" i="2"/>
  <c r="P43" i="2"/>
  <c r="U43" i="2"/>
  <c r="AA43" i="2"/>
  <c r="O43" i="2"/>
  <c r="W43" i="2"/>
  <c r="AC43" i="2"/>
  <c r="Q43" i="2"/>
  <c r="X43" i="2"/>
  <c r="N37" i="2"/>
  <c r="Q37" i="2"/>
  <c r="W37" i="2"/>
  <c r="AB37" i="2"/>
  <c r="O37" i="2"/>
  <c r="U37" i="2"/>
  <c r="AC37" i="2"/>
  <c r="P37" i="2"/>
  <c r="X37" i="2"/>
  <c r="R15" i="2"/>
  <c r="AC15" i="2"/>
  <c r="N15" i="2"/>
  <c r="S15" i="2"/>
  <c r="O8" i="2"/>
  <c r="S8" i="2"/>
  <c r="AA8" i="2"/>
  <c r="Q8" i="2"/>
  <c r="AB8" i="2"/>
  <c r="U8" i="2"/>
  <c r="AC8" i="2"/>
  <c r="P4" i="2"/>
  <c r="Q4" i="2"/>
  <c r="AB4" i="2"/>
  <c r="T4" i="2"/>
  <c r="AC4" i="2"/>
  <c r="Y4" i="2"/>
  <c r="P599" i="2"/>
  <c r="N599" i="2"/>
  <c r="V599" i="2"/>
  <c r="O599" i="2"/>
  <c r="W599" i="2"/>
  <c r="R599" i="2"/>
  <c r="S599" i="2"/>
  <c r="Q597" i="2"/>
  <c r="X597" i="2"/>
  <c r="Y597" i="2"/>
  <c r="O580" i="2"/>
  <c r="S580" i="2"/>
  <c r="W580" i="2"/>
  <c r="AA580" i="2"/>
  <c r="P580" i="2"/>
  <c r="T580" i="2"/>
  <c r="X580" i="2"/>
  <c r="AB580" i="2"/>
  <c r="N580" i="2"/>
  <c r="V580" i="2"/>
  <c r="Q580" i="2"/>
  <c r="Y580" i="2"/>
  <c r="AC266" i="2"/>
  <c r="U266" i="2"/>
  <c r="U253" i="2"/>
  <c r="AC245" i="2"/>
  <c r="Z214" i="2"/>
  <c r="AA194" i="2"/>
  <c r="W173" i="2"/>
  <c r="AC168" i="2"/>
  <c r="T164" i="2"/>
  <c r="AC143" i="2"/>
  <c r="AA134" i="2"/>
  <c r="S134" i="2"/>
  <c r="AB118" i="2"/>
  <c r="X118" i="2"/>
  <c r="T118" i="2"/>
  <c r="U117" i="2"/>
  <c r="AA104" i="2"/>
  <c r="S92" i="2"/>
  <c r="Y92" i="2"/>
  <c r="O90" i="2"/>
  <c r="AA90" i="2"/>
  <c r="AA83" i="2"/>
  <c r="Z77" i="2"/>
  <c r="R77" i="2"/>
  <c r="U77" i="2"/>
  <c r="AA75" i="2"/>
  <c r="Y65" i="2"/>
  <c r="N59" i="2"/>
  <c r="U59" i="2"/>
  <c r="AC59" i="2"/>
  <c r="O59" i="2"/>
  <c r="W59" i="2"/>
  <c r="R55" i="2"/>
  <c r="AC55" i="2"/>
  <c r="S55" i="2"/>
  <c r="P50" i="2"/>
  <c r="V50" i="2"/>
  <c r="Q50" i="2"/>
  <c r="AC50" i="2"/>
  <c r="U50" i="2"/>
  <c r="Y43" i="2"/>
  <c r="Y37" i="2"/>
  <c r="AC34" i="2"/>
  <c r="P34" i="2"/>
  <c r="U34" i="2"/>
  <c r="AC20" i="2"/>
  <c r="W20" i="2"/>
  <c r="X8" i="2"/>
  <c r="P5" i="2"/>
  <c r="N5" i="2"/>
  <c r="S5" i="2"/>
  <c r="Y5" i="2"/>
  <c r="O5" i="2"/>
  <c r="U5" i="2"/>
  <c r="Z5" i="2"/>
  <c r="R5" i="2"/>
  <c r="AC5" i="2"/>
  <c r="V5" i="2"/>
  <c r="N584" i="2"/>
  <c r="O584" i="2"/>
  <c r="T584" i="2"/>
  <c r="Y584" i="2"/>
  <c r="P584" i="2"/>
  <c r="U584" i="2"/>
  <c r="AA584" i="2"/>
  <c r="S584" i="2"/>
  <c r="AC584" i="2"/>
  <c r="W584" i="2"/>
  <c r="Z580" i="2"/>
  <c r="P571" i="2"/>
  <c r="AC571" i="2"/>
  <c r="U571" i="2"/>
  <c r="AB571" i="2"/>
  <c r="Y61" i="2"/>
  <c r="S61" i="2"/>
  <c r="N61" i="2"/>
  <c r="Q24" i="2"/>
  <c r="U24" i="2"/>
  <c r="O16" i="2"/>
  <c r="Q16" i="2"/>
  <c r="X16" i="2"/>
  <c r="O10" i="2"/>
  <c r="Q10" i="2"/>
  <c r="AB10" i="2"/>
  <c r="R611" i="2"/>
  <c r="Z611" i="2"/>
  <c r="S611" i="2"/>
  <c r="AC611" i="2"/>
  <c r="S602" i="2"/>
  <c r="AC602" i="2"/>
  <c r="Q596" i="2"/>
  <c r="AC596" i="2"/>
  <c r="U596" i="2"/>
  <c r="N592" i="2"/>
  <c r="P592" i="2"/>
  <c r="U592" i="2"/>
  <c r="AA592" i="2"/>
  <c r="Q592" i="2"/>
  <c r="W592" i="2"/>
  <c r="AB592" i="2"/>
  <c r="P559" i="2"/>
  <c r="U559" i="2"/>
  <c r="AA73" i="2"/>
  <c r="AC71" i="2"/>
  <c r="N47" i="2"/>
  <c r="P47" i="2"/>
  <c r="U47" i="2"/>
  <c r="AA47" i="2"/>
  <c r="N41" i="2"/>
  <c r="O41" i="2"/>
  <c r="T41" i="2"/>
  <c r="Y41" i="2"/>
  <c r="O29" i="2"/>
  <c r="Q29" i="2"/>
  <c r="X29" i="2"/>
  <c r="AB24" i="2"/>
  <c r="AC16" i="2"/>
  <c r="U16" i="2"/>
  <c r="O14" i="2"/>
  <c r="U14" i="2"/>
  <c r="AC14" i="2"/>
  <c r="S11" i="2"/>
  <c r="W11" i="2"/>
  <c r="W10" i="2"/>
  <c r="R629" i="2"/>
  <c r="S629" i="2"/>
  <c r="N619" i="2"/>
  <c r="W619" i="2"/>
  <c r="O619" i="2"/>
  <c r="Z619" i="2"/>
  <c r="Y611" i="2"/>
  <c r="O603" i="2"/>
  <c r="W603" i="2"/>
  <c r="R603" i="2"/>
  <c r="Y603" i="2"/>
  <c r="Y596" i="2"/>
  <c r="T592" i="2"/>
  <c r="S576" i="2"/>
  <c r="R576" i="2"/>
  <c r="V576" i="2"/>
  <c r="N7" i="2"/>
  <c r="AC598" i="2"/>
  <c r="U594" i="2"/>
  <c r="AC625" i="2"/>
  <c r="S625" i="2"/>
  <c r="Y605" i="2"/>
  <c r="X583" i="2"/>
  <c r="AA573" i="2"/>
  <c r="S573" i="2"/>
  <c r="W568" i="2"/>
  <c r="W560" i="2"/>
  <c r="W464" i="2"/>
  <c r="T463" i="2"/>
  <c r="AB463" i="2"/>
  <c r="W462" i="2"/>
  <c r="T461" i="2"/>
  <c r="AB461" i="2"/>
  <c r="P460" i="2"/>
  <c r="N460" i="2"/>
  <c r="V460" i="2"/>
  <c r="X459" i="2"/>
  <c r="R421" i="2"/>
  <c r="O421" i="2"/>
  <c r="Y421" i="2"/>
  <c r="AC416" i="2"/>
  <c r="Q412" i="2"/>
  <c r="AC412" i="2"/>
  <c r="AC406" i="2"/>
  <c r="R401" i="2"/>
  <c r="S401" i="2"/>
  <c r="Y391" i="2"/>
  <c r="N353" i="2"/>
  <c r="Y353" i="2"/>
  <c r="O353" i="2"/>
  <c r="Z353" i="2"/>
  <c r="N339" i="2"/>
  <c r="U339" i="2"/>
  <c r="AC339" i="2"/>
  <c r="O339" i="2"/>
  <c r="W339" i="2"/>
  <c r="Z331" i="2"/>
  <c r="O323" i="2"/>
  <c r="W323" i="2"/>
  <c r="R323" i="2"/>
  <c r="Y323" i="2"/>
  <c r="P313" i="2"/>
  <c r="O313" i="2"/>
  <c r="U313" i="2"/>
  <c r="Z313" i="2"/>
  <c r="Q313" i="2"/>
  <c r="V313" i="2"/>
  <c r="AA313" i="2"/>
  <c r="O307" i="2"/>
  <c r="T307" i="2"/>
  <c r="Y307" i="2"/>
  <c r="P307" i="2"/>
  <c r="U307" i="2"/>
  <c r="AA307" i="2"/>
  <c r="X301" i="2"/>
  <c r="P257" i="2"/>
  <c r="AA257" i="2"/>
  <c r="T257" i="2"/>
  <c r="AC257" i="2"/>
  <c r="AA254" i="2"/>
  <c r="U252" i="2"/>
  <c r="V252" i="2"/>
  <c r="O224" i="2"/>
  <c r="AA224" i="2"/>
  <c r="AC224" i="2"/>
  <c r="Q206" i="2"/>
  <c r="W206" i="2"/>
  <c r="R206" i="2"/>
  <c r="Z206" i="2"/>
  <c r="O206" i="2"/>
  <c r="AC206" i="2"/>
  <c r="U206" i="2"/>
  <c r="O195" i="2"/>
  <c r="U195" i="2"/>
  <c r="AC195" i="2"/>
  <c r="P195" i="2"/>
  <c r="X195" i="2"/>
  <c r="S195" i="2"/>
  <c r="T195" i="2"/>
  <c r="O181" i="2"/>
  <c r="Q181" i="2"/>
  <c r="Z181" i="2"/>
  <c r="R181" i="2"/>
  <c r="AA181" i="2"/>
  <c r="W181" i="2"/>
  <c r="O169" i="2"/>
  <c r="R169" i="2"/>
  <c r="AA169" i="2"/>
  <c r="U169" i="2"/>
  <c r="Q169" i="2"/>
  <c r="W169" i="2"/>
  <c r="U155" i="2"/>
  <c r="AA155" i="2"/>
  <c r="AC155" i="2"/>
  <c r="Q98" i="2"/>
  <c r="V98" i="2"/>
  <c r="R98" i="2"/>
  <c r="W98" i="2"/>
  <c r="AC98" i="2"/>
  <c r="P57" i="2"/>
  <c r="T57" i="2"/>
  <c r="X57" i="2"/>
  <c r="AB57" i="2"/>
  <c r="O57" i="2"/>
  <c r="U57" i="2"/>
  <c r="Z57" i="2"/>
  <c r="Q57" i="2"/>
  <c r="V57" i="2"/>
  <c r="AA57" i="2"/>
  <c r="R57" i="2"/>
  <c r="AC57" i="2"/>
  <c r="S57" i="2"/>
  <c r="O567" i="2"/>
  <c r="Q567" i="2"/>
  <c r="X567" i="2"/>
  <c r="S567" i="2"/>
  <c r="AA567" i="2"/>
  <c r="P567" i="2"/>
  <c r="AC567" i="2"/>
  <c r="U567" i="2"/>
  <c r="AB567" i="2"/>
  <c r="W567" i="2"/>
  <c r="AA552" i="2"/>
  <c r="S552" i="2"/>
  <c r="AA548" i="2"/>
  <c r="S548" i="2"/>
  <c r="Y531" i="2"/>
  <c r="AA524" i="2"/>
  <c r="S524" i="2"/>
  <c r="AA520" i="2"/>
  <c r="S520" i="2"/>
  <c r="Y515" i="2"/>
  <c r="AA508" i="2"/>
  <c r="S508" i="2"/>
  <c r="AC505" i="2"/>
  <c r="U505" i="2"/>
  <c r="AC501" i="2"/>
  <c r="U501" i="2"/>
  <c r="AC497" i="2"/>
  <c r="U497" i="2"/>
  <c r="AC493" i="2"/>
  <c r="U493" i="2"/>
  <c r="AC489" i="2"/>
  <c r="U489" i="2"/>
  <c r="AC487" i="2"/>
  <c r="U487" i="2"/>
  <c r="AC483" i="2"/>
  <c r="U483" i="2"/>
  <c r="AC479" i="2"/>
  <c r="U479" i="2"/>
  <c r="AC475" i="2"/>
  <c r="U475" i="2"/>
  <c r="AC471" i="2"/>
  <c r="U471" i="2"/>
  <c r="U465" i="2"/>
  <c r="S464" i="2"/>
  <c r="U463" i="2"/>
  <c r="S462" i="2"/>
  <c r="U459" i="2"/>
  <c r="V456" i="2"/>
  <c r="P452" i="2"/>
  <c r="O452" i="2"/>
  <c r="W452" i="2"/>
  <c r="V448" i="2"/>
  <c r="P444" i="2"/>
  <c r="O444" i="2"/>
  <c r="W444" i="2"/>
  <c r="V440" i="2"/>
  <c r="P436" i="2"/>
  <c r="O436" i="2"/>
  <c r="W436" i="2"/>
  <c r="V432" i="2"/>
  <c r="Q420" i="2"/>
  <c r="AC420" i="2"/>
  <c r="AB416" i="2"/>
  <c r="AC414" i="2"/>
  <c r="R397" i="2"/>
  <c r="O397" i="2"/>
  <c r="Z397" i="2"/>
  <c r="Z395" i="2"/>
  <c r="U391" i="2"/>
  <c r="O349" i="2"/>
  <c r="Z349" i="2"/>
  <c r="S349" i="2"/>
  <c r="Y339" i="2"/>
  <c r="Z333" i="2"/>
  <c r="O325" i="2"/>
  <c r="W325" i="2"/>
  <c r="R325" i="2"/>
  <c r="Y325" i="2"/>
  <c r="U323" i="2"/>
  <c r="Z317" i="2"/>
  <c r="N315" i="2"/>
  <c r="S315" i="2"/>
  <c r="Y315" i="2"/>
  <c r="O315" i="2"/>
  <c r="U315" i="2"/>
  <c r="Z315" i="2"/>
  <c r="S313" i="2"/>
  <c r="W307" i="2"/>
  <c r="N304" i="2"/>
  <c r="R304" i="2"/>
  <c r="S304" i="2"/>
  <c r="W301" i="2"/>
  <c r="O299" i="2"/>
  <c r="T299" i="2"/>
  <c r="Y299" i="2"/>
  <c r="P299" i="2"/>
  <c r="U299" i="2"/>
  <c r="AA299" i="2"/>
  <c r="O295" i="2"/>
  <c r="T295" i="2"/>
  <c r="Y295" i="2"/>
  <c r="P295" i="2"/>
  <c r="U295" i="2"/>
  <c r="AA295" i="2"/>
  <c r="O291" i="2"/>
  <c r="T291" i="2"/>
  <c r="Y291" i="2"/>
  <c r="P291" i="2"/>
  <c r="U291" i="2"/>
  <c r="AA291" i="2"/>
  <c r="O287" i="2"/>
  <c r="T287" i="2"/>
  <c r="Y287" i="2"/>
  <c r="P287" i="2"/>
  <c r="U287" i="2"/>
  <c r="AA287" i="2"/>
  <c r="O283" i="2"/>
  <c r="T283" i="2"/>
  <c r="Y283" i="2"/>
  <c r="P283" i="2"/>
  <c r="U283" i="2"/>
  <c r="AA283" i="2"/>
  <c r="O270" i="2"/>
  <c r="V270" i="2"/>
  <c r="AC270" i="2"/>
  <c r="Q270" i="2"/>
  <c r="W270" i="2"/>
  <c r="T259" i="2"/>
  <c r="Y259" i="2"/>
  <c r="X257" i="2"/>
  <c r="V254" i="2"/>
  <c r="AC252" i="2"/>
  <c r="O234" i="2"/>
  <c r="V234" i="2"/>
  <c r="AC234" i="2"/>
  <c r="R234" i="2"/>
  <c r="AA234" i="2"/>
  <c r="U234" i="2"/>
  <c r="P233" i="2"/>
  <c r="AA233" i="2"/>
  <c r="O233" i="2"/>
  <c r="AC233" i="2"/>
  <c r="T233" i="2"/>
  <c r="Q226" i="2"/>
  <c r="W226" i="2"/>
  <c r="R226" i="2"/>
  <c r="AA226" i="2"/>
  <c r="U226" i="2"/>
  <c r="AC226" i="2"/>
  <c r="T225" i="2"/>
  <c r="AC225" i="2"/>
  <c r="O225" i="2"/>
  <c r="AA225" i="2"/>
  <c r="P225" i="2"/>
  <c r="AC217" i="2"/>
  <c r="S215" i="2"/>
  <c r="T215" i="2"/>
  <c r="AA215" i="2"/>
  <c r="V212" i="2"/>
  <c r="O212" i="2"/>
  <c r="O210" i="2"/>
  <c r="V210" i="2"/>
  <c r="AC210" i="2"/>
  <c r="Q210" i="2"/>
  <c r="W210" i="2"/>
  <c r="R210" i="2"/>
  <c r="U210" i="2"/>
  <c r="AC197" i="2"/>
  <c r="O184" i="2"/>
  <c r="X184" i="2"/>
  <c r="P184" i="2"/>
  <c r="AA184" i="2"/>
  <c r="U184" i="2"/>
  <c r="AC184" i="2"/>
  <c r="O157" i="2"/>
  <c r="Q157" i="2"/>
  <c r="Z157" i="2"/>
  <c r="R157" i="2"/>
  <c r="AA157" i="2"/>
  <c r="W157" i="2"/>
  <c r="O140" i="2"/>
  <c r="U140" i="2"/>
  <c r="AC140" i="2"/>
  <c r="P140" i="2"/>
  <c r="X140" i="2"/>
  <c r="S140" i="2"/>
  <c r="T140" i="2"/>
  <c r="Q135" i="2"/>
  <c r="Z135" i="2"/>
  <c r="Z69" i="2"/>
  <c r="AA69" i="2"/>
  <c r="Y57" i="2"/>
  <c r="P51" i="2"/>
  <c r="T51" i="2"/>
  <c r="X51" i="2"/>
  <c r="AB51" i="2"/>
  <c r="N51" i="2"/>
  <c r="S51" i="2"/>
  <c r="Y51" i="2"/>
  <c r="O51" i="2"/>
  <c r="U51" i="2"/>
  <c r="Z51" i="2"/>
  <c r="R51" i="2"/>
  <c r="AC51" i="2"/>
  <c r="V51" i="2"/>
  <c r="N27" i="2"/>
  <c r="R27" i="2"/>
  <c r="V27" i="2"/>
  <c r="Z27" i="2"/>
  <c r="P27" i="2"/>
  <c r="U27" i="2"/>
  <c r="AA27" i="2"/>
  <c r="Q27" i="2"/>
  <c r="W27" i="2"/>
  <c r="AB27" i="2"/>
  <c r="S27" i="2"/>
  <c r="AC27" i="2"/>
  <c r="T27" i="2"/>
  <c r="X27" i="2"/>
  <c r="Y27" i="2"/>
  <c r="Q589" i="2"/>
  <c r="AC589" i="2"/>
  <c r="U589" i="2"/>
  <c r="X589" i="2"/>
  <c r="Y589" i="2"/>
  <c r="P589" i="2"/>
  <c r="AB3" i="2"/>
  <c r="X3" i="2"/>
  <c r="T3" i="2"/>
  <c r="P3" i="2"/>
  <c r="Y554" i="2"/>
  <c r="S554" i="2"/>
  <c r="N554" i="2"/>
  <c r="AB553" i="2"/>
  <c r="Q553" i="2"/>
  <c r="Z552" i="2"/>
  <c r="R552" i="2"/>
  <c r="U551" i="2"/>
  <c r="V550" i="2"/>
  <c r="N550" i="2"/>
  <c r="AB549" i="2"/>
  <c r="Q549" i="2"/>
  <c r="Z548" i="2"/>
  <c r="R548" i="2"/>
  <c r="U547" i="2"/>
  <c r="Y546" i="2"/>
  <c r="S546" i="2"/>
  <c r="N546" i="2"/>
  <c r="AB545" i="2"/>
  <c r="Q545" i="2"/>
  <c r="Z544" i="2"/>
  <c r="R544" i="2"/>
  <c r="U543" i="2"/>
  <c r="V542" i="2"/>
  <c r="N542" i="2"/>
  <c r="AB541" i="2"/>
  <c r="Q541" i="2"/>
  <c r="Z540" i="2"/>
  <c r="R540" i="2"/>
  <c r="U539" i="2"/>
  <c r="V538" i="2"/>
  <c r="N538" i="2"/>
  <c r="AB537" i="2"/>
  <c r="Q537" i="2"/>
  <c r="Z536" i="2"/>
  <c r="R536" i="2"/>
  <c r="U535" i="2"/>
  <c r="V534" i="2"/>
  <c r="N534" i="2"/>
  <c r="AB533" i="2"/>
  <c r="Q533" i="2"/>
  <c r="Z532" i="2"/>
  <c r="R532" i="2"/>
  <c r="U531" i="2"/>
  <c r="V530" i="2"/>
  <c r="N530" i="2"/>
  <c r="AB529" i="2"/>
  <c r="Q529" i="2"/>
  <c r="Z528" i="2"/>
  <c r="R528" i="2"/>
  <c r="U527" i="2"/>
  <c r="V526" i="2"/>
  <c r="N526" i="2"/>
  <c r="AB525" i="2"/>
  <c r="Q525" i="2"/>
  <c r="Z524" i="2"/>
  <c r="R524" i="2"/>
  <c r="U523" i="2"/>
  <c r="V522" i="2"/>
  <c r="N522" i="2"/>
  <c r="AB521" i="2"/>
  <c r="Q521" i="2"/>
  <c r="Z520" i="2"/>
  <c r="R520" i="2"/>
  <c r="U519" i="2"/>
  <c r="V518" i="2"/>
  <c r="N518" i="2"/>
  <c r="AB517" i="2"/>
  <c r="Q517" i="2"/>
  <c r="Z516" i="2"/>
  <c r="R516" i="2"/>
  <c r="U515" i="2"/>
  <c r="V514" i="2"/>
  <c r="N514" i="2"/>
  <c r="AB513" i="2"/>
  <c r="Q513" i="2"/>
  <c r="Z512" i="2"/>
  <c r="R512" i="2"/>
  <c r="U511" i="2"/>
  <c r="V510" i="2"/>
  <c r="N510" i="2"/>
  <c r="AB509" i="2"/>
  <c r="Q509" i="2"/>
  <c r="Z508" i="2"/>
  <c r="R508" i="2"/>
  <c r="U507" i="2"/>
  <c r="V506" i="2"/>
  <c r="N506" i="2"/>
  <c r="AB505" i="2"/>
  <c r="T505" i="2"/>
  <c r="V504" i="2"/>
  <c r="N504" i="2"/>
  <c r="AB503" i="2"/>
  <c r="T503" i="2"/>
  <c r="V502" i="2"/>
  <c r="N502" i="2"/>
  <c r="AB501" i="2"/>
  <c r="T501" i="2"/>
  <c r="V500" i="2"/>
  <c r="N500" i="2"/>
  <c r="AB499" i="2"/>
  <c r="T499" i="2"/>
  <c r="V498" i="2"/>
  <c r="N498" i="2"/>
  <c r="AB497" i="2"/>
  <c r="T497" i="2"/>
  <c r="V496" i="2"/>
  <c r="N496" i="2"/>
  <c r="AB495" i="2"/>
  <c r="T495" i="2"/>
  <c r="V494" i="2"/>
  <c r="N494" i="2"/>
  <c r="AB493" i="2"/>
  <c r="T493" i="2"/>
  <c r="V492" i="2"/>
  <c r="N492" i="2"/>
  <c r="AB491" i="2"/>
  <c r="T491" i="2"/>
  <c r="V490" i="2"/>
  <c r="N490" i="2"/>
  <c r="AB489" i="2"/>
  <c r="T489" i="2"/>
  <c r="V488" i="2"/>
  <c r="N488" i="2"/>
  <c r="AB487" i="2"/>
  <c r="T487" i="2"/>
  <c r="V486" i="2"/>
  <c r="N486" i="2"/>
  <c r="AB485" i="2"/>
  <c r="T485" i="2"/>
  <c r="V484" i="2"/>
  <c r="N484" i="2"/>
  <c r="AB483" i="2"/>
  <c r="T483" i="2"/>
  <c r="V482" i="2"/>
  <c r="N482" i="2"/>
  <c r="AB481" i="2"/>
  <c r="T481" i="2"/>
  <c r="V480" i="2"/>
  <c r="N480" i="2"/>
  <c r="AB479" i="2"/>
  <c r="T479" i="2"/>
  <c r="V478" i="2"/>
  <c r="N478" i="2"/>
  <c r="AB477" i="2"/>
  <c r="T477" i="2"/>
  <c r="V476" i="2"/>
  <c r="N476" i="2"/>
  <c r="AB475" i="2"/>
  <c r="T475" i="2"/>
  <c r="N474" i="2"/>
  <c r="AB473" i="2"/>
  <c r="T473" i="2"/>
  <c r="AB471" i="2"/>
  <c r="T471" i="2"/>
  <c r="AB469" i="2"/>
  <c r="T469" i="2"/>
  <c r="AB467" i="2"/>
  <c r="T467" i="2"/>
  <c r="AB465" i="2"/>
  <c r="Q465" i="2"/>
  <c r="AA464" i="2"/>
  <c r="AC463" i="2"/>
  <c r="Q463" i="2"/>
  <c r="AA462" i="2"/>
  <c r="AC461" i="2"/>
  <c r="Q461" i="2"/>
  <c r="AA460" i="2"/>
  <c r="R460" i="2"/>
  <c r="AC459" i="2"/>
  <c r="S452" i="2"/>
  <c r="S444" i="2"/>
  <c r="S436" i="2"/>
  <c r="W424" i="2"/>
  <c r="Q423" i="2"/>
  <c r="AC423" i="2"/>
  <c r="AC421" i="2"/>
  <c r="S421" i="2"/>
  <c r="AB420" i="2"/>
  <c r="S416" i="2"/>
  <c r="AB414" i="2"/>
  <c r="X412" i="2"/>
  <c r="N411" i="2"/>
  <c r="Y411" i="2"/>
  <c r="X406" i="2"/>
  <c r="R405" i="2"/>
  <c r="O405" i="2"/>
  <c r="Z405" i="2"/>
  <c r="U403" i="2"/>
  <c r="O401" i="2"/>
  <c r="U397" i="2"/>
  <c r="R393" i="2"/>
  <c r="N393" i="2"/>
  <c r="Y393" i="2"/>
  <c r="O387" i="2"/>
  <c r="X386" i="2"/>
  <c r="X376" i="2"/>
  <c r="AC376" i="2"/>
  <c r="R365" i="2"/>
  <c r="O365" i="2"/>
  <c r="Z365" i="2"/>
  <c r="S365" i="2"/>
  <c r="R359" i="2"/>
  <c r="N359" i="2"/>
  <c r="Y359" i="2"/>
  <c r="O359" i="2"/>
  <c r="Z359" i="2"/>
  <c r="U353" i="2"/>
  <c r="Y349" i="2"/>
  <c r="N347" i="2"/>
  <c r="U347" i="2"/>
  <c r="AC347" i="2"/>
  <c r="O347" i="2"/>
  <c r="W347" i="2"/>
  <c r="S339" i="2"/>
  <c r="S338" i="2"/>
  <c r="X338" i="2"/>
  <c r="O327" i="2"/>
  <c r="W327" i="2"/>
  <c r="R327" i="2"/>
  <c r="Y327" i="2"/>
  <c r="U325" i="2"/>
  <c r="S323" i="2"/>
  <c r="O319" i="2"/>
  <c r="W319" i="2"/>
  <c r="R319" i="2"/>
  <c r="Y319" i="2"/>
  <c r="V315" i="2"/>
  <c r="AC313" i="2"/>
  <c r="R313" i="2"/>
  <c r="U312" i="2"/>
  <c r="AC312" i="2"/>
  <c r="AC307" i="2"/>
  <c r="S307" i="2"/>
  <c r="S306" i="2"/>
  <c r="N306" i="2"/>
  <c r="Y306" i="2"/>
  <c r="AC301" i="2"/>
  <c r="W299" i="2"/>
  <c r="W295" i="2"/>
  <c r="W291" i="2"/>
  <c r="W287" i="2"/>
  <c r="W283" i="2"/>
  <c r="P279" i="2"/>
  <c r="U279" i="2"/>
  <c r="AA279" i="2"/>
  <c r="Q279" i="2"/>
  <c r="W279" i="2"/>
  <c r="AB279" i="2"/>
  <c r="O277" i="2"/>
  <c r="T277" i="2"/>
  <c r="Y277" i="2"/>
  <c r="P277" i="2"/>
  <c r="U277" i="2"/>
  <c r="AA277" i="2"/>
  <c r="N276" i="2"/>
  <c r="Y276" i="2"/>
  <c r="R276" i="2"/>
  <c r="AC276" i="2"/>
  <c r="Z270" i="2"/>
  <c r="P269" i="2"/>
  <c r="AA269" i="2"/>
  <c r="T269" i="2"/>
  <c r="AC269" i="2"/>
  <c r="O268" i="2"/>
  <c r="AC268" i="2"/>
  <c r="U268" i="2"/>
  <c r="U257" i="2"/>
  <c r="AA252" i="2"/>
  <c r="O249" i="2"/>
  <c r="X249" i="2"/>
  <c r="P249" i="2"/>
  <c r="AA249" i="2"/>
  <c r="Z234" i="2"/>
  <c r="O229" i="2"/>
  <c r="X229" i="2"/>
  <c r="P229" i="2"/>
  <c r="AC229" i="2"/>
  <c r="T229" i="2"/>
  <c r="Z226" i="2"/>
  <c r="U220" i="2"/>
  <c r="V220" i="2"/>
  <c r="AA220" i="2"/>
  <c r="AA206" i="2"/>
  <c r="O201" i="2"/>
  <c r="X201" i="2"/>
  <c r="P201" i="2"/>
  <c r="AA201" i="2"/>
  <c r="U201" i="2"/>
  <c r="AC201" i="2"/>
  <c r="AA195" i="2"/>
  <c r="O188" i="2"/>
  <c r="X188" i="2"/>
  <c r="P188" i="2"/>
  <c r="AA188" i="2"/>
  <c r="T188" i="2"/>
  <c r="U188" i="2"/>
  <c r="V171" i="2"/>
  <c r="AA171" i="2"/>
  <c r="O160" i="2"/>
  <c r="U160" i="2"/>
  <c r="AC160" i="2"/>
  <c r="P160" i="2"/>
  <c r="X160" i="2"/>
  <c r="T160" i="2"/>
  <c r="Y160" i="2"/>
  <c r="O148" i="2"/>
  <c r="U148" i="2"/>
  <c r="AC148" i="2"/>
  <c r="P148" i="2"/>
  <c r="X148" i="2"/>
  <c r="T148" i="2"/>
  <c r="Y148" i="2"/>
  <c r="N127" i="2"/>
  <c r="R127" i="2"/>
  <c r="AC127" i="2"/>
  <c r="U127" i="2"/>
  <c r="Y127" i="2"/>
  <c r="Z127" i="2"/>
  <c r="P107" i="2"/>
  <c r="X107" i="2"/>
  <c r="O107" i="2"/>
  <c r="Y107" i="2"/>
  <c r="S107" i="2"/>
  <c r="AA107" i="2"/>
  <c r="U107" i="2"/>
  <c r="AC107" i="2"/>
  <c r="O97" i="2"/>
  <c r="U97" i="2"/>
  <c r="AC97" i="2"/>
  <c r="P97" i="2"/>
  <c r="Y97" i="2"/>
  <c r="S97" i="2"/>
  <c r="AA97" i="2"/>
  <c r="T97" i="2"/>
  <c r="X97" i="2"/>
  <c r="R81" i="2"/>
  <c r="AA81" i="2"/>
  <c r="S72" i="2"/>
  <c r="Y72" i="2"/>
  <c r="P72" i="2"/>
  <c r="AA72" i="2"/>
  <c r="T72" i="2"/>
  <c r="AC72" i="2"/>
  <c r="U72" i="2"/>
  <c r="X72" i="2"/>
  <c r="W57" i="2"/>
  <c r="AA51" i="2"/>
  <c r="O45" i="2"/>
  <c r="S45" i="2"/>
  <c r="W45" i="2"/>
  <c r="AA45" i="2"/>
  <c r="P45" i="2"/>
  <c r="T45" i="2"/>
  <c r="X45" i="2"/>
  <c r="AB45" i="2"/>
  <c r="Q45" i="2"/>
  <c r="Y45" i="2"/>
  <c r="R45" i="2"/>
  <c r="Z45" i="2"/>
  <c r="N45" i="2"/>
  <c r="U45" i="2"/>
  <c r="X465" i="2"/>
  <c r="P464" i="2"/>
  <c r="N464" i="2"/>
  <c r="V464" i="2"/>
  <c r="X463" i="2"/>
  <c r="P462" i="2"/>
  <c r="N462" i="2"/>
  <c r="V462" i="2"/>
  <c r="X461" i="2"/>
  <c r="T459" i="2"/>
  <c r="AB459" i="2"/>
  <c r="P424" i="2"/>
  <c r="O424" i="2"/>
  <c r="U424" i="2"/>
  <c r="Z424" i="2"/>
  <c r="X421" i="2"/>
  <c r="Y401" i="2"/>
  <c r="O391" i="2"/>
  <c r="Z391" i="2"/>
  <c r="S354" i="2"/>
  <c r="X354" i="2"/>
  <c r="S346" i="2"/>
  <c r="X346" i="2"/>
  <c r="Z339" i="2"/>
  <c r="O331" i="2"/>
  <c r="W331" i="2"/>
  <c r="R331" i="2"/>
  <c r="Y331" i="2"/>
  <c r="Z323" i="2"/>
  <c r="W313" i="2"/>
  <c r="X307" i="2"/>
  <c r="O301" i="2"/>
  <c r="T301" i="2"/>
  <c r="Y301" i="2"/>
  <c r="P301" i="2"/>
  <c r="U301" i="2"/>
  <c r="AA301" i="2"/>
  <c r="W282" i="2"/>
  <c r="Y282" i="2"/>
  <c r="Q254" i="2"/>
  <c r="W254" i="2"/>
  <c r="R254" i="2"/>
  <c r="Z254" i="2"/>
  <c r="U240" i="2"/>
  <c r="O240" i="2"/>
  <c r="AA240" i="2"/>
  <c r="Y227" i="2"/>
  <c r="S227" i="2"/>
  <c r="T227" i="2"/>
  <c r="O217" i="2"/>
  <c r="X217" i="2"/>
  <c r="T217" i="2"/>
  <c r="U217" i="2"/>
  <c r="P209" i="2"/>
  <c r="AA209" i="2"/>
  <c r="T209" i="2"/>
  <c r="AC209" i="2"/>
  <c r="U209" i="2"/>
  <c r="X209" i="2"/>
  <c r="P197" i="2"/>
  <c r="X197" i="2"/>
  <c r="S197" i="2"/>
  <c r="Y197" i="2"/>
  <c r="T197" i="2"/>
  <c r="U197" i="2"/>
  <c r="O177" i="2"/>
  <c r="R177" i="2"/>
  <c r="AA177" i="2"/>
  <c r="U177" i="2"/>
  <c r="Q177" i="2"/>
  <c r="W177" i="2"/>
  <c r="O175" i="2"/>
  <c r="U175" i="2"/>
  <c r="AC175" i="2"/>
  <c r="O167" i="2"/>
  <c r="U167" i="2"/>
  <c r="AC167" i="2"/>
  <c r="P68" i="2"/>
  <c r="X68" i="2"/>
  <c r="S68" i="2"/>
  <c r="AA68" i="2"/>
  <c r="T68" i="2"/>
  <c r="AC68" i="2"/>
  <c r="U68" i="2"/>
  <c r="Y68" i="2"/>
  <c r="N555" i="2"/>
  <c r="O555" i="2"/>
  <c r="T555" i="2"/>
  <c r="Y555" i="2"/>
  <c r="P555" i="2"/>
  <c r="U555" i="2"/>
  <c r="AA555" i="2"/>
  <c r="Q555" i="2"/>
  <c r="AB555" i="2"/>
  <c r="S555" i="2"/>
  <c r="AC555" i="2"/>
  <c r="W555" i="2"/>
  <c r="X555" i="2"/>
  <c r="AC3" i="2"/>
  <c r="Y3" i="2"/>
  <c r="U3" i="2"/>
  <c r="Q3" i="2"/>
  <c r="Y551" i="2"/>
  <c r="Y547" i="2"/>
  <c r="Y543" i="2"/>
  <c r="Y539" i="2"/>
  <c r="Y535" i="2"/>
  <c r="AA532" i="2"/>
  <c r="S532" i="2"/>
  <c r="Y527" i="2"/>
  <c r="Y523" i="2"/>
  <c r="Y519" i="2"/>
  <c r="AA516" i="2"/>
  <c r="S516" i="2"/>
  <c r="Y511" i="2"/>
  <c r="Y507" i="2"/>
  <c r="AC503" i="2"/>
  <c r="U503" i="2"/>
  <c r="AC499" i="2"/>
  <c r="U499" i="2"/>
  <c r="AC495" i="2"/>
  <c r="U495" i="2"/>
  <c r="AC491" i="2"/>
  <c r="U491" i="2"/>
  <c r="AC485" i="2"/>
  <c r="U485" i="2"/>
  <c r="AC481" i="2"/>
  <c r="U481" i="2"/>
  <c r="AC477" i="2"/>
  <c r="U477" i="2"/>
  <c r="AC473" i="2"/>
  <c r="U473" i="2"/>
  <c r="AC467" i="2"/>
  <c r="U467" i="2"/>
  <c r="AC465" i="2"/>
  <c r="U461" i="2"/>
  <c r="S460" i="2"/>
  <c r="P456" i="2"/>
  <c r="O456" i="2"/>
  <c r="W456" i="2"/>
  <c r="V452" i="2"/>
  <c r="P448" i="2"/>
  <c r="O448" i="2"/>
  <c r="W448" i="2"/>
  <c r="V444" i="2"/>
  <c r="P440" i="2"/>
  <c r="O440" i="2"/>
  <c r="W440" i="2"/>
  <c r="V436" i="2"/>
  <c r="P432" i="2"/>
  <c r="O432" i="2"/>
  <c r="W432" i="2"/>
  <c r="P428" i="2"/>
  <c r="O428" i="2"/>
  <c r="W428" i="2"/>
  <c r="Y424" i="2"/>
  <c r="R424" i="2"/>
  <c r="U421" i="2"/>
  <c r="AB412" i="2"/>
  <c r="AB406" i="2"/>
  <c r="Y403" i="2"/>
  <c r="U401" i="2"/>
  <c r="Y397" i="2"/>
  <c r="N395" i="2"/>
  <c r="Y395" i="2"/>
  <c r="U387" i="2"/>
  <c r="N379" i="2"/>
  <c r="Y379" i="2"/>
  <c r="O379" i="2"/>
  <c r="Z379" i="2"/>
  <c r="R363" i="2"/>
  <c r="O363" i="2"/>
  <c r="Z363" i="2"/>
  <c r="S363" i="2"/>
  <c r="AC363" i="2"/>
  <c r="O333" i="2"/>
  <c r="W333" i="2"/>
  <c r="R333" i="2"/>
  <c r="Y333" i="2"/>
  <c r="U331" i="2"/>
  <c r="Z325" i="2"/>
  <c r="O317" i="2"/>
  <c r="W317" i="2"/>
  <c r="R317" i="2"/>
  <c r="Y317" i="2"/>
  <c r="W315" i="2"/>
  <c r="AA3" i="2"/>
  <c r="W3" i="2"/>
  <c r="S3" i="2"/>
  <c r="W552" i="2"/>
  <c r="O552" i="2"/>
  <c r="AC551" i="2"/>
  <c r="T551" i="2"/>
  <c r="W548" i="2"/>
  <c r="O548" i="2"/>
  <c r="AC547" i="2"/>
  <c r="T547" i="2"/>
  <c r="W544" i="2"/>
  <c r="O544" i="2"/>
  <c r="AC543" i="2"/>
  <c r="T543" i="2"/>
  <c r="W540" i="2"/>
  <c r="O540" i="2"/>
  <c r="AC539" i="2"/>
  <c r="T539" i="2"/>
  <c r="W536" i="2"/>
  <c r="O536" i="2"/>
  <c r="AC535" i="2"/>
  <c r="T535" i="2"/>
  <c r="W532" i="2"/>
  <c r="O532" i="2"/>
  <c r="AC531" i="2"/>
  <c r="T531" i="2"/>
  <c r="W528" i="2"/>
  <c r="O528" i="2"/>
  <c r="AC527" i="2"/>
  <c r="T527" i="2"/>
  <c r="W524" i="2"/>
  <c r="O524" i="2"/>
  <c r="AC523" i="2"/>
  <c r="T523" i="2"/>
  <c r="W520" i="2"/>
  <c r="O520" i="2"/>
  <c r="AC519" i="2"/>
  <c r="T519" i="2"/>
  <c r="W516" i="2"/>
  <c r="O516" i="2"/>
  <c r="AC515" i="2"/>
  <c r="T515" i="2"/>
  <c r="W512" i="2"/>
  <c r="O512" i="2"/>
  <c r="AC511" i="2"/>
  <c r="T511" i="2"/>
  <c r="W508" i="2"/>
  <c r="O508" i="2"/>
  <c r="AC507" i="2"/>
  <c r="T507" i="2"/>
  <c r="Y505" i="2"/>
  <c r="Y503" i="2"/>
  <c r="Y501" i="2"/>
  <c r="Y499" i="2"/>
  <c r="Y497" i="2"/>
  <c r="Y495" i="2"/>
  <c r="Y493" i="2"/>
  <c r="Y491" i="2"/>
  <c r="Y489" i="2"/>
  <c r="Y487" i="2"/>
  <c r="Y485" i="2"/>
  <c r="Y483" i="2"/>
  <c r="Y481" i="2"/>
  <c r="Y479" i="2"/>
  <c r="Y477" i="2"/>
  <c r="Y475" i="2"/>
  <c r="Y473" i="2"/>
  <c r="Y471" i="2"/>
  <c r="Y469" i="2"/>
  <c r="Y467" i="2"/>
  <c r="Y465" i="2"/>
  <c r="P465" i="2"/>
  <c r="Z464" i="2"/>
  <c r="O464" i="2"/>
  <c r="Y463" i="2"/>
  <c r="P463" i="2"/>
  <c r="Z462" i="2"/>
  <c r="O462" i="2"/>
  <c r="Y461" i="2"/>
  <c r="P461" i="2"/>
  <c r="Z460" i="2"/>
  <c r="O460" i="2"/>
  <c r="Y459" i="2"/>
  <c r="P459" i="2"/>
  <c r="AA456" i="2"/>
  <c r="R456" i="2"/>
  <c r="Q455" i="2"/>
  <c r="AC455" i="2"/>
  <c r="AA452" i="2"/>
  <c r="R452" i="2"/>
  <c r="Q451" i="2"/>
  <c r="AC451" i="2"/>
  <c r="AA448" i="2"/>
  <c r="R448" i="2"/>
  <c r="Q447" i="2"/>
  <c r="AC447" i="2"/>
  <c r="AA444" i="2"/>
  <c r="R444" i="2"/>
  <c r="Q443" i="2"/>
  <c r="AC443" i="2"/>
  <c r="AA440" i="2"/>
  <c r="R440" i="2"/>
  <c r="Q439" i="2"/>
  <c r="AC439" i="2"/>
  <c r="AA436" i="2"/>
  <c r="R436" i="2"/>
  <c r="Q435" i="2"/>
  <c r="AC435" i="2"/>
  <c r="AA432" i="2"/>
  <c r="R432" i="2"/>
  <c r="Q431" i="2"/>
  <c r="AC431" i="2"/>
  <c r="AA428" i="2"/>
  <c r="R428" i="2"/>
  <c r="Q427" i="2"/>
  <c r="AC427" i="2"/>
  <c r="AC424" i="2"/>
  <c r="V424" i="2"/>
  <c r="N424" i="2"/>
  <c r="X423" i="2"/>
  <c r="AB421" i="2"/>
  <c r="N421" i="2"/>
  <c r="X420" i="2"/>
  <c r="N419" i="2"/>
  <c r="Y419" i="2"/>
  <c r="Q416" i="2"/>
  <c r="X414" i="2"/>
  <c r="R413" i="2"/>
  <c r="O413" i="2"/>
  <c r="Z413" i="2"/>
  <c r="S412" i="2"/>
  <c r="U411" i="2"/>
  <c r="U407" i="2"/>
  <c r="Q406" i="2"/>
  <c r="U405" i="2"/>
  <c r="O403" i="2"/>
  <c r="Z401" i="2"/>
  <c r="N401" i="2"/>
  <c r="S397" i="2"/>
  <c r="S395" i="2"/>
  <c r="X394" i="2"/>
  <c r="U393" i="2"/>
  <c r="N391" i="2"/>
  <c r="Z387" i="2"/>
  <c r="N387" i="2"/>
  <c r="R381" i="2"/>
  <c r="O381" i="2"/>
  <c r="Z381" i="2"/>
  <c r="S381" i="2"/>
  <c r="U379" i="2"/>
  <c r="S378" i="2"/>
  <c r="X378" i="2"/>
  <c r="R377" i="2"/>
  <c r="N377" i="2"/>
  <c r="Y377" i="2"/>
  <c r="O377" i="2"/>
  <c r="Z377" i="2"/>
  <c r="O375" i="2"/>
  <c r="Z375" i="2"/>
  <c r="S375" i="2"/>
  <c r="Y365" i="2"/>
  <c r="U363" i="2"/>
  <c r="AC354" i="2"/>
  <c r="S353" i="2"/>
  <c r="U349" i="2"/>
  <c r="S348" i="2"/>
  <c r="Y347" i="2"/>
  <c r="O341" i="2"/>
  <c r="W341" i="2"/>
  <c r="R341" i="2"/>
  <c r="Y341" i="2"/>
  <c r="R339" i="2"/>
  <c r="S333" i="2"/>
  <c r="AC331" i="2"/>
  <c r="N331" i="2"/>
  <c r="O329" i="2"/>
  <c r="W329" i="2"/>
  <c r="R329" i="2"/>
  <c r="Y329" i="2"/>
  <c r="U327" i="2"/>
  <c r="S325" i="2"/>
  <c r="AC323" i="2"/>
  <c r="N323" i="2"/>
  <c r="O321" i="2"/>
  <c r="W321" i="2"/>
  <c r="R321" i="2"/>
  <c r="Y321" i="2"/>
  <c r="U319" i="2"/>
  <c r="S317" i="2"/>
  <c r="AC315" i="2"/>
  <c r="R315" i="2"/>
  <c r="Y313" i="2"/>
  <c r="N313" i="2"/>
  <c r="AB307" i="2"/>
  <c r="Q307" i="2"/>
  <c r="AC304" i="2"/>
  <c r="AB301" i="2"/>
  <c r="Q301" i="2"/>
  <c r="AC299" i="2"/>
  <c r="S299" i="2"/>
  <c r="S298" i="2"/>
  <c r="N298" i="2"/>
  <c r="Y298" i="2"/>
  <c r="AC295" i="2"/>
  <c r="S295" i="2"/>
  <c r="N294" i="2"/>
  <c r="Y294" i="2"/>
  <c r="AC291" i="2"/>
  <c r="S291" i="2"/>
  <c r="S290" i="2"/>
  <c r="N290" i="2"/>
  <c r="Y290" i="2"/>
  <c r="AC287" i="2"/>
  <c r="S287" i="2"/>
  <c r="N286" i="2"/>
  <c r="Y286" i="2"/>
  <c r="AC283" i="2"/>
  <c r="S283" i="2"/>
  <c r="N282" i="2"/>
  <c r="T279" i="2"/>
  <c r="W277" i="2"/>
  <c r="O273" i="2"/>
  <c r="W273" i="2"/>
  <c r="P273" i="2"/>
  <c r="Y273" i="2"/>
  <c r="U270" i="2"/>
  <c r="X269" i="2"/>
  <c r="AA259" i="2"/>
  <c r="O258" i="2"/>
  <c r="V258" i="2"/>
  <c r="AC258" i="2"/>
  <c r="Q258" i="2"/>
  <c r="W258" i="2"/>
  <c r="O257" i="2"/>
  <c r="AC254" i="2"/>
  <c r="O254" i="2"/>
  <c r="O252" i="2"/>
  <c r="AC249" i="2"/>
  <c r="AC240" i="2"/>
  <c r="W234" i="2"/>
  <c r="X233" i="2"/>
  <c r="AA227" i="2"/>
  <c r="V226" i="2"/>
  <c r="X225" i="2"/>
  <c r="U224" i="2"/>
  <c r="Q222" i="2"/>
  <c r="W222" i="2"/>
  <c r="O222" i="2"/>
  <c r="Z222" i="2"/>
  <c r="R222" i="2"/>
  <c r="AA222" i="2"/>
  <c r="P217" i="2"/>
  <c r="AA210" i="2"/>
  <c r="O209" i="2"/>
  <c r="V206" i="2"/>
  <c r="O197" i="2"/>
  <c r="Y195" i="2"/>
  <c r="U181" i="2"/>
  <c r="Z177" i="2"/>
  <c r="AA175" i="2"/>
  <c r="Z169" i="2"/>
  <c r="AA167" i="2"/>
  <c r="O155" i="2"/>
  <c r="AA140" i="2"/>
  <c r="N128" i="2"/>
  <c r="P128" i="2"/>
  <c r="U128" i="2"/>
  <c r="AA128" i="2"/>
  <c r="Q128" i="2"/>
  <c r="W128" i="2"/>
  <c r="AB128" i="2"/>
  <c r="O128" i="2"/>
  <c r="Y128" i="2"/>
  <c r="S128" i="2"/>
  <c r="AC128" i="2"/>
  <c r="N123" i="2"/>
  <c r="R123" i="2"/>
  <c r="AC123" i="2"/>
  <c r="U123" i="2"/>
  <c r="Q123" i="2"/>
  <c r="Y123" i="2"/>
  <c r="N115" i="2"/>
  <c r="R115" i="2"/>
  <c r="AC115" i="2"/>
  <c r="U115" i="2"/>
  <c r="Q115" i="2"/>
  <c r="Y115" i="2"/>
  <c r="O112" i="2"/>
  <c r="S112" i="2"/>
  <c r="W112" i="2"/>
  <c r="AA112" i="2"/>
  <c r="P112" i="2"/>
  <c r="T112" i="2"/>
  <c r="X112" i="2"/>
  <c r="AB112" i="2"/>
  <c r="N112" i="2"/>
  <c r="V112" i="2"/>
  <c r="Q112" i="2"/>
  <c r="Y112" i="2"/>
  <c r="R93" i="2"/>
  <c r="Z93" i="2"/>
  <c r="AA93" i="2"/>
  <c r="P76" i="2"/>
  <c r="X76" i="2"/>
  <c r="O76" i="2"/>
  <c r="Y76" i="2"/>
  <c r="S76" i="2"/>
  <c r="AA76" i="2"/>
  <c r="T76" i="2"/>
  <c r="U76" i="2"/>
  <c r="O68" i="2"/>
  <c r="P60" i="2"/>
  <c r="U60" i="2"/>
  <c r="AC60" i="2"/>
  <c r="N57" i="2"/>
  <c r="W51" i="2"/>
  <c r="R242" i="2"/>
  <c r="Z242" i="2"/>
  <c r="O213" i="2"/>
  <c r="X213" i="2"/>
  <c r="U204" i="2"/>
  <c r="V204" i="2"/>
  <c r="R196" i="2"/>
  <c r="AC196" i="2"/>
  <c r="V196" i="2"/>
  <c r="P180" i="2"/>
  <c r="AA180" i="2"/>
  <c r="T180" i="2"/>
  <c r="AC180" i="2"/>
  <c r="O172" i="2"/>
  <c r="X172" i="2"/>
  <c r="P172" i="2"/>
  <c r="AA172" i="2"/>
  <c r="P144" i="2"/>
  <c r="X144" i="2"/>
  <c r="S144" i="2"/>
  <c r="Y144" i="2"/>
  <c r="O141" i="2"/>
  <c r="R141" i="2"/>
  <c r="AA141" i="2"/>
  <c r="U141" i="2"/>
  <c r="N136" i="2"/>
  <c r="P136" i="2"/>
  <c r="U136" i="2"/>
  <c r="AA136" i="2"/>
  <c r="Q136" i="2"/>
  <c r="W136" i="2"/>
  <c r="AB136" i="2"/>
  <c r="N132" i="2"/>
  <c r="P132" i="2"/>
  <c r="U132" i="2"/>
  <c r="AA132" i="2"/>
  <c r="Q132" i="2"/>
  <c r="W132" i="2"/>
  <c r="AB132" i="2"/>
  <c r="O120" i="2"/>
  <c r="S120" i="2"/>
  <c r="W120" i="2"/>
  <c r="AA120" i="2"/>
  <c r="P120" i="2"/>
  <c r="T120" i="2"/>
  <c r="X120" i="2"/>
  <c r="AB120" i="2"/>
  <c r="U94" i="2"/>
  <c r="AA94" i="2"/>
  <c r="Q87" i="2"/>
  <c r="AA87" i="2"/>
  <c r="U87" i="2"/>
  <c r="V87" i="2"/>
  <c r="U70" i="2"/>
  <c r="O70" i="2"/>
  <c r="T70" i="2"/>
  <c r="N67" i="2"/>
  <c r="O67" i="2"/>
  <c r="V67" i="2"/>
  <c r="AC67" i="2"/>
  <c r="R67" i="2"/>
  <c r="AA67" i="2"/>
  <c r="U67" i="2"/>
  <c r="N9" i="2"/>
  <c r="R9" i="2"/>
  <c r="S9" i="2"/>
  <c r="W9" i="2"/>
  <c r="AC9" i="2"/>
  <c r="O6" i="2"/>
  <c r="Q6" i="2"/>
  <c r="X6" i="2"/>
  <c r="S6" i="2"/>
  <c r="AA6" i="2"/>
  <c r="P6" i="2"/>
  <c r="AC6" i="2"/>
  <c r="U6" i="2"/>
  <c r="AB6" i="2"/>
  <c r="N613" i="2"/>
  <c r="Y613" i="2"/>
  <c r="O613" i="2"/>
  <c r="S613" i="2"/>
  <c r="Z613" i="2"/>
  <c r="P600" i="2"/>
  <c r="U600" i="2"/>
  <c r="X600" i="2"/>
  <c r="AC600" i="2"/>
  <c r="Q585" i="2"/>
  <c r="AC585" i="2"/>
  <c r="U585" i="2"/>
  <c r="P585" i="2"/>
  <c r="X585" i="2"/>
  <c r="Q577" i="2"/>
  <c r="AC577" i="2"/>
  <c r="U577" i="2"/>
  <c r="P577" i="2"/>
  <c r="X577" i="2"/>
  <c r="S385" i="2"/>
  <c r="S369" i="2"/>
  <c r="S351" i="2"/>
  <c r="Y343" i="2"/>
  <c r="Y335" i="2"/>
  <c r="AA311" i="2"/>
  <c r="V311" i="2"/>
  <c r="Q311" i="2"/>
  <c r="W308" i="2"/>
  <c r="AB305" i="2"/>
  <c r="W305" i="2"/>
  <c r="AB303" i="2"/>
  <c r="W303" i="2"/>
  <c r="W300" i="2"/>
  <c r="AB297" i="2"/>
  <c r="W297" i="2"/>
  <c r="AB293" i="2"/>
  <c r="W293" i="2"/>
  <c r="AB289" i="2"/>
  <c r="W289" i="2"/>
  <c r="AB285" i="2"/>
  <c r="W285" i="2"/>
  <c r="AB275" i="2"/>
  <c r="W275" i="2"/>
  <c r="Z266" i="2"/>
  <c r="Z262" i="2"/>
  <c r="AC253" i="2"/>
  <c r="Z246" i="2"/>
  <c r="AC242" i="2"/>
  <c r="U242" i="2"/>
  <c r="R238" i="2"/>
  <c r="Z238" i="2"/>
  <c r="AA236" i="2"/>
  <c r="V228" i="2"/>
  <c r="O228" i="2"/>
  <c r="T221" i="2"/>
  <c r="AC221" i="2"/>
  <c r="U213" i="2"/>
  <c r="AA211" i="2"/>
  <c r="AC204" i="2"/>
  <c r="AA196" i="2"/>
  <c r="X180" i="2"/>
  <c r="T178" i="2"/>
  <c r="AA178" i="2"/>
  <c r="AC172" i="2"/>
  <c r="T170" i="2"/>
  <c r="AA170" i="2"/>
  <c r="Y166" i="2"/>
  <c r="AA166" i="2"/>
  <c r="O165" i="2"/>
  <c r="Q165" i="2"/>
  <c r="Z165" i="2"/>
  <c r="R165" i="2"/>
  <c r="AA165" i="2"/>
  <c r="U163" i="2"/>
  <c r="AA163" i="2"/>
  <c r="O161" i="2"/>
  <c r="R161" i="2"/>
  <c r="AA161" i="2"/>
  <c r="U161" i="2"/>
  <c r="O153" i="2"/>
  <c r="Q153" i="2"/>
  <c r="Z153" i="2"/>
  <c r="R153" i="2"/>
  <c r="AA153" i="2"/>
  <c r="U151" i="2"/>
  <c r="AA151" i="2"/>
  <c r="O149" i="2"/>
  <c r="R149" i="2"/>
  <c r="AA149" i="2"/>
  <c r="U149" i="2"/>
  <c r="U144" i="2"/>
  <c r="Z141" i="2"/>
  <c r="T136" i="2"/>
  <c r="T132" i="2"/>
  <c r="N131" i="2"/>
  <c r="R131" i="2"/>
  <c r="AC131" i="2"/>
  <c r="U131" i="2"/>
  <c r="O124" i="2"/>
  <c r="S124" i="2"/>
  <c r="W124" i="2"/>
  <c r="AA124" i="2"/>
  <c r="P124" i="2"/>
  <c r="T124" i="2"/>
  <c r="X124" i="2"/>
  <c r="AB124" i="2"/>
  <c r="Z120" i="2"/>
  <c r="R120" i="2"/>
  <c r="N119" i="2"/>
  <c r="R119" i="2"/>
  <c r="AC119" i="2"/>
  <c r="U119" i="2"/>
  <c r="O116" i="2"/>
  <c r="S116" i="2"/>
  <c r="W116" i="2"/>
  <c r="AA116" i="2"/>
  <c r="P116" i="2"/>
  <c r="T116" i="2"/>
  <c r="X116" i="2"/>
  <c r="AB116" i="2"/>
  <c r="AC87" i="2"/>
  <c r="Z67" i="2"/>
  <c r="P55" i="2"/>
  <c r="T55" i="2"/>
  <c r="X55" i="2"/>
  <c r="AB55" i="2"/>
  <c r="O55" i="2"/>
  <c r="U55" i="2"/>
  <c r="Z55" i="2"/>
  <c r="Q55" i="2"/>
  <c r="V55" i="2"/>
  <c r="AA55" i="2"/>
  <c r="P53" i="2"/>
  <c r="T53" i="2"/>
  <c r="X53" i="2"/>
  <c r="AB53" i="2"/>
  <c r="N53" i="2"/>
  <c r="S53" i="2"/>
  <c r="Y53" i="2"/>
  <c r="O53" i="2"/>
  <c r="U53" i="2"/>
  <c r="Z53" i="2"/>
  <c r="T30" i="2"/>
  <c r="AB30" i="2"/>
  <c r="Q30" i="2"/>
  <c r="AC30" i="2"/>
  <c r="U30" i="2"/>
  <c r="P30" i="2"/>
  <c r="X30" i="2"/>
  <c r="N23" i="2"/>
  <c r="Y23" i="2"/>
  <c r="S23" i="2"/>
  <c r="W23" i="2"/>
  <c r="AC23" i="2"/>
  <c r="AC202" i="2"/>
  <c r="V202" i="2"/>
  <c r="AC194" i="2"/>
  <c r="AC191" i="2"/>
  <c r="U191" i="2"/>
  <c r="Z189" i="2"/>
  <c r="Q189" i="2"/>
  <c r="Z185" i="2"/>
  <c r="Q185" i="2"/>
  <c r="Z173" i="2"/>
  <c r="Q173" i="2"/>
  <c r="AC164" i="2"/>
  <c r="U164" i="2"/>
  <c r="AC156" i="2"/>
  <c r="U156" i="2"/>
  <c r="AC152" i="2"/>
  <c r="U152" i="2"/>
  <c r="AC139" i="2"/>
  <c r="Z137" i="2"/>
  <c r="Q137" i="2"/>
  <c r="Y134" i="2"/>
  <c r="T134" i="2"/>
  <c r="O134" i="2"/>
  <c r="Z133" i="2"/>
  <c r="Q133" i="2"/>
  <c r="Y130" i="2"/>
  <c r="T130" i="2"/>
  <c r="O130" i="2"/>
  <c r="Z129" i="2"/>
  <c r="Q129" i="2"/>
  <c r="Z126" i="2"/>
  <c r="V126" i="2"/>
  <c r="R126" i="2"/>
  <c r="Z125" i="2"/>
  <c r="Q125" i="2"/>
  <c r="Z122" i="2"/>
  <c r="V122" i="2"/>
  <c r="R122" i="2"/>
  <c r="Z121" i="2"/>
  <c r="Q121" i="2"/>
  <c r="O111" i="2"/>
  <c r="U111" i="2"/>
  <c r="AB111" i="2"/>
  <c r="S101" i="2"/>
  <c r="Y101" i="2"/>
  <c r="Q96" i="2"/>
  <c r="AA96" i="2"/>
  <c r="R89" i="2"/>
  <c r="Z89" i="2"/>
  <c r="O88" i="2"/>
  <c r="U88" i="2"/>
  <c r="AC88" i="2"/>
  <c r="O86" i="2"/>
  <c r="AC86" i="2"/>
  <c r="P63" i="2"/>
  <c r="N63" i="2"/>
  <c r="S63" i="2"/>
  <c r="Y63" i="2"/>
  <c r="P59" i="2"/>
  <c r="T59" i="2"/>
  <c r="X59" i="2"/>
  <c r="AB59" i="2"/>
  <c r="Q54" i="2"/>
  <c r="R54" i="2"/>
  <c r="O49" i="2"/>
  <c r="S49" i="2"/>
  <c r="W49" i="2"/>
  <c r="AA49" i="2"/>
  <c r="P49" i="2"/>
  <c r="T49" i="2"/>
  <c r="X49" i="2"/>
  <c r="AB49" i="2"/>
  <c r="Q44" i="2"/>
  <c r="AC44" i="2"/>
  <c r="U44" i="2"/>
  <c r="Q42" i="2"/>
  <c r="Y42" i="2"/>
  <c r="T42" i="2"/>
  <c r="AB42" i="2"/>
  <c r="Q40" i="2"/>
  <c r="Y40" i="2"/>
  <c r="T40" i="2"/>
  <c r="AB40" i="2"/>
  <c r="Q38" i="2"/>
  <c r="Y38" i="2"/>
  <c r="T38" i="2"/>
  <c r="AB38" i="2"/>
  <c r="Q36" i="2"/>
  <c r="Y36" i="2"/>
  <c r="T36" i="2"/>
  <c r="AB36" i="2"/>
  <c r="Q34" i="2"/>
  <c r="Y34" i="2"/>
  <c r="T34" i="2"/>
  <c r="AB34" i="2"/>
  <c r="T26" i="2"/>
  <c r="AB26" i="2"/>
  <c r="Q26" i="2"/>
  <c r="AC26" i="2"/>
  <c r="U26" i="2"/>
  <c r="O12" i="2"/>
  <c r="P12" i="2"/>
  <c r="W12" i="2"/>
  <c r="AC12" i="2"/>
  <c r="Q12" i="2"/>
  <c r="X12" i="2"/>
  <c r="S12" i="2"/>
  <c r="U12" i="2"/>
  <c r="O590" i="2"/>
  <c r="S590" i="2"/>
  <c r="W590" i="2"/>
  <c r="AA590" i="2"/>
  <c r="P590" i="2"/>
  <c r="T590" i="2"/>
  <c r="X590" i="2"/>
  <c r="AB590" i="2"/>
  <c r="N590" i="2"/>
  <c r="V590" i="2"/>
  <c r="Q590" i="2"/>
  <c r="Y590" i="2"/>
  <c r="U590" i="2"/>
  <c r="Z590" i="2"/>
  <c r="AC111" i="2"/>
  <c r="T111" i="2"/>
  <c r="S105" i="2"/>
  <c r="Y105" i="2"/>
  <c r="W104" i="2"/>
  <c r="P103" i="2"/>
  <c r="X103" i="2"/>
  <c r="AC101" i="2"/>
  <c r="T101" i="2"/>
  <c r="W96" i="2"/>
  <c r="O91" i="2"/>
  <c r="W91" i="2"/>
  <c r="T88" i="2"/>
  <c r="AA86" i="2"/>
  <c r="O83" i="2"/>
  <c r="W83" i="2"/>
  <c r="O82" i="2"/>
  <c r="U82" i="2"/>
  <c r="O79" i="2"/>
  <c r="W79" i="2"/>
  <c r="U75" i="2"/>
  <c r="AC75" i="2"/>
  <c r="P65" i="2"/>
  <c r="O65" i="2"/>
  <c r="U65" i="2"/>
  <c r="Z65" i="2"/>
  <c r="Z63" i="2"/>
  <c r="R63" i="2"/>
  <c r="AA59" i="2"/>
  <c r="V59" i="2"/>
  <c r="Q59" i="2"/>
  <c r="Q58" i="2"/>
  <c r="R58" i="2"/>
  <c r="AC54" i="2"/>
  <c r="Z49" i="2"/>
  <c r="R49" i="2"/>
  <c r="Q48" i="2"/>
  <c r="AC48" i="2"/>
  <c r="U48" i="2"/>
  <c r="Y44" i="2"/>
  <c r="X42" i="2"/>
  <c r="X40" i="2"/>
  <c r="X38" i="2"/>
  <c r="X36" i="2"/>
  <c r="X34" i="2"/>
  <c r="N31" i="2"/>
  <c r="R31" i="2"/>
  <c r="V31" i="2"/>
  <c r="Z31" i="2"/>
  <c r="P31" i="2"/>
  <c r="U31" i="2"/>
  <c r="AA31" i="2"/>
  <c r="Q31" i="2"/>
  <c r="W31" i="2"/>
  <c r="AB31" i="2"/>
  <c r="Y26" i="2"/>
  <c r="O20" i="2"/>
  <c r="Q20" i="2"/>
  <c r="X20" i="2"/>
  <c r="P20" i="2"/>
  <c r="AA20" i="2"/>
  <c r="S20" i="2"/>
  <c r="AB20" i="2"/>
  <c r="X50" i="2"/>
  <c r="Z47" i="2"/>
  <c r="V47" i="2"/>
  <c r="R47" i="2"/>
  <c r="Y46" i="2"/>
  <c r="Z43" i="2"/>
  <c r="V43" i="2"/>
  <c r="R43" i="2"/>
  <c r="Z41" i="2"/>
  <c r="V41" i="2"/>
  <c r="R41" i="2"/>
  <c r="Z39" i="2"/>
  <c r="V39" i="2"/>
  <c r="R39" i="2"/>
  <c r="Z37" i="2"/>
  <c r="V37" i="2"/>
  <c r="R37" i="2"/>
  <c r="Z35" i="2"/>
  <c r="V35" i="2"/>
  <c r="R35" i="2"/>
  <c r="Y33" i="2"/>
  <c r="T33" i="2"/>
  <c r="Y32" i="2"/>
  <c r="Y29" i="2"/>
  <c r="T29" i="2"/>
  <c r="Y28" i="2"/>
  <c r="AA24" i="2"/>
  <c r="X18" i="2"/>
  <c r="N629" i="2"/>
  <c r="U629" i="2"/>
  <c r="AC629" i="2"/>
  <c r="O629" i="2"/>
  <c r="W629" i="2"/>
  <c r="AC627" i="2"/>
  <c r="O621" i="2"/>
  <c r="W621" i="2"/>
  <c r="N621" i="2"/>
  <c r="Y621" i="2"/>
  <c r="R621" i="2"/>
  <c r="Z621" i="2"/>
  <c r="O563" i="2"/>
  <c r="Q563" i="2"/>
  <c r="X563" i="2"/>
  <c r="S563" i="2"/>
  <c r="AA563" i="2"/>
  <c r="U563" i="2"/>
  <c r="W563" i="2"/>
  <c r="N33" i="2"/>
  <c r="R33" i="2"/>
  <c r="V33" i="2"/>
  <c r="Z33" i="2"/>
  <c r="T32" i="2"/>
  <c r="AB32" i="2"/>
  <c r="N29" i="2"/>
  <c r="R29" i="2"/>
  <c r="V29" i="2"/>
  <c r="Z29" i="2"/>
  <c r="T28" i="2"/>
  <c r="AB28" i="2"/>
  <c r="N25" i="2"/>
  <c r="S25" i="2"/>
  <c r="O24" i="2"/>
  <c r="P24" i="2"/>
  <c r="W24" i="2"/>
  <c r="AC24" i="2"/>
  <c r="O18" i="2"/>
  <c r="S18" i="2"/>
  <c r="AA18" i="2"/>
  <c r="N17" i="2"/>
  <c r="R17" i="2"/>
  <c r="S17" i="2"/>
  <c r="O627" i="2"/>
  <c r="W627" i="2"/>
  <c r="R627" i="2"/>
  <c r="Y627" i="2"/>
  <c r="R623" i="2"/>
  <c r="U623" i="2"/>
  <c r="Z623" i="2"/>
  <c r="R615" i="2"/>
  <c r="S615" i="2"/>
  <c r="N615" i="2"/>
  <c r="Z615" i="2"/>
  <c r="O615" i="2"/>
  <c r="O594" i="2"/>
  <c r="S594" i="2"/>
  <c r="W594" i="2"/>
  <c r="AA594" i="2"/>
  <c r="P594" i="2"/>
  <c r="T594" i="2"/>
  <c r="X594" i="2"/>
  <c r="AB594" i="2"/>
  <c r="Q594" i="2"/>
  <c r="Y594" i="2"/>
  <c r="R594" i="2"/>
  <c r="Z594" i="2"/>
  <c r="N566" i="2"/>
  <c r="AC566" i="2"/>
  <c r="R566" i="2"/>
  <c r="W566" i="2"/>
  <c r="Y566" i="2"/>
  <c r="AC563" i="2"/>
  <c r="R609" i="2"/>
  <c r="Y609" i="2"/>
  <c r="P598" i="2"/>
  <c r="N598" i="2"/>
  <c r="S598" i="2"/>
  <c r="Y598" i="2"/>
  <c r="O598" i="2"/>
  <c r="U598" i="2"/>
  <c r="Z598" i="2"/>
  <c r="N596" i="2"/>
  <c r="R596" i="2"/>
  <c r="V596" i="2"/>
  <c r="Z596" i="2"/>
  <c r="O596" i="2"/>
  <c r="S596" i="2"/>
  <c r="W596" i="2"/>
  <c r="AA596" i="2"/>
  <c r="Q593" i="2"/>
  <c r="AC593" i="2"/>
  <c r="U593" i="2"/>
  <c r="O582" i="2"/>
  <c r="S582" i="2"/>
  <c r="W582" i="2"/>
  <c r="AA582" i="2"/>
  <c r="P582" i="2"/>
  <c r="T582" i="2"/>
  <c r="X582" i="2"/>
  <c r="AB582" i="2"/>
  <c r="O575" i="2"/>
  <c r="Q575" i="2"/>
  <c r="X575" i="2"/>
  <c r="S575" i="2"/>
  <c r="AA575" i="2"/>
  <c r="N574" i="2"/>
  <c r="AC574" i="2"/>
  <c r="R574" i="2"/>
  <c r="O559" i="2"/>
  <c r="Q559" i="2"/>
  <c r="X559" i="2"/>
  <c r="S559" i="2"/>
  <c r="AA559" i="2"/>
  <c r="N558" i="2"/>
  <c r="AC558" i="2"/>
  <c r="R558" i="2"/>
  <c r="AA14" i="2"/>
  <c r="S14" i="2"/>
  <c r="AA10" i="2"/>
  <c r="S10" i="2"/>
  <c r="Y625" i="2"/>
  <c r="R619" i="2"/>
  <c r="Y619" i="2"/>
  <c r="N617" i="2"/>
  <c r="Y617" i="2"/>
  <c r="O611" i="2"/>
  <c r="W611" i="2"/>
  <c r="AC609" i="2"/>
  <c r="S609" i="2"/>
  <c r="V598" i="2"/>
  <c r="AB596" i="2"/>
  <c r="T596" i="2"/>
  <c r="Y593" i="2"/>
  <c r="O586" i="2"/>
  <c r="S586" i="2"/>
  <c r="W586" i="2"/>
  <c r="AA586" i="2"/>
  <c r="P586" i="2"/>
  <c r="T586" i="2"/>
  <c r="X586" i="2"/>
  <c r="AB586" i="2"/>
  <c r="Z582" i="2"/>
  <c r="R582" i="2"/>
  <c r="Q581" i="2"/>
  <c r="AC581" i="2"/>
  <c r="U581" i="2"/>
  <c r="O578" i="2"/>
  <c r="S578" i="2"/>
  <c r="W578" i="2"/>
  <c r="AA578" i="2"/>
  <c r="P578" i="2"/>
  <c r="T578" i="2"/>
  <c r="X578" i="2"/>
  <c r="AB578" i="2"/>
  <c r="W575" i="2"/>
  <c r="O571" i="2"/>
  <c r="Q571" i="2"/>
  <c r="X571" i="2"/>
  <c r="S571" i="2"/>
  <c r="AA571" i="2"/>
  <c r="W559" i="2"/>
  <c r="AC595" i="2"/>
  <c r="Z592" i="2"/>
  <c r="V592" i="2"/>
  <c r="R592" i="2"/>
  <c r="Y591" i="2"/>
  <c r="Z588" i="2"/>
  <c r="V588" i="2"/>
  <c r="R588" i="2"/>
  <c r="Y587" i="2"/>
  <c r="Z584" i="2"/>
  <c r="V584" i="2"/>
  <c r="R584" i="2"/>
  <c r="Y583" i="2"/>
  <c r="AA576" i="2"/>
  <c r="AA569" i="2"/>
  <c r="S569" i="2"/>
  <c r="AA561" i="2"/>
  <c r="S561" i="2"/>
  <c r="O869" i="2"/>
  <c r="N869" i="2"/>
  <c r="S869" i="2"/>
  <c r="W869" i="2"/>
  <c r="AA869" i="2"/>
  <c r="P869" i="2"/>
  <c r="T869" i="2"/>
  <c r="X869" i="2"/>
  <c r="AB869" i="2"/>
  <c r="X865" i="2"/>
  <c r="O861" i="2"/>
  <c r="S861" i="2"/>
  <c r="W861" i="2"/>
  <c r="AA861" i="2"/>
  <c r="N861" i="2"/>
  <c r="T861" i="2"/>
  <c r="Y861" i="2"/>
  <c r="P861" i="2"/>
  <c r="U861" i="2"/>
  <c r="Z861" i="2"/>
  <c r="X857" i="2"/>
  <c r="O853" i="2"/>
  <c r="S853" i="2"/>
  <c r="W853" i="2"/>
  <c r="AA853" i="2"/>
  <c r="N853" i="2"/>
  <c r="T853" i="2"/>
  <c r="Y853" i="2"/>
  <c r="P853" i="2"/>
  <c r="U853" i="2"/>
  <c r="Z853" i="2"/>
  <c r="X849" i="2"/>
  <c r="O845" i="2"/>
  <c r="S845" i="2"/>
  <c r="W845" i="2"/>
  <c r="AA845" i="2"/>
  <c r="N845" i="2"/>
  <c r="T845" i="2"/>
  <c r="Y845" i="2"/>
  <c r="P845" i="2"/>
  <c r="U845" i="2"/>
  <c r="Z845" i="2"/>
  <c r="X841" i="2"/>
  <c r="O837" i="2"/>
  <c r="S837" i="2"/>
  <c r="W837" i="2"/>
  <c r="AA837" i="2"/>
  <c r="N837" i="2"/>
  <c r="T837" i="2"/>
  <c r="Y837" i="2"/>
  <c r="P837" i="2"/>
  <c r="U837" i="2"/>
  <c r="Z837" i="2"/>
  <c r="X833" i="2"/>
  <c r="O827" i="2"/>
  <c r="S827" i="2"/>
  <c r="W827" i="2"/>
  <c r="AA827" i="2"/>
  <c r="Q827" i="2"/>
  <c r="V827" i="2"/>
  <c r="AB827" i="2"/>
  <c r="N827" i="2"/>
  <c r="U827" i="2"/>
  <c r="AC827" i="2"/>
  <c r="P827" i="2"/>
  <c r="X827" i="2"/>
  <c r="Z819" i="2"/>
  <c r="P779" i="2"/>
  <c r="T779" i="2"/>
  <c r="X779" i="2"/>
  <c r="AB779" i="2"/>
  <c r="O779" i="2"/>
  <c r="U779" i="2"/>
  <c r="Z779" i="2"/>
  <c r="Q779" i="2"/>
  <c r="V779" i="2"/>
  <c r="AA779" i="2"/>
  <c r="N779" i="2"/>
  <c r="Y779" i="2"/>
  <c r="R779" i="2"/>
  <c r="AC779" i="2"/>
  <c r="W779" i="2"/>
  <c r="AC1089" i="2"/>
  <c r="Y1089" i="2"/>
  <c r="U1089" i="2"/>
  <c r="Q1089" i="2"/>
  <c r="AC1085" i="2"/>
  <c r="Y1085" i="2"/>
  <c r="U1085" i="2"/>
  <c r="Q1085" i="2"/>
  <c r="AC1081" i="2"/>
  <c r="Y1081" i="2"/>
  <c r="U1081" i="2"/>
  <c r="Q1081" i="2"/>
  <c r="AC1077" i="2"/>
  <c r="Y1077" i="2"/>
  <c r="U1077" i="2"/>
  <c r="Q1077" i="2"/>
  <c r="AC1073" i="2"/>
  <c r="Y1073" i="2"/>
  <c r="U1073" i="2"/>
  <c r="Q1073" i="2"/>
  <c r="AC1069" i="2"/>
  <c r="Y1069" i="2"/>
  <c r="U1069" i="2"/>
  <c r="Q1069" i="2"/>
  <c r="AC1065" i="2"/>
  <c r="Y1065" i="2"/>
  <c r="U1065" i="2"/>
  <c r="Q1065" i="2"/>
  <c r="AC1061" i="2"/>
  <c r="Y1061" i="2"/>
  <c r="U1061" i="2"/>
  <c r="Q1061" i="2"/>
  <c r="AC1057" i="2"/>
  <c r="Y1057" i="2"/>
  <c r="U1057" i="2"/>
  <c r="Q1057" i="2"/>
  <c r="AC1053" i="2"/>
  <c r="Y1053" i="2"/>
  <c r="U1053" i="2"/>
  <c r="Q1053" i="2"/>
  <c r="AC1049" i="2"/>
  <c r="Y1049" i="2"/>
  <c r="U1049" i="2"/>
  <c r="Q1049" i="2"/>
  <c r="AC1045" i="2"/>
  <c r="Y1045" i="2"/>
  <c r="U1045" i="2"/>
  <c r="Q1045" i="2"/>
  <c r="AC1041" i="2"/>
  <c r="Y1041" i="2"/>
  <c r="U1041" i="2"/>
  <c r="Q1041" i="2"/>
  <c r="AC1037" i="2"/>
  <c r="Y1037" i="2"/>
  <c r="U1037" i="2"/>
  <c r="Q1037" i="2"/>
  <c r="AC1033" i="2"/>
  <c r="Y1033" i="2"/>
  <c r="U1033" i="2"/>
  <c r="Q1033" i="2"/>
  <c r="AC1029" i="2"/>
  <c r="Y1029" i="2"/>
  <c r="U1029" i="2"/>
  <c r="Q1029" i="2"/>
  <c r="AC1025" i="2"/>
  <c r="Y1025" i="2"/>
  <c r="U1025" i="2"/>
  <c r="Q1025" i="2"/>
  <c r="AC1021" i="2"/>
  <c r="Y1021" i="2"/>
  <c r="U1021" i="2"/>
  <c r="Q1021" i="2"/>
  <c r="AC1017" i="2"/>
  <c r="W1017" i="2"/>
  <c r="R1017" i="2"/>
  <c r="P1013" i="2"/>
  <c r="T1013" i="2"/>
  <c r="X1013" i="2"/>
  <c r="AB1013" i="2"/>
  <c r="P1011" i="2"/>
  <c r="T1011" i="2"/>
  <c r="X1011" i="2"/>
  <c r="AB1011" i="2"/>
  <c r="P1009" i="2"/>
  <c r="T1009" i="2"/>
  <c r="X1009" i="2"/>
  <c r="AB1009" i="2"/>
  <c r="P1007" i="2"/>
  <c r="T1007" i="2"/>
  <c r="X1007" i="2"/>
  <c r="AB1007" i="2"/>
  <c r="P1005" i="2"/>
  <c r="T1005" i="2"/>
  <c r="X1005" i="2"/>
  <c r="AB1005" i="2"/>
  <c r="P1003" i="2"/>
  <c r="T1003" i="2"/>
  <c r="X1003" i="2"/>
  <c r="AB1003" i="2"/>
  <c r="P1001" i="2"/>
  <c r="T1001" i="2"/>
  <c r="X1001" i="2"/>
  <c r="AB1001" i="2"/>
  <c r="P999" i="2"/>
  <c r="T999" i="2"/>
  <c r="X999" i="2"/>
  <c r="AB999" i="2"/>
  <c r="P997" i="2"/>
  <c r="T997" i="2"/>
  <c r="X997" i="2"/>
  <c r="AB997" i="2"/>
  <c r="P995" i="2"/>
  <c r="T995" i="2"/>
  <c r="X995" i="2"/>
  <c r="AB995" i="2"/>
  <c r="P993" i="2"/>
  <c r="T993" i="2"/>
  <c r="X993" i="2"/>
  <c r="AB993" i="2"/>
  <c r="P991" i="2"/>
  <c r="T991" i="2"/>
  <c r="X991" i="2"/>
  <c r="AB991" i="2"/>
  <c r="P989" i="2"/>
  <c r="T989" i="2"/>
  <c r="X989" i="2"/>
  <c r="AB989" i="2"/>
  <c r="P987" i="2"/>
  <c r="T987" i="2"/>
  <c r="X987" i="2"/>
  <c r="AB987" i="2"/>
  <c r="P985" i="2"/>
  <c r="T985" i="2"/>
  <c r="X985" i="2"/>
  <c r="AB985" i="2"/>
  <c r="P983" i="2"/>
  <c r="T983" i="2"/>
  <c r="X983" i="2"/>
  <c r="AB983" i="2"/>
  <c r="P981" i="2"/>
  <c r="T981" i="2"/>
  <c r="X981" i="2"/>
  <c r="AB981" i="2"/>
  <c r="P979" i="2"/>
  <c r="T979" i="2"/>
  <c r="X979" i="2"/>
  <c r="AB979" i="2"/>
  <c r="P977" i="2"/>
  <c r="T977" i="2"/>
  <c r="X977" i="2"/>
  <c r="AB977" i="2"/>
  <c r="P975" i="2"/>
  <c r="T975" i="2"/>
  <c r="X975" i="2"/>
  <c r="AB975" i="2"/>
  <c r="P973" i="2"/>
  <c r="T973" i="2"/>
  <c r="X973" i="2"/>
  <c r="AB973" i="2"/>
  <c r="P971" i="2"/>
  <c r="T971" i="2"/>
  <c r="X971" i="2"/>
  <c r="AB971" i="2"/>
  <c r="P969" i="2"/>
  <c r="T969" i="2"/>
  <c r="X969" i="2"/>
  <c r="AB969" i="2"/>
  <c r="P967" i="2"/>
  <c r="T967" i="2"/>
  <c r="X967" i="2"/>
  <c r="AB967" i="2"/>
  <c r="P965" i="2"/>
  <c r="T965" i="2"/>
  <c r="X965" i="2"/>
  <c r="AB965" i="2"/>
  <c r="P963" i="2"/>
  <c r="T963" i="2"/>
  <c r="X963" i="2"/>
  <c r="AB963" i="2"/>
  <c r="P961" i="2"/>
  <c r="T961" i="2"/>
  <c r="X961" i="2"/>
  <c r="AB961" i="2"/>
  <c r="P959" i="2"/>
  <c r="T959" i="2"/>
  <c r="X959" i="2"/>
  <c r="AB959" i="2"/>
  <c r="P957" i="2"/>
  <c r="T957" i="2"/>
  <c r="X957" i="2"/>
  <c r="AB957" i="2"/>
  <c r="P955" i="2"/>
  <c r="T955" i="2"/>
  <c r="X955" i="2"/>
  <c r="AB955" i="2"/>
  <c r="P953" i="2"/>
  <c r="T953" i="2"/>
  <c r="X953" i="2"/>
  <c r="AB953" i="2"/>
  <c r="P951" i="2"/>
  <c r="T951" i="2"/>
  <c r="X951" i="2"/>
  <c r="AB951" i="2"/>
  <c r="P949" i="2"/>
  <c r="T949" i="2"/>
  <c r="X949" i="2"/>
  <c r="AB949" i="2"/>
  <c r="P947" i="2"/>
  <c r="T947" i="2"/>
  <c r="X947" i="2"/>
  <c r="AB947" i="2"/>
  <c r="P945" i="2"/>
  <c r="T945" i="2"/>
  <c r="X945" i="2"/>
  <c r="AB945" i="2"/>
  <c r="P943" i="2"/>
  <c r="T943" i="2"/>
  <c r="X943" i="2"/>
  <c r="AB943" i="2"/>
  <c r="P941" i="2"/>
  <c r="T941" i="2"/>
  <c r="X941" i="2"/>
  <c r="AB941" i="2"/>
  <c r="P939" i="2"/>
  <c r="T939" i="2"/>
  <c r="X939" i="2"/>
  <c r="AB939" i="2"/>
  <c r="P937" i="2"/>
  <c r="T937" i="2"/>
  <c r="X937" i="2"/>
  <c r="AB937" i="2"/>
  <c r="P935" i="2"/>
  <c r="T935" i="2"/>
  <c r="X935" i="2"/>
  <c r="AB935" i="2"/>
  <c r="P933" i="2"/>
  <c r="T933" i="2"/>
  <c r="X933" i="2"/>
  <c r="AB933" i="2"/>
  <c r="P931" i="2"/>
  <c r="T931" i="2"/>
  <c r="X931" i="2"/>
  <c r="AB931" i="2"/>
  <c r="P929" i="2"/>
  <c r="T929" i="2"/>
  <c r="X929" i="2"/>
  <c r="AB929" i="2"/>
  <c r="P927" i="2"/>
  <c r="T927" i="2"/>
  <c r="X927" i="2"/>
  <c r="AB927" i="2"/>
  <c r="P925" i="2"/>
  <c r="T925" i="2"/>
  <c r="X925" i="2"/>
  <c r="AB925" i="2"/>
  <c r="P923" i="2"/>
  <c r="T923" i="2"/>
  <c r="X923" i="2"/>
  <c r="AB923" i="2"/>
  <c r="P921" i="2"/>
  <c r="T921" i="2"/>
  <c r="X921" i="2"/>
  <c r="AB921" i="2"/>
  <c r="P919" i="2"/>
  <c r="T919" i="2"/>
  <c r="X919" i="2"/>
  <c r="AB919" i="2"/>
  <c r="P917" i="2"/>
  <c r="T917" i="2"/>
  <c r="X917" i="2"/>
  <c r="AB917" i="2"/>
  <c r="P915" i="2"/>
  <c r="T915" i="2"/>
  <c r="X915" i="2"/>
  <c r="AB915" i="2"/>
  <c r="P913" i="2"/>
  <c r="T913" i="2"/>
  <c r="X913" i="2"/>
  <c r="AB913" i="2"/>
  <c r="P911" i="2"/>
  <c r="T911" i="2"/>
  <c r="X911" i="2"/>
  <c r="AB911" i="2"/>
  <c r="P909" i="2"/>
  <c r="T909" i="2"/>
  <c r="X909" i="2"/>
  <c r="AB909" i="2"/>
  <c r="P907" i="2"/>
  <c r="T907" i="2"/>
  <c r="X907" i="2"/>
  <c r="AB907" i="2"/>
  <c r="P905" i="2"/>
  <c r="T905" i="2"/>
  <c r="X905" i="2"/>
  <c r="AB905" i="2"/>
  <c r="P903" i="2"/>
  <c r="T903" i="2"/>
  <c r="X903" i="2"/>
  <c r="AB903" i="2"/>
  <c r="P901" i="2"/>
  <c r="T901" i="2"/>
  <c r="X901" i="2"/>
  <c r="AB901" i="2"/>
  <c r="P899" i="2"/>
  <c r="T899" i="2"/>
  <c r="X899" i="2"/>
  <c r="AB899" i="2"/>
  <c r="P897" i="2"/>
  <c r="T897" i="2"/>
  <c r="X897" i="2"/>
  <c r="AB897" i="2"/>
  <c r="P895" i="2"/>
  <c r="T895" i="2"/>
  <c r="X895" i="2"/>
  <c r="AB895" i="2"/>
  <c r="P893" i="2"/>
  <c r="T893" i="2"/>
  <c r="X893" i="2"/>
  <c r="AB893" i="2"/>
  <c r="P891" i="2"/>
  <c r="T891" i="2"/>
  <c r="X891" i="2"/>
  <c r="AB891" i="2"/>
  <c r="P889" i="2"/>
  <c r="T889" i="2"/>
  <c r="X889" i="2"/>
  <c r="AB889" i="2"/>
  <c r="P887" i="2"/>
  <c r="T887" i="2"/>
  <c r="X887" i="2"/>
  <c r="AB887" i="2"/>
  <c r="P885" i="2"/>
  <c r="T885" i="2"/>
  <c r="X885" i="2"/>
  <c r="AB885" i="2"/>
  <c r="P883" i="2"/>
  <c r="T883" i="2"/>
  <c r="X883" i="2"/>
  <c r="AB883" i="2"/>
  <c r="P881" i="2"/>
  <c r="T881" i="2"/>
  <c r="X881" i="2"/>
  <c r="AB881" i="2"/>
  <c r="P879" i="2"/>
  <c r="T879" i="2"/>
  <c r="X879" i="2"/>
  <c r="AB879" i="2"/>
  <c r="P877" i="2"/>
  <c r="T877" i="2"/>
  <c r="X877" i="2"/>
  <c r="AB877" i="2"/>
  <c r="O875" i="2"/>
  <c r="S875" i="2"/>
  <c r="W875" i="2"/>
  <c r="AA875" i="2"/>
  <c r="P875" i="2"/>
  <c r="T875" i="2"/>
  <c r="X875" i="2"/>
  <c r="AB875" i="2"/>
  <c r="O873" i="2"/>
  <c r="S873" i="2"/>
  <c r="W873" i="2"/>
  <c r="AA873" i="2"/>
  <c r="P873" i="2"/>
  <c r="T873" i="2"/>
  <c r="X873" i="2"/>
  <c r="AB873" i="2"/>
  <c r="O871" i="2"/>
  <c r="S871" i="2"/>
  <c r="W871" i="2"/>
  <c r="AA871" i="2"/>
  <c r="P871" i="2"/>
  <c r="T871" i="2"/>
  <c r="X871" i="2"/>
  <c r="AB871" i="2"/>
  <c r="AC869" i="2"/>
  <c r="U869" i="2"/>
  <c r="V865" i="2"/>
  <c r="V861" i="2"/>
  <c r="V857" i="2"/>
  <c r="V853" i="2"/>
  <c r="V849" i="2"/>
  <c r="V845" i="2"/>
  <c r="V841" i="2"/>
  <c r="V837" i="2"/>
  <c r="V833" i="2"/>
  <c r="Y827" i="2"/>
  <c r="O825" i="2"/>
  <c r="S825" i="2"/>
  <c r="W825" i="2"/>
  <c r="AA825" i="2"/>
  <c r="Q825" i="2"/>
  <c r="V825" i="2"/>
  <c r="AB825" i="2"/>
  <c r="P825" i="2"/>
  <c r="X825" i="2"/>
  <c r="R825" i="2"/>
  <c r="Y825" i="2"/>
  <c r="Y819" i="2"/>
  <c r="O817" i="2"/>
  <c r="S817" i="2"/>
  <c r="W817" i="2"/>
  <c r="AA817" i="2"/>
  <c r="Q817" i="2"/>
  <c r="V817" i="2"/>
  <c r="AB817" i="2"/>
  <c r="P817" i="2"/>
  <c r="X817" i="2"/>
  <c r="R817" i="2"/>
  <c r="Y817" i="2"/>
  <c r="P813" i="2"/>
  <c r="T813" i="2"/>
  <c r="X813" i="2"/>
  <c r="Q813" i="2"/>
  <c r="V813" i="2"/>
  <c r="AA813" i="2"/>
  <c r="N813" i="2"/>
  <c r="U813" i="2"/>
  <c r="AB813" i="2"/>
  <c r="R813" i="2"/>
  <c r="Z813" i="2"/>
  <c r="S813" i="2"/>
  <c r="AC813" i="2"/>
  <c r="P811" i="2"/>
  <c r="T811" i="2"/>
  <c r="X811" i="2"/>
  <c r="AB811" i="2"/>
  <c r="Q811" i="2"/>
  <c r="V811" i="2"/>
  <c r="AA811" i="2"/>
  <c r="R811" i="2"/>
  <c r="Y811" i="2"/>
  <c r="O811" i="2"/>
  <c r="Z811" i="2"/>
  <c r="S811" i="2"/>
  <c r="AC811" i="2"/>
  <c r="P765" i="2"/>
  <c r="T765" i="2"/>
  <c r="X765" i="2"/>
  <c r="AB765" i="2"/>
  <c r="O765" i="2"/>
  <c r="U765" i="2"/>
  <c r="Z765" i="2"/>
  <c r="Q765" i="2"/>
  <c r="V765" i="2"/>
  <c r="AA765" i="2"/>
  <c r="R765" i="2"/>
  <c r="AC765" i="2"/>
  <c r="S765" i="2"/>
  <c r="N765" i="2"/>
  <c r="W765" i="2"/>
  <c r="Z1092" i="2"/>
  <c r="V1092" i="2"/>
  <c r="R1092" i="2"/>
  <c r="AB1091" i="2"/>
  <c r="X1091" i="2"/>
  <c r="T1091" i="2"/>
  <c r="P1091" i="2"/>
  <c r="Z1090" i="2"/>
  <c r="V1090" i="2"/>
  <c r="R1090" i="2"/>
  <c r="AB1089" i="2"/>
  <c r="X1089" i="2"/>
  <c r="T1089" i="2"/>
  <c r="P1089" i="2"/>
  <c r="Z1088" i="2"/>
  <c r="V1088" i="2"/>
  <c r="R1088" i="2"/>
  <c r="AB1087" i="2"/>
  <c r="X1087" i="2"/>
  <c r="T1087" i="2"/>
  <c r="P1087" i="2"/>
  <c r="Z1086" i="2"/>
  <c r="V1086" i="2"/>
  <c r="R1086" i="2"/>
  <c r="AB1085" i="2"/>
  <c r="X1085" i="2"/>
  <c r="T1085" i="2"/>
  <c r="P1085" i="2"/>
  <c r="Z1084" i="2"/>
  <c r="V1084" i="2"/>
  <c r="R1084" i="2"/>
  <c r="AB1083" i="2"/>
  <c r="X1083" i="2"/>
  <c r="T1083" i="2"/>
  <c r="P1083" i="2"/>
  <c r="Z1082" i="2"/>
  <c r="V1082" i="2"/>
  <c r="R1082" i="2"/>
  <c r="AB1081" i="2"/>
  <c r="X1081" i="2"/>
  <c r="T1081" i="2"/>
  <c r="P1081" i="2"/>
  <c r="Z1080" i="2"/>
  <c r="V1080" i="2"/>
  <c r="R1080" i="2"/>
  <c r="AB1079" i="2"/>
  <c r="X1079" i="2"/>
  <c r="T1079" i="2"/>
  <c r="P1079" i="2"/>
  <c r="Z1078" i="2"/>
  <c r="V1078" i="2"/>
  <c r="R1078" i="2"/>
  <c r="AB1077" i="2"/>
  <c r="X1077" i="2"/>
  <c r="T1077" i="2"/>
  <c r="P1077" i="2"/>
  <c r="Z1076" i="2"/>
  <c r="V1076" i="2"/>
  <c r="R1076" i="2"/>
  <c r="AB1075" i="2"/>
  <c r="X1075" i="2"/>
  <c r="T1075" i="2"/>
  <c r="P1075" i="2"/>
  <c r="Z1074" i="2"/>
  <c r="V1074" i="2"/>
  <c r="R1074" i="2"/>
  <c r="AB1073" i="2"/>
  <c r="X1073" i="2"/>
  <c r="T1073" i="2"/>
  <c r="P1073" i="2"/>
  <c r="Z1072" i="2"/>
  <c r="V1072" i="2"/>
  <c r="R1072" i="2"/>
  <c r="AB1071" i="2"/>
  <c r="X1071" i="2"/>
  <c r="T1071" i="2"/>
  <c r="P1071" i="2"/>
  <c r="Z1070" i="2"/>
  <c r="V1070" i="2"/>
  <c r="R1070" i="2"/>
  <c r="AB1069" i="2"/>
  <c r="X1069" i="2"/>
  <c r="T1069" i="2"/>
  <c r="P1069" i="2"/>
  <c r="Z1068" i="2"/>
  <c r="V1068" i="2"/>
  <c r="R1068" i="2"/>
  <c r="AB1067" i="2"/>
  <c r="X1067" i="2"/>
  <c r="T1067" i="2"/>
  <c r="P1067" i="2"/>
  <c r="Z1066" i="2"/>
  <c r="V1066" i="2"/>
  <c r="R1066" i="2"/>
  <c r="AB1065" i="2"/>
  <c r="X1065" i="2"/>
  <c r="T1065" i="2"/>
  <c r="P1065" i="2"/>
  <c r="Z1064" i="2"/>
  <c r="V1064" i="2"/>
  <c r="R1064" i="2"/>
  <c r="AB1063" i="2"/>
  <c r="X1063" i="2"/>
  <c r="T1063" i="2"/>
  <c r="P1063" i="2"/>
  <c r="Z1062" i="2"/>
  <c r="V1062" i="2"/>
  <c r="R1062" i="2"/>
  <c r="AB1061" i="2"/>
  <c r="X1061" i="2"/>
  <c r="T1061" i="2"/>
  <c r="P1061" i="2"/>
  <c r="Z1060" i="2"/>
  <c r="V1060" i="2"/>
  <c r="R1060" i="2"/>
  <c r="AB1059" i="2"/>
  <c r="X1059" i="2"/>
  <c r="T1059" i="2"/>
  <c r="P1059" i="2"/>
  <c r="Z1058" i="2"/>
  <c r="V1058" i="2"/>
  <c r="R1058" i="2"/>
  <c r="AB1057" i="2"/>
  <c r="X1057" i="2"/>
  <c r="T1057" i="2"/>
  <c r="P1057" i="2"/>
  <c r="Z1056" i="2"/>
  <c r="V1056" i="2"/>
  <c r="R1056" i="2"/>
  <c r="AB1055" i="2"/>
  <c r="X1055" i="2"/>
  <c r="T1055" i="2"/>
  <c r="P1055" i="2"/>
  <c r="Z1054" i="2"/>
  <c r="V1054" i="2"/>
  <c r="R1054" i="2"/>
  <c r="AB1053" i="2"/>
  <c r="X1053" i="2"/>
  <c r="T1053" i="2"/>
  <c r="P1053" i="2"/>
  <c r="Z1052" i="2"/>
  <c r="V1052" i="2"/>
  <c r="R1052" i="2"/>
  <c r="AB1051" i="2"/>
  <c r="X1051" i="2"/>
  <c r="T1051" i="2"/>
  <c r="P1051" i="2"/>
  <c r="Z1050" i="2"/>
  <c r="V1050" i="2"/>
  <c r="R1050" i="2"/>
  <c r="AB1049" i="2"/>
  <c r="X1049" i="2"/>
  <c r="T1049" i="2"/>
  <c r="P1049" i="2"/>
  <c r="Z1048" i="2"/>
  <c r="V1048" i="2"/>
  <c r="R1048" i="2"/>
  <c r="AB1047" i="2"/>
  <c r="X1047" i="2"/>
  <c r="T1047" i="2"/>
  <c r="P1047" i="2"/>
  <c r="Z1046" i="2"/>
  <c r="V1046" i="2"/>
  <c r="R1046" i="2"/>
  <c r="AB1045" i="2"/>
  <c r="X1045" i="2"/>
  <c r="T1045" i="2"/>
  <c r="P1045" i="2"/>
  <c r="Z1044" i="2"/>
  <c r="V1044" i="2"/>
  <c r="R1044" i="2"/>
  <c r="AB1043" i="2"/>
  <c r="X1043" i="2"/>
  <c r="T1043" i="2"/>
  <c r="P1043" i="2"/>
  <c r="Z1042" i="2"/>
  <c r="V1042" i="2"/>
  <c r="R1042" i="2"/>
  <c r="AB1041" i="2"/>
  <c r="X1041" i="2"/>
  <c r="T1041" i="2"/>
  <c r="P1041" i="2"/>
  <c r="Z1040" i="2"/>
  <c r="V1040" i="2"/>
  <c r="R1040" i="2"/>
  <c r="AB1039" i="2"/>
  <c r="X1039" i="2"/>
  <c r="T1039" i="2"/>
  <c r="P1039" i="2"/>
  <c r="Z1038" i="2"/>
  <c r="V1038" i="2"/>
  <c r="R1038" i="2"/>
  <c r="AB1037" i="2"/>
  <c r="X1037" i="2"/>
  <c r="T1037" i="2"/>
  <c r="P1037" i="2"/>
  <c r="Z1036" i="2"/>
  <c r="V1036" i="2"/>
  <c r="R1036" i="2"/>
  <c r="AB1035" i="2"/>
  <c r="X1035" i="2"/>
  <c r="T1035" i="2"/>
  <c r="P1035" i="2"/>
  <c r="Z1034" i="2"/>
  <c r="V1034" i="2"/>
  <c r="R1034" i="2"/>
  <c r="AB1033" i="2"/>
  <c r="X1033" i="2"/>
  <c r="T1033" i="2"/>
  <c r="P1033" i="2"/>
  <c r="Z1032" i="2"/>
  <c r="V1032" i="2"/>
  <c r="R1032" i="2"/>
  <c r="AB1031" i="2"/>
  <c r="X1031" i="2"/>
  <c r="T1031" i="2"/>
  <c r="P1031" i="2"/>
  <c r="Z1030" i="2"/>
  <c r="V1030" i="2"/>
  <c r="R1030" i="2"/>
  <c r="AB1029" i="2"/>
  <c r="X1029" i="2"/>
  <c r="T1029" i="2"/>
  <c r="P1029" i="2"/>
  <c r="Z1028" i="2"/>
  <c r="V1028" i="2"/>
  <c r="R1028" i="2"/>
  <c r="AB1027" i="2"/>
  <c r="X1027" i="2"/>
  <c r="T1027" i="2"/>
  <c r="P1027" i="2"/>
  <c r="Z1026" i="2"/>
  <c r="V1026" i="2"/>
  <c r="R1026" i="2"/>
  <c r="AB1025" i="2"/>
  <c r="X1025" i="2"/>
  <c r="T1025" i="2"/>
  <c r="P1025" i="2"/>
  <c r="Z1024" i="2"/>
  <c r="V1024" i="2"/>
  <c r="R1024" i="2"/>
  <c r="AB1023" i="2"/>
  <c r="X1023" i="2"/>
  <c r="T1023" i="2"/>
  <c r="P1023" i="2"/>
  <c r="Z1022" i="2"/>
  <c r="V1022" i="2"/>
  <c r="R1022" i="2"/>
  <c r="AB1021" i="2"/>
  <c r="X1021" i="2"/>
  <c r="T1021" i="2"/>
  <c r="P1021" i="2"/>
  <c r="Z1020" i="2"/>
  <c r="V1020" i="2"/>
  <c r="R1020" i="2"/>
  <c r="AB1019" i="2"/>
  <c r="X1019" i="2"/>
  <c r="T1019" i="2"/>
  <c r="P1019" i="2"/>
  <c r="Z1018" i="2"/>
  <c r="V1018" i="2"/>
  <c r="R1018" i="2"/>
  <c r="AA1017" i="2"/>
  <c r="V1017" i="2"/>
  <c r="Y1016" i="2"/>
  <c r="T1016" i="2"/>
  <c r="AA1015" i="2"/>
  <c r="V1015" i="2"/>
  <c r="Y1014" i="2"/>
  <c r="T1014" i="2"/>
  <c r="AA1013" i="2"/>
  <c r="V1013" i="2"/>
  <c r="Q1013" i="2"/>
  <c r="Y1012" i="2"/>
  <c r="T1012" i="2"/>
  <c r="AA1011" i="2"/>
  <c r="V1011" i="2"/>
  <c r="Q1011" i="2"/>
  <c r="Y1010" i="2"/>
  <c r="T1010" i="2"/>
  <c r="AA1009" i="2"/>
  <c r="V1009" i="2"/>
  <c r="Q1009" i="2"/>
  <c r="Y1008" i="2"/>
  <c r="T1008" i="2"/>
  <c r="AA1007" i="2"/>
  <c r="V1007" i="2"/>
  <c r="Q1007" i="2"/>
  <c r="Y1006" i="2"/>
  <c r="T1006" i="2"/>
  <c r="AA1005" i="2"/>
  <c r="V1005" i="2"/>
  <c r="Q1005" i="2"/>
  <c r="Y1004" i="2"/>
  <c r="T1004" i="2"/>
  <c r="AA1003" i="2"/>
  <c r="V1003" i="2"/>
  <c r="Q1003" i="2"/>
  <c r="Y1002" i="2"/>
  <c r="T1002" i="2"/>
  <c r="AA1001" i="2"/>
  <c r="V1001" i="2"/>
  <c r="Q1001" i="2"/>
  <c r="Y1000" i="2"/>
  <c r="T1000" i="2"/>
  <c r="AA999" i="2"/>
  <c r="V999" i="2"/>
  <c r="Q999" i="2"/>
  <c r="Y998" i="2"/>
  <c r="T998" i="2"/>
  <c r="AA997" i="2"/>
  <c r="V997" i="2"/>
  <c r="Q997" i="2"/>
  <c r="Y996" i="2"/>
  <c r="T996" i="2"/>
  <c r="AA995" i="2"/>
  <c r="V995" i="2"/>
  <c r="Q995" i="2"/>
  <c r="Y994" i="2"/>
  <c r="T994" i="2"/>
  <c r="AA993" i="2"/>
  <c r="V993" i="2"/>
  <c r="Q993" i="2"/>
  <c r="Y992" i="2"/>
  <c r="T992" i="2"/>
  <c r="AA991" i="2"/>
  <c r="V991" i="2"/>
  <c r="Q991" i="2"/>
  <c r="Y990" i="2"/>
  <c r="T990" i="2"/>
  <c r="AA989" i="2"/>
  <c r="V989" i="2"/>
  <c r="Q989" i="2"/>
  <c r="Y988" i="2"/>
  <c r="T988" i="2"/>
  <c r="AA987" i="2"/>
  <c r="V987" i="2"/>
  <c r="Q987" i="2"/>
  <c r="Y986" i="2"/>
  <c r="T986" i="2"/>
  <c r="AA985" i="2"/>
  <c r="V985" i="2"/>
  <c r="Q985" i="2"/>
  <c r="Y984" i="2"/>
  <c r="T984" i="2"/>
  <c r="AA983" i="2"/>
  <c r="V983" i="2"/>
  <c r="Q983" i="2"/>
  <c r="Y982" i="2"/>
  <c r="T982" i="2"/>
  <c r="AA981" i="2"/>
  <c r="V981" i="2"/>
  <c r="Q981" i="2"/>
  <c r="Y980" i="2"/>
  <c r="T980" i="2"/>
  <c r="AA979" i="2"/>
  <c r="V979" i="2"/>
  <c r="Q979" i="2"/>
  <c r="Y978" i="2"/>
  <c r="T978" i="2"/>
  <c r="AA977" i="2"/>
  <c r="V977" i="2"/>
  <c r="Q977" i="2"/>
  <c r="Y976" i="2"/>
  <c r="T976" i="2"/>
  <c r="AA975" i="2"/>
  <c r="V975" i="2"/>
  <c r="Q975" i="2"/>
  <c r="Y974" i="2"/>
  <c r="T974" i="2"/>
  <c r="AA973" i="2"/>
  <c r="V973" i="2"/>
  <c r="Q973" i="2"/>
  <c r="Y972" i="2"/>
  <c r="T972" i="2"/>
  <c r="AA971" i="2"/>
  <c r="V971" i="2"/>
  <c r="Q971" i="2"/>
  <c r="Y970" i="2"/>
  <c r="T970" i="2"/>
  <c r="AA969" i="2"/>
  <c r="V969" i="2"/>
  <c r="Q969" i="2"/>
  <c r="Y968" i="2"/>
  <c r="T968" i="2"/>
  <c r="AA967" i="2"/>
  <c r="V967" i="2"/>
  <c r="Q967" i="2"/>
  <c r="Y966" i="2"/>
  <c r="T966" i="2"/>
  <c r="AA965" i="2"/>
  <c r="V965" i="2"/>
  <c r="Q965" i="2"/>
  <c r="Y964" i="2"/>
  <c r="T964" i="2"/>
  <c r="AA963" i="2"/>
  <c r="V963" i="2"/>
  <c r="Q963" i="2"/>
  <c r="Y962" i="2"/>
  <c r="T962" i="2"/>
  <c r="AA961" i="2"/>
  <c r="V961" i="2"/>
  <c r="Q961" i="2"/>
  <c r="Y960" i="2"/>
  <c r="T960" i="2"/>
  <c r="AA959" i="2"/>
  <c r="V959" i="2"/>
  <c r="Q959" i="2"/>
  <c r="Y958" i="2"/>
  <c r="T958" i="2"/>
  <c r="AA957" i="2"/>
  <c r="V957" i="2"/>
  <c r="Q957" i="2"/>
  <c r="Y956" i="2"/>
  <c r="T956" i="2"/>
  <c r="AA955" i="2"/>
  <c r="V955" i="2"/>
  <c r="Q955" i="2"/>
  <c r="Y954" i="2"/>
  <c r="T954" i="2"/>
  <c r="AA953" i="2"/>
  <c r="V953" i="2"/>
  <c r="Q953" i="2"/>
  <c r="Y952" i="2"/>
  <c r="T952" i="2"/>
  <c r="AA951" i="2"/>
  <c r="V951" i="2"/>
  <c r="Q951" i="2"/>
  <c r="Y950" i="2"/>
  <c r="T950" i="2"/>
  <c r="AA949" i="2"/>
  <c r="V949" i="2"/>
  <c r="Q949" i="2"/>
  <c r="Y948" i="2"/>
  <c r="T948" i="2"/>
  <c r="AA947" i="2"/>
  <c r="V947" i="2"/>
  <c r="Q947" i="2"/>
  <c r="Y946" i="2"/>
  <c r="T946" i="2"/>
  <c r="AA945" i="2"/>
  <c r="V945" i="2"/>
  <c r="Q945" i="2"/>
  <c r="Y944" i="2"/>
  <c r="T944" i="2"/>
  <c r="AA943" i="2"/>
  <c r="V943" i="2"/>
  <c r="Q943" i="2"/>
  <c r="Y942" i="2"/>
  <c r="T942" i="2"/>
  <c r="AA941" i="2"/>
  <c r="V941" i="2"/>
  <c r="Q941" i="2"/>
  <c r="Y940" i="2"/>
  <c r="T940" i="2"/>
  <c r="AA939" i="2"/>
  <c r="V939" i="2"/>
  <c r="Q939" i="2"/>
  <c r="Y938" i="2"/>
  <c r="T938" i="2"/>
  <c r="AA937" i="2"/>
  <c r="V937" i="2"/>
  <c r="Q937" i="2"/>
  <c r="Y936" i="2"/>
  <c r="T936" i="2"/>
  <c r="AA935" i="2"/>
  <c r="V935" i="2"/>
  <c r="Q935" i="2"/>
  <c r="Y934" i="2"/>
  <c r="T934" i="2"/>
  <c r="AA933" i="2"/>
  <c r="V933" i="2"/>
  <c r="Q933" i="2"/>
  <c r="Y932" i="2"/>
  <c r="T932" i="2"/>
  <c r="AA931" i="2"/>
  <c r="V931" i="2"/>
  <c r="Q931" i="2"/>
  <c r="Y930" i="2"/>
  <c r="T930" i="2"/>
  <c r="AA929" i="2"/>
  <c r="V929" i="2"/>
  <c r="Q929" i="2"/>
  <c r="Y928" i="2"/>
  <c r="T928" i="2"/>
  <c r="AA927" i="2"/>
  <c r="V927" i="2"/>
  <c r="Q927" i="2"/>
  <c r="Y926" i="2"/>
  <c r="T926" i="2"/>
  <c r="AA925" i="2"/>
  <c r="V925" i="2"/>
  <c r="Q925" i="2"/>
  <c r="Y924" i="2"/>
  <c r="T924" i="2"/>
  <c r="AA923" i="2"/>
  <c r="V923" i="2"/>
  <c r="Q923" i="2"/>
  <c r="Y922" i="2"/>
  <c r="T922" i="2"/>
  <c r="AA921" i="2"/>
  <c r="V921" i="2"/>
  <c r="Q921" i="2"/>
  <c r="Y920" i="2"/>
  <c r="T920" i="2"/>
  <c r="AA919" i="2"/>
  <c r="V919" i="2"/>
  <c r="Q919" i="2"/>
  <c r="Y918" i="2"/>
  <c r="T918" i="2"/>
  <c r="AA917" i="2"/>
  <c r="V917" i="2"/>
  <c r="Q917" i="2"/>
  <c r="Y916" i="2"/>
  <c r="T916" i="2"/>
  <c r="AA915" i="2"/>
  <c r="V915" i="2"/>
  <c r="Q915" i="2"/>
  <c r="Y914" i="2"/>
  <c r="T914" i="2"/>
  <c r="AA913" i="2"/>
  <c r="V913" i="2"/>
  <c r="Q913" i="2"/>
  <c r="Y912" i="2"/>
  <c r="T912" i="2"/>
  <c r="AA911" i="2"/>
  <c r="V911" i="2"/>
  <c r="Q911" i="2"/>
  <c r="Y910" i="2"/>
  <c r="T910" i="2"/>
  <c r="AA909" i="2"/>
  <c r="V909" i="2"/>
  <c r="Q909" i="2"/>
  <c r="Y908" i="2"/>
  <c r="T908" i="2"/>
  <c r="AA907" i="2"/>
  <c r="V907" i="2"/>
  <c r="Q907" i="2"/>
  <c r="Y906" i="2"/>
  <c r="T906" i="2"/>
  <c r="AA905" i="2"/>
  <c r="V905" i="2"/>
  <c r="Q905" i="2"/>
  <c r="Y904" i="2"/>
  <c r="T904" i="2"/>
  <c r="AA903" i="2"/>
  <c r="V903" i="2"/>
  <c r="Q903" i="2"/>
  <c r="Y902" i="2"/>
  <c r="T902" i="2"/>
  <c r="AA901" i="2"/>
  <c r="V901" i="2"/>
  <c r="Q901" i="2"/>
  <c r="Y900" i="2"/>
  <c r="T900" i="2"/>
  <c r="AA899" i="2"/>
  <c r="V899" i="2"/>
  <c r="Q899" i="2"/>
  <c r="Y898" i="2"/>
  <c r="T898" i="2"/>
  <c r="AA897" i="2"/>
  <c r="V897" i="2"/>
  <c r="Q897" i="2"/>
  <c r="AA895" i="2"/>
  <c r="V895" i="2"/>
  <c r="Q895" i="2"/>
  <c r="AA893" i="2"/>
  <c r="V893" i="2"/>
  <c r="Q893" i="2"/>
  <c r="AA891" i="2"/>
  <c r="V891" i="2"/>
  <c r="Q891" i="2"/>
  <c r="AA889" i="2"/>
  <c r="V889" i="2"/>
  <c r="Q889" i="2"/>
  <c r="AA887" i="2"/>
  <c r="V887" i="2"/>
  <c r="Q887" i="2"/>
  <c r="AA885" i="2"/>
  <c r="V885" i="2"/>
  <c r="Q885" i="2"/>
  <c r="AA883" i="2"/>
  <c r="V883" i="2"/>
  <c r="Q883" i="2"/>
  <c r="AA881" i="2"/>
  <c r="V881" i="2"/>
  <c r="Q881" i="2"/>
  <c r="AA879" i="2"/>
  <c r="V879" i="2"/>
  <c r="Q879" i="2"/>
  <c r="AA877" i="2"/>
  <c r="V877" i="2"/>
  <c r="Q877" i="2"/>
  <c r="Z875" i="2"/>
  <c r="R875" i="2"/>
  <c r="Z873" i="2"/>
  <c r="R873" i="2"/>
  <c r="Z871" i="2"/>
  <c r="R871" i="2"/>
  <c r="Z869" i="2"/>
  <c r="R869" i="2"/>
  <c r="O867" i="2"/>
  <c r="S867" i="2"/>
  <c r="W867" i="2"/>
  <c r="AA867" i="2"/>
  <c r="N867" i="2"/>
  <c r="T867" i="2"/>
  <c r="Y867" i="2"/>
  <c r="P867" i="2"/>
  <c r="U867" i="2"/>
  <c r="Z867" i="2"/>
  <c r="AC865" i="2"/>
  <c r="O863" i="2"/>
  <c r="S863" i="2"/>
  <c r="W863" i="2"/>
  <c r="AA863" i="2"/>
  <c r="N863" i="2"/>
  <c r="T863" i="2"/>
  <c r="Y863" i="2"/>
  <c r="P863" i="2"/>
  <c r="U863" i="2"/>
  <c r="Z863" i="2"/>
  <c r="AC861" i="2"/>
  <c r="R861" i="2"/>
  <c r="O859" i="2"/>
  <c r="S859" i="2"/>
  <c r="W859" i="2"/>
  <c r="AA859" i="2"/>
  <c r="N859" i="2"/>
  <c r="T859" i="2"/>
  <c r="Y859" i="2"/>
  <c r="P859" i="2"/>
  <c r="U859" i="2"/>
  <c r="Z859" i="2"/>
  <c r="AC857" i="2"/>
  <c r="O855" i="2"/>
  <c r="S855" i="2"/>
  <c r="W855" i="2"/>
  <c r="AA855" i="2"/>
  <c r="N855" i="2"/>
  <c r="T855" i="2"/>
  <c r="Y855" i="2"/>
  <c r="P855" i="2"/>
  <c r="U855" i="2"/>
  <c r="Z855" i="2"/>
  <c r="AC853" i="2"/>
  <c r="R853" i="2"/>
  <c r="O851" i="2"/>
  <c r="S851" i="2"/>
  <c r="W851" i="2"/>
  <c r="AA851" i="2"/>
  <c r="N851" i="2"/>
  <c r="T851" i="2"/>
  <c r="Y851" i="2"/>
  <c r="P851" i="2"/>
  <c r="U851" i="2"/>
  <c r="Z851" i="2"/>
  <c r="AC849" i="2"/>
  <c r="O847" i="2"/>
  <c r="S847" i="2"/>
  <c r="W847" i="2"/>
  <c r="AA847" i="2"/>
  <c r="N847" i="2"/>
  <c r="T847" i="2"/>
  <c r="Y847" i="2"/>
  <c r="P847" i="2"/>
  <c r="U847" i="2"/>
  <c r="Z847" i="2"/>
  <c r="AC845" i="2"/>
  <c r="R845" i="2"/>
  <c r="O843" i="2"/>
  <c r="S843" i="2"/>
  <c r="W843" i="2"/>
  <c r="AA843" i="2"/>
  <c r="N843" i="2"/>
  <c r="T843" i="2"/>
  <c r="Y843" i="2"/>
  <c r="P843" i="2"/>
  <c r="U843" i="2"/>
  <c r="Z843" i="2"/>
  <c r="AC841" i="2"/>
  <c r="O839" i="2"/>
  <c r="S839" i="2"/>
  <c r="W839" i="2"/>
  <c r="AA839" i="2"/>
  <c r="N839" i="2"/>
  <c r="T839" i="2"/>
  <c r="Y839" i="2"/>
  <c r="P839" i="2"/>
  <c r="U839" i="2"/>
  <c r="Z839" i="2"/>
  <c r="AC837" i="2"/>
  <c r="R837" i="2"/>
  <c r="O835" i="2"/>
  <c r="S835" i="2"/>
  <c r="W835" i="2"/>
  <c r="AA835" i="2"/>
  <c r="N835" i="2"/>
  <c r="T835" i="2"/>
  <c r="Y835" i="2"/>
  <c r="P835" i="2"/>
  <c r="U835" i="2"/>
  <c r="Z835" i="2"/>
  <c r="AC833" i="2"/>
  <c r="T827" i="2"/>
  <c r="U825" i="2"/>
  <c r="U817" i="2"/>
  <c r="Y813" i="2"/>
  <c r="W811" i="2"/>
  <c r="P797" i="2"/>
  <c r="T797" i="2"/>
  <c r="X797" i="2"/>
  <c r="AB797" i="2"/>
  <c r="O797" i="2"/>
  <c r="U797" i="2"/>
  <c r="Z797" i="2"/>
  <c r="Q797" i="2"/>
  <c r="V797" i="2"/>
  <c r="AA797" i="2"/>
  <c r="R797" i="2"/>
  <c r="AC797" i="2"/>
  <c r="S797" i="2"/>
  <c r="N797" i="2"/>
  <c r="W797" i="2"/>
  <c r="P773" i="2"/>
  <c r="T773" i="2"/>
  <c r="X773" i="2"/>
  <c r="AB773" i="2"/>
  <c r="O773" i="2"/>
  <c r="U773" i="2"/>
  <c r="Z773" i="2"/>
  <c r="Q773" i="2"/>
  <c r="V773" i="2"/>
  <c r="AA773" i="2"/>
  <c r="R773" i="2"/>
  <c r="AC773" i="2"/>
  <c r="S773" i="2"/>
  <c r="W773" i="2"/>
  <c r="Y773" i="2"/>
  <c r="V869" i="2"/>
  <c r="O865" i="2"/>
  <c r="S865" i="2"/>
  <c r="W865" i="2"/>
  <c r="AA865" i="2"/>
  <c r="N865" i="2"/>
  <c r="T865" i="2"/>
  <c r="Y865" i="2"/>
  <c r="P865" i="2"/>
  <c r="U865" i="2"/>
  <c r="Z865" i="2"/>
  <c r="X861" i="2"/>
  <c r="O857" i="2"/>
  <c r="S857" i="2"/>
  <c r="W857" i="2"/>
  <c r="AA857" i="2"/>
  <c r="N857" i="2"/>
  <c r="T857" i="2"/>
  <c r="Y857" i="2"/>
  <c r="P857" i="2"/>
  <c r="U857" i="2"/>
  <c r="Z857" i="2"/>
  <c r="X853" i="2"/>
  <c r="O849" i="2"/>
  <c r="S849" i="2"/>
  <c r="W849" i="2"/>
  <c r="AA849" i="2"/>
  <c r="N849" i="2"/>
  <c r="T849" i="2"/>
  <c r="Y849" i="2"/>
  <c r="P849" i="2"/>
  <c r="U849" i="2"/>
  <c r="Z849" i="2"/>
  <c r="X845" i="2"/>
  <c r="O841" i="2"/>
  <c r="S841" i="2"/>
  <c r="W841" i="2"/>
  <c r="AA841" i="2"/>
  <c r="N841" i="2"/>
  <c r="T841" i="2"/>
  <c r="Y841" i="2"/>
  <c r="P841" i="2"/>
  <c r="U841" i="2"/>
  <c r="Z841" i="2"/>
  <c r="X837" i="2"/>
  <c r="O833" i="2"/>
  <c r="S833" i="2"/>
  <c r="W833" i="2"/>
  <c r="AA833" i="2"/>
  <c r="N833" i="2"/>
  <c r="T833" i="2"/>
  <c r="Y833" i="2"/>
  <c r="P833" i="2"/>
  <c r="U833" i="2"/>
  <c r="Z833" i="2"/>
  <c r="Z827" i="2"/>
  <c r="O819" i="2"/>
  <c r="S819" i="2"/>
  <c r="W819" i="2"/>
  <c r="AA819" i="2"/>
  <c r="Q819" i="2"/>
  <c r="V819" i="2"/>
  <c r="AB819" i="2"/>
  <c r="N819" i="2"/>
  <c r="U819" i="2"/>
  <c r="AC819" i="2"/>
  <c r="P819" i="2"/>
  <c r="X819" i="2"/>
  <c r="P803" i="2"/>
  <c r="T803" i="2"/>
  <c r="X803" i="2"/>
  <c r="AB803" i="2"/>
  <c r="O803" i="2"/>
  <c r="U803" i="2"/>
  <c r="Z803" i="2"/>
  <c r="Q803" i="2"/>
  <c r="V803" i="2"/>
  <c r="AA803" i="2"/>
  <c r="N803" i="2"/>
  <c r="Y803" i="2"/>
  <c r="R803" i="2"/>
  <c r="AC803" i="2"/>
  <c r="S803" i="2"/>
  <c r="W803" i="2"/>
  <c r="N740" i="2"/>
  <c r="R740" i="2"/>
  <c r="V740" i="2"/>
  <c r="Z740" i="2"/>
  <c r="Q740" i="2"/>
  <c r="W740" i="2"/>
  <c r="AB740" i="2"/>
  <c r="O740" i="2"/>
  <c r="U740" i="2"/>
  <c r="AC740" i="2"/>
  <c r="P740" i="2"/>
  <c r="X740" i="2"/>
  <c r="T740" i="2"/>
  <c r="Y740" i="2"/>
  <c r="S740" i="2"/>
  <c r="AA740" i="2"/>
  <c r="AC1091" i="2"/>
  <c r="Y1091" i="2"/>
  <c r="U1091" i="2"/>
  <c r="Q1091" i="2"/>
  <c r="AC1087" i="2"/>
  <c r="Y1087" i="2"/>
  <c r="U1087" i="2"/>
  <c r="Q1087" i="2"/>
  <c r="AC1083" i="2"/>
  <c r="Y1083" i="2"/>
  <c r="U1083" i="2"/>
  <c r="Q1083" i="2"/>
  <c r="AC1079" i="2"/>
  <c r="Y1079" i="2"/>
  <c r="U1079" i="2"/>
  <c r="Q1079" i="2"/>
  <c r="AC1075" i="2"/>
  <c r="Y1075" i="2"/>
  <c r="U1075" i="2"/>
  <c r="Q1075" i="2"/>
  <c r="AC1071" i="2"/>
  <c r="Y1071" i="2"/>
  <c r="U1071" i="2"/>
  <c r="Q1071" i="2"/>
  <c r="AC1067" i="2"/>
  <c r="Y1067" i="2"/>
  <c r="U1067" i="2"/>
  <c r="Q1067" i="2"/>
  <c r="AC1063" i="2"/>
  <c r="Y1063" i="2"/>
  <c r="U1063" i="2"/>
  <c r="Q1063" i="2"/>
  <c r="AC1059" i="2"/>
  <c r="Y1059" i="2"/>
  <c r="U1059" i="2"/>
  <c r="Q1059" i="2"/>
  <c r="AC1055" i="2"/>
  <c r="Y1055" i="2"/>
  <c r="U1055" i="2"/>
  <c r="Q1055" i="2"/>
  <c r="AC1051" i="2"/>
  <c r="Y1051" i="2"/>
  <c r="U1051" i="2"/>
  <c r="Q1051" i="2"/>
  <c r="AC1047" i="2"/>
  <c r="Y1047" i="2"/>
  <c r="U1047" i="2"/>
  <c r="Q1047" i="2"/>
  <c r="AC1043" i="2"/>
  <c r="Y1043" i="2"/>
  <c r="U1043" i="2"/>
  <c r="Q1043" i="2"/>
  <c r="AC1039" i="2"/>
  <c r="Y1039" i="2"/>
  <c r="U1039" i="2"/>
  <c r="Q1039" i="2"/>
  <c r="AC1035" i="2"/>
  <c r="Y1035" i="2"/>
  <c r="U1035" i="2"/>
  <c r="Q1035" i="2"/>
  <c r="AC1031" i="2"/>
  <c r="Y1031" i="2"/>
  <c r="U1031" i="2"/>
  <c r="Q1031" i="2"/>
  <c r="AC1027" i="2"/>
  <c r="Y1027" i="2"/>
  <c r="U1027" i="2"/>
  <c r="Q1027" i="2"/>
  <c r="AC1023" i="2"/>
  <c r="Y1023" i="2"/>
  <c r="U1023" i="2"/>
  <c r="Q1023" i="2"/>
  <c r="AC1019" i="2"/>
  <c r="Y1019" i="2"/>
  <c r="U1019" i="2"/>
  <c r="Q1019" i="2"/>
  <c r="P1017" i="2"/>
  <c r="T1017" i="2"/>
  <c r="X1017" i="2"/>
  <c r="AB1017" i="2"/>
  <c r="P1015" i="2"/>
  <c r="T1015" i="2"/>
  <c r="X1015" i="2"/>
  <c r="AB1015" i="2"/>
  <c r="AC1013" i="2"/>
  <c r="W1013" i="2"/>
  <c r="R1013" i="2"/>
  <c r="AA1091" i="2"/>
  <c r="W1091" i="2"/>
  <c r="S1091" i="2"/>
  <c r="AA1089" i="2"/>
  <c r="W1089" i="2"/>
  <c r="S1089" i="2"/>
  <c r="AA1087" i="2"/>
  <c r="W1087" i="2"/>
  <c r="S1087" i="2"/>
  <c r="AA1085" i="2"/>
  <c r="W1085" i="2"/>
  <c r="S1085" i="2"/>
  <c r="AA1083" i="2"/>
  <c r="W1083" i="2"/>
  <c r="S1083" i="2"/>
  <c r="AA1081" i="2"/>
  <c r="W1081" i="2"/>
  <c r="S1081" i="2"/>
  <c r="AA1079" i="2"/>
  <c r="W1079" i="2"/>
  <c r="S1079" i="2"/>
  <c r="AA1077" i="2"/>
  <c r="W1077" i="2"/>
  <c r="S1077" i="2"/>
  <c r="AA1075" i="2"/>
  <c r="W1075" i="2"/>
  <c r="S1075" i="2"/>
  <c r="AA1073" i="2"/>
  <c r="W1073" i="2"/>
  <c r="S1073" i="2"/>
  <c r="AA1071" i="2"/>
  <c r="W1071" i="2"/>
  <c r="S1071" i="2"/>
  <c r="AA1069" i="2"/>
  <c r="W1069" i="2"/>
  <c r="S1069" i="2"/>
  <c r="AA1067" i="2"/>
  <c r="W1067" i="2"/>
  <c r="S1067" i="2"/>
  <c r="AA1065" i="2"/>
  <c r="W1065" i="2"/>
  <c r="S1065" i="2"/>
  <c r="AA1063" i="2"/>
  <c r="W1063" i="2"/>
  <c r="S1063" i="2"/>
  <c r="AA1061" i="2"/>
  <c r="W1061" i="2"/>
  <c r="S1061" i="2"/>
  <c r="AA1059" i="2"/>
  <c r="W1059" i="2"/>
  <c r="S1059" i="2"/>
  <c r="AA1057" i="2"/>
  <c r="W1057" i="2"/>
  <c r="S1057" i="2"/>
  <c r="AA1055" i="2"/>
  <c r="W1055" i="2"/>
  <c r="S1055" i="2"/>
  <c r="AA1053" i="2"/>
  <c r="W1053" i="2"/>
  <c r="S1053" i="2"/>
  <c r="AA1051" i="2"/>
  <c r="W1051" i="2"/>
  <c r="S1051" i="2"/>
  <c r="AA1049" i="2"/>
  <c r="W1049" i="2"/>
  <c r="S1049" i="2"/>
  <c r="AA1047" i="2"/>
  <c r="W1047" i="2"/>
  <c r="S1047" i="2"/>
  <c r="AA1045" i="2"/>
  <c r="W1045" i="2"/>
  <c r="S1045" i="2"/>
  <c r="AA1043" i="2"/>
  <c r="W1043" i="2"/>
  <c r="S1043" i="2"/>
  <c r="AA1041" i="2"/>
  <c r="W1041" i="2"/>
  <c r="S1041" i="2"/>
  <c r="AA1039" i="2"/>
  <c r="W1039" i="2"/>
  <c r="S1039" i="2"/>
  <c r="AA1037" i="2"/>
  <c r="W1037" i="2"/>
  <c r="S1037" i="2"/>
  <c r="AA1035" i="2"/>
  <c r="W1035" i="2"/>
  <c r="S1035" i="2"/>
  <c r="AA1033" i="2"/>
  <c r="W1033" i="2"/>
  <c r="S1033" i="2"/>
  <c r="AA1031" i="2"/>
  <c r="W1031" i="2"/>
  <c r="S1031" i="2"/>
  <c r="AA1029" i="2"/>
  <c r="W1029" i="2"/>
  <c r="S1029" i="2"/>
  <c r="AA1027" i="2"/>
  <c r="W1027" i="2"/>
  <c r="S1027" i="2"/>
  <c r="AA1025" i="2"/>
  <c r="W1025" i="2"/>
  <c r="S1025" i="2"/>
  <c r="AA1023" i="2"/>
  <c r="W1023" i="2"/>
  <c r="S1023" i="2"/>
  <c r="AA1021" i="2"/>
  <c r="W1021" i="2"/>
  <c r="S1021" i="2"/>
  <c r="AA1019" i="2"/>
  <c r="W1019" i="2"/>
  <c r="S1019" i="2"/>
  <c r="Z1017" i="2"/>
  <c r="U1017" i="2"/>
  <c r="O1017" i="2"/>
  <c r="N1016" i="2"/>
  <c r="R1016" i="2"/>
  <c r="V1016" i="2"/>
  <c r="Z1016" i="2"/>
  <c r="Z1015" i="2"/>
  <c r="U1015" i="2"/>
  <c r="O1015" i="2"/>
  <c r="N1014" i="2"/>
  <c r="R1014" i="2"/>
  <c r="V1014" i="2"/>
  <c r="Z1014" i="2"/>
  <c r="Z1013" i="2"/>
  <c r="U1013" i="2"/>
  <c r="O1013" i="2"/>
  <c r="N1012" i="2"/>
  <c r="R1012" i="2"/>
  <c r="V1012" i="2"/>
  <c r="Z1012" i="2"/>
  <c r="Z1011" i="2"/>
  <c r="U1011" i="2"/>
  <c r="O1011" i="2"/>
  <c r="N1010" i="2"/>
  <c r="R1010" i="2"/>
  <c r="V1010" i="2"/>
  <c r="Z1010" i="2"/>
  <c r="Z1009" i="2"/>
  <c r="U1009" i="2"/>
  <c r="O1009" i="2"/>
  <c r="N1008" i="2"/>
  <c r="R1008" i="2"/>
  <c r="V1008" i="2"/>
  <c r="Z1008" i="2"/>
  <c r="Z1007" i="2"/>
  <c r="U1007" i="2"/>
  <c r="O1007" i="2"/>
  <c r="N1006" i="2"/>
  <c r="R1006" i="2"/>
  <c r="V1006" i="2"/>
  <c r="Z1006" i="2"/>
  <c r="Z1005" i="2"/>
  <c r="U1005" i="2"/>
  <c r="O1005" i="2"/>
  <c r="N1004" i="2"/>
  <c r="R1004" i="2"/>
  <c r="V1004" i="2"/>
  <c r="Z1004" i="2"/>
  <c r="Z1003" i="2"/>
  <c r="U1003" i="2"/>
  <c r="O1003" i="2"/>
  <c r="N1002" i="2"/>
  <c r="R1002" i="2"/>
  <c r="V1002" i="2"/>
  <c r="Z1002" i="2"/>
  <c r="Z1001" i="2"/>
  <c r="U1001" i="2"/>
  <c r="O1001" i="2"/>
  <c r="N1000" i="2"/>
  <c r="R1000" i="2"/>
  <c r="V1000" i="2"/>
  <c r="Z1000" i="2"/>
  <c r="Z999" i="2"/>
  <c r="U999" i="2"/>
  <c r="O999" i="2"/>
  <c r="N998" i="2"/>
  <c r="R998" i="2"/>
  <c r="V998" i="2"/>
  <c r="Z998" i="2"/>
  <c r="Z997" i="2"/>
  <c r="U997" i="2"/>
  <c r="O997" i="2"/>
  <c r="N996" i="2"/>
  <c r="R996" i="2"/>
  <c r="V996" i="2"/>
  <c r="Z996" i="2"/>
  <c r="Z995" i="2"/>
  <c r="U995" i="2"/>
  <c r="O995" i="2"/>
  <c r="N994" i="2"/>
  <c r="R994" i="2"/>
  <c r="V994" i="2"/>
  <c r="Z994" i="2"/>
  <c r="Z993" i="2"/>
  <c r="U993" i="2"/>
  <c r="O993" i="2"/>
  <c r="N992" i="2"/>
  <c r="R992" i="2"/>
  <c r="V992" i="2"/>
  <c r="Z992" i="2"/>
  <c r="Z991" i="2"/>
  <c r="U991" i="2"/>
  <c r="O991" i="2"/>
  <c r="N990" i="2"/>
  <c r="R990" i="2"/>
  <c r="V990" i="2"/>
  <c r="Z990" i="2"/>
  <c r="Z989" i="2"/>
  <c r="U989" i="2"/>
  <c r="O989" i="2"/>
  <c r="N988" i="2"/>
  <c r="R988" i="2"/>
  <c r="V988" i="2"/>
  <c r="Z988" i="2"/>
  <c r="Z987" i="2"/>
  <c r="U987" i="2"/>
  <c r="O987" i="2"/>
  <c r="N986" i="2"/>
  <c r="R986" i="2"/>
  <c r="V986" i="2"/>
  <c r="Z986" i="2"/>
  <c r="Z985" i="2"/>
  <c r="U985" i="2"/>
  <c r="O985" i="2"/>
  <c r="N984" i="2"/>
  <c r="R984" i="2"/>
  <c r="V984" i="2"/>
  <c r="Z984" i="2"/>
  <c r="Z983" i="2"/>
  <c r="U983" i="2"/>
  <c r="O983" i="2"/>
  <c r="N982" i="2"/>
  <c r="R982" i="2"/>
  <c r="V982" i="2"/>
  <c r="Z982" i="2"/>
  <c r="Z981" i="2"/>
  <c r="U981" i="2"/>
  <c r="O981" i="2"/>
  <c r="N980" i="2"/>
  <c r="R980" i="2"/>
  <c r="V980" i="2"/>
  <c r="Z980" i="2"/>
  <c r="Z979" i="2"/>
  <c r="U979" i="2"/>
  <c r="O979" i="2"/>
  <c r="N978" i="2"/>
  <c r="R978" i="2"/>
  <c r="V978" i="2"/>
  <c r="Z978" i="2"/>
  <c r="Z977" i="2"/>
  <c r="U977" i="2"/>
  <c r="O977" i="2"/>
  <c r="N976" i="2"/>
  <c r="R976" i="2"/>
  <c r="V976" i="2"/>
  <c r="Z976" i="2"/>
  <c r="Z975" i="2"/>
  <c r="U975" i="2"/>
  <c r="O975" i="2"/>
  <c r="N974" i="2"/>
  <c r="R974" i="2"/>
  <c r="V974" i="2"/>
  <c r="Z974" i="2"/>
  <c r="Z973" i="2"/>
  <c r="U973" i="2"/>
  <c r="O973" i="2"/>
  <c r="N972" i="2"/>
  <c r="R972" i="2"/>
  <c r="V972" i="2"/>
  <c r="Z972" i="2"/>
  <c r="Z971" i="2"/>
  <c r="U971" i="2"/>
  <c r="O971" i="2"/>
  <c r="N970" i="2"/>
  <c r="R970" i="2"/>
  <c r="V970" i="2"/>
  <c r="Z970" i="2"/>
  <c r="Z969" i="2"/>
  <c r="U969" i="2"/>
  <c r="O969" i="2"/>
  <c r="N968" i="2"/>
  <c r="R968" i="2"/>
  <c r="V968" i="2"/>
  <c r="Z968" i="2"/>
  <c r="Z967" i="2"/>
  <c r="U967" i="2"/>
  <c r="O967" i="2"/>
  <c r="N966" i="2"/>
  <c r="R966" i="2"/>
  <c r="V966" i="2"/>
  <c r="Z966" i="2"/>
  <c r="Z965" i="2"/>
  <c r="U965" i="2"/>
  <c r="O965" i="2"/>
  <c r="N964" i="2"/>
  <c r="R964" i="2"/>
  <c r="V964" i="2"/>
  <c r="Z964" i="2"/>
  <c r="Z963" i="2"/>
  <c r="U963" i="2"/>
  <c r="O963" i="2"/>
  <c r="N962" i="2"/>
  <c r="R962" i="2"/>
  <c r="V962" i="2"/>
  <c r="Z962" i="2"/>
  <c r="Z961" i="2"/>
  <c r="U961" i="2"/>
  <c r="O961" i="2"/>
  <c r="N960" i="2"/>
  <c r="R960" i="2"/>
  <c r="V960" i="2"/>
  <c r="Z960" i="2"/>
  <c r="Z959" i="2"/>
  <c r="U959" i="2"/>
  <c r="O959" i="2"/>
  <c r="N958" i="2"/>
  <c r="R958" i="2"/>
  <c r="V958" i="2"/>
  <c r="Z958" i="2"/>
  <c r="Z957" i="2"/>
  <c r="U957" i="2"/>
  <c r="O957" i="2"/>
  <c r="N956" i="2"/>
  <c r="R956" i="2"/>
  <c r="V956" i="2"/>
  <c r="Z956" i="2"/>
  <c r="Z955" i="2"/>
  <c r="U955" i="2"/>
  <c r="O955" i="2"/>
  <c r="N954" i="2"/>
  <c r="R954" i="2"/>
  <c r="V954" i="2"/>
  <c r="Z954" i="2"/>
  <c r="Z953" i="2"/>
  <c r="U953" i="2"/>
  <c r="O953" i="2"/>
  <c r="N952" i="2"/>
  <c r="R952" i="2"/>
  <c r="V952" i="2"/>
  <c r="Z952" i="2"/>
  <c r="Z951" i="2"/>
  <c r="U951" i="2"/>
  <c r="O951" i="2"/>
  <c r="N950" i="2"/>
  <c r="R950" i="2"/>
  <c r="V950" i="2"/>
  <c r="Z950" i="2"/>
  <c r="Z949" i="2"/>
  <c r="U949" i="2"/>
  <c r="O949" i="2"/>
  <c r="N948" i="2"/>
  <c r="R948" i="2"/>
  <c r="V948" i="2"/>
  <c r="Z948" i="2"/>
  <c r="Z947" i="2"/>
  <c r="U947" i="2"/>
  <c r="O947" i="2"/>
  <c r="N946" i="2"/>
  <c r="R946" i="2"/>
  <c r="V946" i="2"/>
  <c r="Z946" i="2"/>
  <c r="Z945" i="2"/>
  <c r="U945" i="2"/>
  <c r="O945" i="2"/>
  <c r="N944" i="2"/>
  <c r="R944" i="2"/>
  <c r="V944" i="2"/>
  <c r="Z944" i="2"/>
  <c r="Z943" i="2"/>
  <c r="U943" i="2"/>
  <c r="O943" i="2"/>
  <c r="N942" i="2"/>
  <c r="R942" i="2"/>
  <c r="V942" i="2"/>
  <c r="Z942" i="2"/>
  <c r="Z941" i="2"/>
  <c r="U941" i="2"/>
  <c r="O941" i="2"/>
  <c r="N940" i="2"/>
  <c r="R940" i="2"/>
  <c r="V940" i="2"/>
  <c r="Z940" i="2"/>
  <c r="Z939" i="2"/>
  <c r="U939" i="2"/>
  <c r="O939" i="2"/>
  <c r="N938" i="2"/>
  <c r="R938" i="2"/>
  <c r="V938" i="2"/>
  <c r="Z938" i="2"/>
  <c r="Z937" i="2"/>
  <c r="U937" i="2"/>
  <c r="O937" i="2"/>
  <c r="N936" i="2"/>
  <c r="R936" i="2"/>
  <c r="V936" i="2"/>
  <c r="Z936" i="2"/>
  <c r="Z935" i="2"/>
  <c r="U935" i="2"/>
  <c r="O935" i="2"/>
  <c r="N934" i="2"/>
  <c r="R934" i="2"/>
  <c r="V934" i="2"/>
  <c r="Z934" i="2"/>
  <c r="Z933" i="2"/>
  <c r="U933" i="2"/>
  <c r="O933" i="2"/>
  <c r="N932" i="2"/>
  <c r="R932" i="2"/>
  <c r="V932" i="2"/>
  <c r="Z932" i="2"/>
  <c r="Z931" i="2"/>
  <c r="U931" i="2"/>
  <c r="O931" i="2"/>
  <c r="N930" i="2"/>
  <c r="R930" i="2"/>
  <c r="V930" i="2"/>
  <c r="Z930" i="2"/>
  <c r="Z929" i="2"/>
  <c r="U929" i="2"/>
  <c r="O929" i="2"/>
  <c r="N928" i="2"/>
  <c r="R928" i="2"/>
  <c r="V928" i="2"/>
  <c r="Z928" i="2"/>
  <c r="Z927" i="2"/>
  <c r="U927" i="2"/>
  <c r="O927" i="2"/>
  <c r="N926" i="2"/>
  <c r="R926" i="2"/>
  <c r="V926" i="2"/>
  <c r="Z926" i="2"/>
  <c r="Z925" i="2"/>
  <c r="U925" i="2"/>
  <c r="O925" i="2"/>
  <c r="N924" i="2"/>
  <c r="R924" i="2"/>
  <c r="V924" i="2"/>
  <c r="Z924" i="2"/>
  <c r="Z923" i="2"/>
  <c r="U923" i="2"/>
  <c r="O923" i="2"/>
  <c r="N922" i="2"/>
  <c r="R922" i="2"/>
  <c r="V922" i="2"/>
  <c r="Z922" i="2"/>
  <c r="Z921" i="2"/>
  <c r="U921" i="2"/>
  <c r="O921" i="2"/>
  <c r="N920" i="2"/>
  <c r="R920" i="2"/>
  <c r="V920" i="2"/>
  <c r="Z920" i="2"/>
  <c r="Z919" i="2"/>
  <c r="U919" i="2"/>
  <c r="O919" i="2"/>
  <c r="N918" i="2"/>
  <c r="R918" i="2"/>
  <c r="V918" i="2"/>
  <c r="Z918" i="2"/>
  <c r="Z917" i="2"/>
  <c r="U917" i="2"/>
  <c r="O917" i="2"/>
  <c r="N916" i="2"/>
  <c r="R916" i="2"/>
  <c r="V916" i="2"/>
  <c r="Z916" i="2"/>
  <c r="Z915" i="2"/>
  <c r="U915" i="2"/>
  <c r="O915" i="2"/>
  <c r="N914" i="2"/>
  <c r="R914" i="2"/>
  <c r="V914" i="2"/>
  <c r="Z914" i="2"/>
  <c r="Z913" i="2"/>
  <c r="U913" i="2"/>
  <c r="O913" i="2"/>
  <c r="N912" i="2"/>
  <c r="R912" i="2"/>
  <c r="V912" i="2"/>
  <c r="Z912" i="2"/>
  <c r="Z911" i="2"/>
  <c r="U911" i="2"/>
  <c r="O911" i="2"/>
  <c r="N910" i="2"/>
  <c r="R910" i="2"/>
  <c r="V910" i="2"/>
  <c r="Z910" i="2"/>
  <c r="Z909" i="2"/>
  <c r="U909" i="2"/>
  <c r="O909" i="2"/>
  <c r="N908" i="2"/>
  <c r="R908" i="2"/>
  <c r="V908" i="2"/>
  <c r="Z908" i="2"/>
  <c r="Z907" i="2"/>
  <c r="U907" i="2"/>
  <c r="O907" i="2"/>
  <c r="N906" i="2"/>
  <c r="R906" i="2"/>
  <c r="V906" i="2"/>
  <c r="Z906" i="2"/>
  <c r="Z905" i="2"/>
  <c r="U905" i="2"/>
  <c r="O905" i="2"/>
  <c r="N904" i="2"/>
  <c r="R904" i="2"/>
  <c r="V904" i="2"/>
  <c r="Z904" i="2"/>
  <c r="Z903" i="2"/>
  <c r="U903" i="2"/>
  <c r="O903" i="2"/>
  <c r="N902" i="2"/>
  <c r="R902" i="2"/>
  <c r="V902" i="2"/>
  <c r="Z902" i="2"/>
  <c r="Z901" i="2"/>
  <c r="U901" i="2"/>
  <c r="O901" i="2"/>
  <c r="N900" i="2"/>
  <c r="R900" i="2"/>
  <c r="V900" i="2"/>
  <c r="Z900" i="2"/>
  <c r="Z899" i="2"/>
  <c r="U899" i="2"/>
  <c r="O899" i="2"/>
  <c r="N898" i="2"/>
  <c r="R898" i="2"/>
  <c r="V898" i="2"/>
  <c r="Z898" i="2"/>
  <c r="Z897" i="2"/>
  <c r="U897" i="2"/>
  <c r="O897" i="2"/>
  <c r="N896" i="2"/>
  <c r="R896" i="2"/>
  <c r="V896" i="2"/>
  <c r="Z896" i="2"/>
  <c r="Z895" i="2"/>
  <c r="U895" i="2"/>
  <c r="O895" i="2"/>
  <c r="N894" i="2"/>
  <c r="R894" i="2"/>
  <c r="V894" i="2"/>
  <c r="Z894" i="2"/>
  <c r="Z893" i="2"/>
  <c r="U893" i="2"/>
  <c r="O893" i="2"/>
  <c r="N892" i="2"/>
  <c r="R892" i="2"/>
  <c r="V892" i="2"/>
  <c r="Z892" i="2"/>
  <c r="Z891" i="2"/>
  <c r="U891" i="2"/>
  <c r="O891" i="2"/>
  <c r="N890" i="2"/>
  <c r="R890" i="2"/>
  <c r="V890" i="2"/>
  <c r="Z890" i="2"/>
  <c r="Z889" i="2"/>
  <c r="U889" i="2"/>
  <c r="O889" i="2"/>
  <c r="N888" i="2"/>
  <c r="R888" i="2"/>
  <c r="V888" i="2"/>
  <c r="Z888" i="2"/>
  <c r="Z887" i="2"/>
  <c r="U887" i="2"/>
  <c r="O887" i="2"/>
  <c r="N886" i="2"/>
  <c r="R886" i="2"/>
  <c r="V886" i="2"/>
  <c r="Z886" i="2"/>
  <c r="Z885" i="2"/>
  <c r="U885" i="2"/>
  <c r="O885" i="2"/>
  <c r="N884" i="2"/>
  <c r="R884" i="2"/>
  <c r="V884" i="2"/>
  <c r="Z884" i="2"/>
  <c r="Z883" i="2"/>
  <c r="U883" i="2"/>
  <c r="O883" i="2"/>
  <c r="N882" i="2"/>
  <c r="R882" i="2"/>
  <c r="V882" i="2"/>
  <c r="Z882" i="2"/>
  <c r="Z881" i="2"/>
  <c r="U881" i="2"/>
  <c r="O881" i="2"/>
  <c r="N880" i="2"/>
  <c r="R880" i="2"/>
  <c r="V880" i="2"/>
  <c r="Z880" i="2"/>
  <c r="Z879" i="2"/>
  <c r="U879" i="2"/>
  <c r="O879" i="2"/>
  <c r="N878" i="2"/>
  <c r="R878" i="2"/>
  <c r="V878" i="2"/>
  <c r="Z878" i="2"/>
  <c r="Z877" i="2"/>
  <c r="U877" i="2"/>
  <c r="O877" i="2"/>
  <c r="Y875" i="2"/>
  <c r="Q875" i="2"/>
  <c r="Y873" i="2"/>
  <c r="Q873" i="2"/>
  <c r="Y871" i="2"/>
  <c r="Q871" i="2"/>
  <c r="Y869" i="2"/>
  <c r="Q869" i="2"/>
  <c r="V867" i="2"/>
  <c r="AB865" i="2"/>
  <c r="Q865" i="2"/>
  <c r="V863" i="2"/>
  <c r="AB861" i="2"/>
  <c r="Q861" i="2"/>
  <c r="V859" i="2"/>
  <c r="AB857" i="2"/>
  <c r="Q857" i="2"/>
  <c r="V855" i="2"/>
  <c r="AB853" i="2"/>
  <c r="Q853" i="2"/>
  <c r="V851" i="2"/>
  <c r="AB849" i="2"/>
  <c r="Q849" i="2"/>
  <c r="V847" i="2"/>
  <c r="AB845" i="2"/>
  <c r="Q845" i="2"/>
  <c r="V843" i="2"/>
  <c r="AB841" i="2"/>
  <c r="Q841" i="2"/>
  <c r="V839" i="2"/>
  <c r="AB837" i="2"/>
  <c r="Q837" i="2"/>
  <c r="V835" i="2"/>
  <c r="AB833" i="2"/>
  <c r="Q833" i="2"/>
  <c r="R827" i="2"/>
  <c r="T825" i="2"/>
  <c r="R819" i="2"/>
  <c r="T817" i="2"/>
  <c r="W813" i="2"/>
  <c r="U811" i="2"/>
  <c r="P805" i="2"/>
  <c r="T805" i="2"/>
  <c r="X805" i="2"/>
  <c r="AB805" i="2"/>
  <c r="O805" i="2"/>
  <c r="U805" i="2"/>
  <c r="Z805" i="2"/>
  <c r="Q805" i="2"/>
  <c r="V805" i="2"/>
  <c r="AA805" i="2"/>
  <c r="R805" i="2"/>
  <c r="AC805" i="2"/>
  <c r="S805" i="2"/>
  <c r="W805" i="2"/>
  <c r="Y805" i="2"/>
  <c r="S779" i="2"/>
  <c r="P771" i="2"/>
  <c r="T771" i="2"/>
  <c r="X771" i="2"/>
  <c r="AB771" i="2"/>
  <c r="O771" i="2"/>
  <c r="U771" i="2"/>
  <c r="Z771" i="2"/>
  <c r="Q771" i="2"/>
  <c r="V771" i="2"/>
  <c r="AA771" i="2"/>
  <c r="N771" i="2"/>
  <c r="Y771" i="2"/>
  <c r="R771" i="2"/>
  <c r="AC771" i="2"/>
  <c r="S771" i="2"/>
  <c r="W771" i="2"/>
  <c r="P747" i="2"/>
  <c r="T747" i="2"/>
  <c r="X747" i="2"/>
  <c r="AB747" i="2"/>
  <c r="O747" i="2"/>
  <c r="U747" i="2"/>
  <c r="Z747" i="2"/>
  <c r="Q747" i="2"/>
  <c r="V747" i="2"/>
  <c r="AA747" i="2"/>
  <c r="N747" i="2"/>
  <c r="Y747" i="2"/>
  <c r="R747" i="2"/>
  <c r="AC747" i="2"/>
  <c r="W747" i="2"/>
  <c r="Z876" i="2"/>
  <c r="V876" i="2"/>
  <c r="R876" i="2"/>
  <c r="Z874" i="2"/>
  <c r="V874" i="2"/>
  <c r="R874" i="2"/>
  <c r="Z872" i="2"/>
  <c r="V872" i="2"/>
  <c r="R872" i="2"/>
  <c r="Z870" i="2"/>
  <c r="V870" i="2"/>
  <c r="R870" i="2"/>
  <c r="O831" i="2"/>
  <c r="S831" i="2"/>
  <c r="W831" i="2"/>
  <c r="AA831" i="2"/>
  <c r="Q831" i="2"/>
  <c r="V831" i="2"/>
  <c r="AC829" i="2"/>
  <c r="U829" i="2"/>
  <c r="O823" i="2"/>
  <c r="S823" i="2"/>
  <c r="W823" i="2"/>
  <c r="AA823" i="2"/>
  <c r="Q823" i="2"/>
  <c r="V823" i="2"/>
  <c r="AB823" i="2"/>
  <c r="AC821" i="2"/>
  <c r="U821" i="2"/>
  <c r="O815" i="2"/>
  <c r="S815" i="2"/>
  <c r="W815" i="2"/>
  <c r="AA815" i="2"/>
  <c r="Q815" i="2"/>
  <c r="V815" i="2"/>
  <c r="AB815" i="2"/>
  <c r="N810" i="2"/>
  <c r="R810" i="2"/>
  <c r="V810" i="2"/>
  <c r="Z810" i="2"/>
  <c r="O810" i="2"/>
  <c r="T810" i="2"/>
  <c r="Y810" i="2"/>
  <c r="Q810" i="2"/>
  <c r="X810" i="2"/>
  <c r="P787" i="2"/>
  <c r="T787" i="2"/>
  <c r="X787" i="2"/>
  <c r="AB787" i="2"/>
  <c r="O787" i="2"/>
  <c r="U787" i="2"/>
  <c r="Z787" i="2"/>
  <c r="Q787" i="2"/>
  <c r="V787" i="2"/>
  <c r="AA787" i="2"/>
  <c r="N787" i="2"/>
  <c r="Y787" i="2"/>
  <c r="R787" i="2"/>
  <c r="AC787" i="2"/>
  <c r="P781" i="2"/>
  <c r="T781" i="2"/>
  <c r="X781" i="2"/>
  <c r="AB781" i="2"/>
  <c r="O781" i="2"/>
  <c r="U781" i="2"/>
  <c r="Z781" i="2"/>
  <c r="Q781" i="2"/>
  <c r="V781" i="2"/>
  <c r="AA781" i="2"/>
  <c r="R781" i="2"/>
  <c r="AC781" i="2"/>
  <c r="S781" i="2"/>
  <c r="P755" i="2"/>
  <c r="T755" i="2"/>
  <c r="X755" i="2"/>
  <c r="AB755" i="2"/>
  <c r="O755" i="2"/>
  <c r="U755" i="2"/>
  <c r="Z755" i="2"/>
  <c r="Q755" i="2"/>
  <c r="V755" i="2"/>
  <c r="AA755" i="2"/>
  <c r="N755" i="2"/>
  <c r="Y755" i="2"/>
  <c r="R755" i="2"/>
  <c r="AC755" i="2"/>
  <c r="P749" i="2"/>
  <c r="T749" i="2"/>
  <c r="X749" i="2"/>
  <c r="AB749" i="2"/>
  <c r="O749" i="2"/>
  <c r="U749" i="2"/>
  <c r="Z749" i="2"/>
  <c r="Q749" i="2"/>
  <c r="V749" i="2"/>
  <c r="AA749" i="2"/>
  <c r="R749" i="2"/>
  <c r="AC749" i="2"/>
  <c r="S749" i="2"/>
  <c r="P737" i="2"/>
  <c r="T737" i="2"/>
  <c r="X737" i="2"/>
  <c r="AB737" i="2"/>
  <c r="N737" i="2"/>
  <c r="S737" i="2"/>
  <c r="Y737" i="2"/>
  <c r="Q737" i="2"/>
  <c r="W737" i="2"/>
  <c r="R737" i="2"/>
  <c r="Z737" i="2"/>
  <c r="U737" i="2"/>
  <c r="V737" i="2"/>
  <c r="O829" i="2"/>
  <c r="S829" i="2"/>
  <c r="W829" i="2"/>
  <c r="AA829" i="2"/>
  <c r="Q829" i="2"/>
  <c r="V829" i="2"/>
  <c r="AB829" i="2"/>
  <c r="O821" i="2"/>
  <c r="S821" i="2"/>
  <c r="W821" i="2"/>
  <c r="AA821" i="2"/>
  <c r="Q821" i="2"/>
  <c r="V821" i="2"/>
  <c r="AB821" i="2"/>
  <c r="P795" i="2"/>
  <c r="T795" i="2"/>
  <c r="X795" i="2"/>
  <c r="AB795" i="2"/>
  <c r="O795" i="2"/>
  <c r="U795" i="2"/>
  <c r="Z795" i="2"/>
  <c r="Q795" i="2"/>
  <c r="V795" i="2"/>
  <c r="AA795" i="2"/>
  <c r="N795" i="2"/>
  <c r="Y795" i="2"/>
  <c r="R795" i="2"/>
  <c r="AC795" i="2"/>
  <c r="P789" i="2"/>
  <c r="T789" i="2"/>
  <c r="X789" i="2"/>
  <c r="AB789" i="2"/>
  <c r="O789" i="2"/>
  <c r="U789" i="2"/>
  <c r="Z789" i="2"/>
  <c r="Q789" i="2"/>
  <c r="V789" i="2"/>
  <c r="AA789" i="2"/>
  <c r="R789" i="2"/>
  <c r="AC789" i="2"/>
  <c r="S789" i="2"/>
  <c r="P763" i="2"/>
  <c r="T763" i="2"/>
  <c r="X763" i="2"/>
  <c r="AB763" i="2"/>
  <c r="O763" i="2"/>
  <c r="U763" i="2"/>
  <c r="Z763" i="2"/>
  <c r="Q763" i="2"/>
  <c r="V763" i="2"/>
  <c r="AA763" i="2"/>
  <c r="N763" i="2"/>
  <c r="Y763" i="2"/>
  <c r="R763" i="2"/>
  <c r="AC763" i="2"/>
  <c r="P757" i="2"/>
  <c r="T757" i="2"/>
  <c r="X757" i="2"/>
  <c r="AB757" i="2"/>
  <c r="O757" i="2"/>
  <c r="U757" i="2"/>
  <c r="Z757" i="2"/>
  <c r="Q757" i="2"/>
  <c r="V757" i="2"/>
  <c r="AA757" i="2"/>
  <c r="R757" i="2"/>
  <c r="AC757" i="2"/>
  <c r="S757" i="2"/>
  <c r="P697" i="2"/>
  <c r="T697" i="2"/>
  <c r="X697" i="2"/>
  <c r="AB697" i="2"/>
  <c r="O697" i="2"/>
  <c r="U697" i="2"/>
  <c r="Z697" i="2"/>
  <c r="Q697" i="2"/>
  <c r="V697" i="2"/>
  <c r="AA697" i="2"/>
  <c r="R697" i="2"/>
  <c r="AC697" i="2"/>
  <c r="S697" i="2"/>
  <c r="N697" i="2"/>
  <c r="W697" i="2"/>
  <c r="Y697" i="2"/>
  <c r="N812" i="2"/>
  <c r="R812" i="2"/>
  <c r="V812" i="2"/>
  <c r="Z812" i="2"/>
  <c r="O812" i="2"/>
  <c r="T812" i="2"/>
  <c r="Y812" i="2"/>
  <c r="AC809" i="2"/>
  <c r="U809" i="2"/>
  <c r="P807" i="2"/>
  <c r="T807" i="2"/>
  <c r="X807" i="2"/>
  <c r="AB807" i="2"/>
  <c r="O807" i="2"/>
  <c r="U807" i="2"/>
  <c r="Z807" i="2"/>
  <c r="Q807" i="2"/>
  <c r="V807" i="2"/>
  <c r="AA807" i="2"/>
  <c r="Y801" i="2"/>
  <c r="P799" i="2"/>
  <c r="T799" i="2"/>
  <c r="X799" i="2"/>
  <c r="AB799" i="2"/>
  <c r="O799" i="2"/>
  <c r="U799" i="2"/>
  <c r="Z799" i="2"/>
  <c r="Q799" i="2"/>
  <c r="V799" i="2"/>
  <c r="AA799" i="2"/>
  <c r="Y793" i="2"/>
  <c r="P791" i="2"/>
  <c r="T791" i="2"/>
  <c r="X791" i="2"/>
  <c r="AB791" i="2"/>
  <c r="O791" i="2"/>
  <c r="U791" i="2"/>
  <c r="Z791" i="2"/>
  <c r="Q791" i="2"/>
  <c r="V791" i="2"/>
  <c r="AA791" i="2"/>
  <c r="Y785" i="2"/>
  <c r="P783" i="2"/>
  <c r="T783" i="2"/>
  <c r="X783" i="2"/>
  <c r="AB783" i="2"/>
  <c r="O783" i="2"/>
  <c r="U783" i="2"/>
  <c r="Z783" i="2"/>
  <c r="Q783" i="2"/>
  <c r="V783" i="2"/>
  <c r="AA783" i="2"/>
  <c r="Y777" i="2"/>
  <c r="P775" i="2"/>
  <c r="T775" i="2"/>
  <c r="X775" i="2"/>
  <c r="AB775" i="2"/>
  <c r="O775" i="2"/>
  <c r="U775" i="2"/>
  <c r="Z775" i="2"/>
  <c r="Q775" i="2"/>
  <c r="V775" i="2"/>
  <c r="AA775" i="2"/>
  <c r="Y769" i="2"/>
  <c r="P767" i="2"/>
  <c r="T767" i="2"/>
  <c r="X767" i="2"/>
  <c r="AB767" i="2"/>
  <c r="O767" i="2"/>
  <c r="U767" i="2"/>
  <c r="Z767" i="2"/>
  <c r="Q767" i="2"/>
  <c r="V767" i="2"/>
  <c r="AA767" i="2"/>
  <c r="Y761" i="2"/>
  <c r="P759" i="2"/>
  <c r="T759" i="2"/>
  <c r="X759" i="2"/>
  <c r="AB759" i="2"/>
  <c r="O759" i="2"/>
  <c r="U759" i="2"/>
  <c r="Z759" i="2"/>
  <c r="Q759" i="2"/>
  <c r="V759" i="2"/>
  <c r="AA759" i="2"/>
  <c r="Y753" i="2"/>
  <c r="P751" i="2"/>
  <c r="T751" i="2"/>
  <c r="X751" i="2"/>
  <c r="AB751" i="2"/>
  <c r="O751" i="2"/>
  <c r="U751" i="2"/>
  <c r="Z751" i="2"/>
  <c r="Q751" i="2"/>
  <c r="V751" i="2"/>
  <c r="AA751" i="2"/>
  <c r="Y745" i="2"/>
  <c r="P743" i="2"/>
  <c r="T743" i="2"/>
  <c r="X743" i="2"/>
  <c r="AB743" i="2"/>
  <c r="O743" i="2"/>
  <c r="U743" i="2"/>
  <c r="Z743" i="2"/>
  <c r="Q743" i="2"/>
  <c r="V743" i="2"/>
  <c r="AA743" i="2"/>
  <c r="AC741" i="2"/>
  <c r="P632" i="2"/>
  <c r="T632" i="2"/>
  <c r="X632" i="2"/>
  <c r="AB632" i="2"/>
  <c r="O632" i="2"/>
  <c r="U632" i="2"/>
  <c r="Z632" i="2"/>
  <c r="Q632" i="2"/>
  <c r="W632" i="2"/>
  <c r="R632" i="2"/>
  <c r="Y632" i="2"/>
  <c r="S632" i="2"/>
  <c r="V632" i="2"/>
  <c r="AA632" i="2"/>
  <c r="AC632" i="2"/>
  <c r="P809" i="2"/>
  <c r="T809" i="2"/>
  <c r="X809" i="2"/>
  <c r="AB809" i="2"/>
  <c r="Q809" i="2"/>
  <c r="V809" i="2"/>
  <c r="AA809" i="2"/>
  <c r="P801" i="2"/>
  <c r="T801" i="2"/>
  <c r="X801" i="2"/>
  <c r="AB801" i="2"/>
  <c r="O801" i="2"/>
  <c r="U801" i="2"/>
  <c r="Z801" i="2"/>
  <c r="Q801" i="2"/>
  <c r="V801" i="2"/>
  <c r="AA801" i="2"/>
  <c r="P793" i="2"/>
  <c r="T793" i="2"/>
  <c r="X793" i="2"/>
  <c r="AB793" i="2"/>
  <c r="O793" i="2"/>
  <c r="U793" i="2"/>
  <c r="Z793" i="2"/>
  <c r="Q793" i="2"/>
  <c r="V793" i="2"/>
  <c r="AA793" i="2"/>
  <c r="P785" i="2"/>
  <c r="T785" i="2"/>
  <c r="X785" i="2"/>
  <c r="AB785" i="2"/>
  <c r="O785" i="2"/>
  <c r="U785" i="2"/>
  <c r="Z785" i="2"/>
  <c r="Q785" i="2"/>
  <c r="V785" i="2"/>
  <c r="AA785" i="2"/>
  <c r="P777" i="2"/>
  <c r="T777" i="2"/>
  <c r="X777" i="2"/>
  <c r="AB777" i="2"/>
  <c r="O777" i="2"/>
  <c r="U777" i="2"/>
  <c r="Z777" i="2"/>
  <c r="Q777" i="2"/>
  <c r="V777" i="2"/>
  <c r="AA777" i="2"/>
  <c r="P769" i="2"/>
  <c r="T769" i="2"/>
  <c r="X769" i="2"/>
  <c r="AB769" i="2"/>
  <c r="O769" i="2"/>
  <c r="U769" i="2"/>
  <c r="Z769" i="2"/>
  <c r="Q769" i="2"/>
  <c r="V769" i="2"/>
  <c r="AA769" i="2"/>
  <c r="P761" i="2"/>
  <c r="T761" i="2"/>
  <c r="X761" i="2"/>
  <c r="AB761" i="2"/>
  <c r="O761" i="2"/>
  <c r="U761" i="2"/>
  <c r="Z761" i="2"/>
  <c r="Q761" i="2"/>
  <c r="V761" i="2"/>
  <c r="AA761" i="2"/>
  <c r="P753" i="2"/>
  <c r="T753" i="2"/>
  <c r="X753" i="2"/>
  <c r="AB753" i="2"/>
  <c r="O753" i="2"/>
  <c r="U753" i="2"/>
  <c r="Z753" i="2"/>
  <c r="Q753" i="2"/>
  <c r="V753" i="2"/>
  <c r="AA753" i="2"/>
  <c r="P745" i="2"/>
  <c r="T745" i="2"/>
  <c r="X745" i="2"/>
  <c r="AB745" i="2"/>
  <c r="O745" i="2"/>
  <c r="U745" i="2"/>
  <c r="Z745" i="2"/>
  <c r="Q745" i="2"/>
  <c r="V745" i="2"/>
  <c r="AA745" i="2"/>
  <c r="P741" i="2"/>
  <c r="T741" i="2"/>
  <c r="X741" i="2"/>
  <c r="AB741" i="2"/>
  <c r="N741" i="2"/>
  <c r="S741" i="2"/>
  <c r="Y741" i="2"/>
  <c r="Q741" i="2"/>
  <c r="W741" i="2"/>
  <c r="R741" i="2"/>
  <c r="Z741" i="2"/>
  <c r="N736" i="2"/>
  <c r="R736" i="2"/>
  <c r="V736" i="2"/>
  <c r="Z736" i="2"/>
  <c r="Q736" i="2"/>
  <c r="W736" i="2"/>
  <c r="AB736" i="2"/>
  <c r="O736" i="2"/>
  <c r="U736" i="2"/>
  <c r="AC736" i="2"/>
  <c r="P736" i="2"/>
  <c r="X736" i="2"/>
  <c r="P679" i="2"/>
  <c r="T679" i="2"/>
  <c r="X679" i="2"/>
  <c r="AB679" i="2"/>
  <c r="O679" i="2"/>
  <c r="U679" i="2"/>
  <c r="Z679" i="2"/>
  <c r="Q679" i="2"/>
  <c r="V679" i="2"/>
  <c r="AA679" i="2"/>
  <c r="N679" i="2"/>
  <c r="Y679" i="2"/>
  <c r="R679" i="2"/>
  <c r="AC679" i="2"/>
  <c r="W679" i="2"/>
  <c r="Y808" i="2"/>
  <c r="T808" i="2"/>
  <c r="Y806" i="2"/>
  <c r="T806" i="2"/>
  <c r="Y804" i="2"/>
  <c r="T804" i="2"/>
  <c r="Y802" i="2"/>
  <c r="T802" i="2"/>
  <c r="Y800" i="2"/>
  <c r="T800" i="2"/>
  <c r="Y798" i="2"/>
  <c r="T798" i="2"/>
  <c r="Y796" i="2"/>
  <c r="T796" i="2"/>
  <c r="Y794" i="2"/>
  <c r="T794" i="2"/>
  <c r="Y792" i="2"/>
  <c r="T792" i="2"/>
  <c r="Y790" i="2"/>
  <c r="T790" i="2"/>
  <c r="Y788" i="2"/>
  <c r="T788" i="2"/>
  <c r="Y786" i="2"/>
  <c r="T786" i="2"/>
  <c r="Y784" i="2"/>
  <c r="T784" i="2"/>
  <c r="Y782" i="2"/>
  <c r="T782" i="2"/>
  <c r="Y780" i="2"/>
  <c r="T780" i="2"/>
  <c r="Y778" i="2"/>
  <c r="T778" i="2"/>
  <c r="Y776" i="2"/>
  <c r="T776" i="2"/>
  <c r="Y774" i="2"/>
  <c r="T774" i="2"/>
  <c r="Y772" i="2"/>
  <c r="T772" i="2"/>
  <c r="Y770" i="2"/>
  <c r="T770" i="2"/>
  <c r="Y768" i="2"/>
  <c r="T768" i="2"/>
  <c r="Y766" i="2"/>
  <c r="T766" i="2"/>
  <c r="Y764" i="2"/>
  <c r="T764" i="2"/>
  <c r="Y762" i="2"/>
  <c r="T762" i="2"/>
  <c r="Y760" i="2"/>
  <c r="T760" i="2"/>
  <c r="Y758" i="2"/>
  <c r="T758" i="2"/>
  <c r="Y756" i="2"/>
  <c r="T756" i="2"/>
  <c r="Y754" i="2"/>
  <c r="T754" i="2"/>
  <c r="Y752" i="2"/>
  <c r="T752" i="2"/>
  <c r="Y750" i="2"/>
  <c r="T750" i="2"/>
  <c r="Y748" i="2"/>
  <c r="T748" i="2"/>
  <c r="Y746" i="2"/>
  <c r="T746" i="2"/>
  <c r="Y744" i="2"/>
  <c r="T744" i="2"/>
  <c r="N742" i="2"/>
  <c r="R742" i="2"/>
  <c r="Q742" i="2"/>
  <c r="V742" i="2"/>
  <c r="Z742" i="2"/>
  <c r="AC739" i="2"/>
  <c r="V739" i="2"/>
  <c r="N738" i="2"/>
  <c r="R738" i="2"/>
  <c r="V738" i="2"/>
  <c r="Z738" i="2"/>
  <c r="Q738" i="2"/>
  <c r="W738" i="2"/>
  <c r="AB738" i="2"/>
  <c r="AC735" i="2"/>
  <c r="V735" i="2"/>
  <c r="N734" i="2"/>
  <c r="R734" i="2"/>
  <c r="V734" i="2"/>
  <c r="Z734" i="2"/>
  <c r="Q734" i="2"/>
  <c r="W734" i="2"/>
  <c r="AB734" i="2"/>
  <c r="P687" i="2"/>
  <c r="T687" i="2"/>
  <c r="X687" i="2"/>
  <c r="AB687" i="2"/>
  <c r="O687" i="2"/>
  <c r="U687" i="2"/>
  <c r="Z687" i="2"/>
  <c r="Q687" i="2"/>
  <c r="V687" i="2"/>
  <c r="AA687" i="2"/>
  <c r="N687" i="2"/>
  <c r="Y687" i="2"/>
  <c r="R687" i="2"/>
  <c r="AC687" i="2"/>
  <c r="P681" i="2"/>
  <c r="T681" i="2"/>
  <c r="X681" i="2"/>
  <c r="AB681" i="2"/>
  <c r="O681" i="2"/>
  <c r="U681" i="2"/>
  <c r="Z681" i="2"/>
  <c r="Q681" i="2"/>
  <c r="V681" i="2"/>
  <c r="AA681" i="2"/>
  <c r="R681" i="2"/>
  <c r="AC681" i="2"/>
  <c r="S681" i="2"/>
  <c r="N808" i="2"/>
  <c r="R808" i="2"/>
  <c r="V808" i="2"/>
  <c r="Z808" i="2"/>
  <c r="N806" i="2"/>
  <c r="R806" i="2"/>
  <c r="V806" i="2"/>
  <c r="Z806" i="2"/>
  <c r="N804" i="2"/>
  <c r="R804" i="2"/>
  <c r="V804" i="2"/>
  <c r="Z804" i="2"/>
  <c r="N802" i="2"/>
  <c r="R802" i="2"/>
  <c r="V802" i="2"/>
  <c r="Z802" i="2"/>
  <c r="N800" i="2"/>
  <c r="R800" i="2"/>
  <c r="V800" i="2"/>
  <c r="Z800" i="2"/>
  <c r="N798" i="2"/>
  <c r="R798" i="2"/>
  <c r="V798" i="2"/>
  <c r="Z798" i="2"/>
  <c r="N796" i="2"/>
  <c r="R796" i="2"/>
  <c r="V796" i="2"/>
  <c r="Z796" i="2"/>
  <c r="N794" i="2"/>
  <c r="R794" i="2"/>
  <c r="V794" i="2"/>
  <c r="Z794" i="2"/>
  <c r="N792" i="2"/>
  <c r="R792" i="2"/>
  <c r="V792" i="2"/>
  <c r="Z792" i="2"/>
  <c r="N790" i="2"/>
  <c r="R790" i="2"/>
  <c r="V790" i="2"/>
  <c r="Z790" i="2"/>
  <c r="N788" i="2"/>
  <c r="R788" i="2"/>
  <c r="V788" i="2"/>
  <c r="Z788" i="2"/>
  <c r="N786" i="2"/>
  <c r="R786" i="2"/>
  <c r="V786" i="2"/>
  <c r="Z786" i="2"/>
  <c r="N784" i="2"/>
  <c r="R784" i="2"/>
  <c r="V784" i="2"/>
  <c r="Z784" i="2"/>
  <c r="N782" i="2"/>
  <c r="R782" i="2"/>
  <c r="V782" i="2"/>
  <c r="Z782" i="2"/>
  <c r="N780" i="2"/>
  <c r="R780" i="2"/>
  <c r="V780" i="2"/>
  <c r="Z780" i="2"/>
  <c r="N778" i="2"/>
  <c r="R778" i="2"/>
  <c r="V778" i="2"/>
  <c r="Z778" i="2"/>
  <c r="N776" i="2"/>
  <c r="R776" i="2"/>
  <c r="V776" i="2"/>
  <c r="Z776" i="2"/>
  <c r="N774" i="2"/>
  <c r="R774" i="2"/>
  <c r="V774" i="2"/>
  <c r="Z774" i="2"/>
  <c r="N772" i="2"/>
  <c r="R772" i="2"/>
  <c r="V772" i="2"/>
  <c r="Z772" i="2"/>
  <c r="N770" i="2"/>
  <c r="R770" i="2"/>
  <c r="V770" i="2"/>
  <c r="Z770" i="2"/>
  <c r="N768" i="2"/>
  <c r="R768" i="2"/>
  <c r="V768" i="2"/>
  <c r="Z768" i="2"/>
  <c r="N766" i="2"/>
  <c r="R766" i="2"/>
  <c r="V766" i="2"/>
  <c r="Z766" i="2"/>
  <c r="N764" i="2"/>
  <c r="R764" i="2"/>
  <c r="V764" i="2"/>
  <c r="Z764" i="2"/>
  <c r="N762" i="2"/>
  <c r="R762" i="2"/>
  <c r="V762" i="2"/>
  <c r="Z762" i="2"/>
  <c r="N760" i="2"/>
  <c r="R760" i="2"/>
  <c r="V760" i="2"/>
  <c r="Z760" i="2"/>
  <c r="N758" i="2"/>
  <c r="R758" i="2"/>
  <c r="V758" i="2"/>
  <c r="Z758" i="2"/>
  <c r="N756" i="2"/>
  <c r="R756" i="2"/>
  <c r="V756" i="2"/>
  <c r="Z756" i="2"/>
  <c r="N754" i="2"/>
  <c r="R754" i="2"/>
  <c r="V754" i="2"/>
  <c r="Z754" i="2"/>
  <c r="N752" i="2"/>
  <c r="R752" i="2"/>
  <c r="V752" i="2"/>
  <c r="Z752" i="2"/>
  <c r="N750" i="2"/>
  <c r="R750" i="2"/>
  <c r="V750" i="2"/>
  <c r="Z750" i="2"/>
  <c r="N748" i="2"/>
  <c r="R748" i="2"/>
  <c r="V748" i="2"/>
  <c r="Z748" i="2"/>
  <c r="N746" i="2"/>
  <c r="R746" i="2"/>
  <c r="V746" i="2"/>
  <c r="Z746" i="2"/>
  <c r="N744" i="2"/>
  <c r="R744" i="2"/>
  <c r="V744" i="2"/>
  <c r="Z744" i="2"/>
  <c r="AC742" i="2"/>
  <c r="X742" i="2"/>
  <c r="S742" i="2"/>
  <c r="P739" i="2"/>
  <c r="T739" i="2"/>
  <c r="X739" i="2"/>
  <c r="AB739" i="2"/>
  <c r="N739" i="2"/>
  <c r="S739" i="2"/>
  <c r="Y739" i="2"/>
  <c r="Y738" i="2"/>
  <c r="S738" i="2"/>
  <c r="P735" i="2"/>
  <c r="T735" i="2"/>
  <c r="X735" i="2"/>
  <c r="AB735" i="2"/>
  <c r="N735" i="2"/>
  <c r="S735" i="2"/>
  <c r="Y735" i="2"/>
  <c r="Y734" i="2"/>
  <c r="S734" i="2"/>
  <c r="P695" i="2"/>
  <c r="T695" i="2"/>
  <c r="X695" i="2"/>
  <c r="AB695" i="2"/>
  <c r="O695" i="2"/>
  <c r="U695" i="2"/>
  <c r="Z695" i="2"/>
  <c r="Q695" i="2"/>
  <c r="V695" i="2"/>
  <c r="AA695" i="2"/>
  <c r="N695" i="2"/>
  <c r="Y695" i="2"/>
  <c r="R695" i="2"/>
  <c r="AC695" i="2"/>
  <c r="P689" i="2"/>
  <c r="T689" i="2"/>
  <c r="X689" i="2"/>
  <c r="AB689" i="2"/>
  <c r="O689" i="2"/>
  <c r="U689" i="2"/>
  <c r="Z689" i="2"/>
  <c r="Q689" i="2"/>
  <c r="V689" i="2"/>
  <c r="AA689" i="2"/>
  <c r="R689" i="2"/>
  <c r="AC689" i="2"/>
  <c r="S689" i="2"/>
  <c r="P664" i="2"/>
  <c r="T664" i="2"/>
  <c r="X664" i="2"/>
  <c r="N664" i="2"/>
  <c r="S664" i="2"/>
  <c r="Y664" i="2"/>
  <c r="AC664" i="2"/>
  <c r="O664" i="2"/>
  <c r="U664" i="2"/>
  <c r="Z664" i="2"/>
  <c r="R664" i="2"/>
  <c r="AB664" i="2"/>
  <c r="V664" i="2"/>
  <c r="Q664" i="2"/>
  <c r="W664" i="2"/>
  <c r="P650" i="2"/>
  <c r="T650" i="2"/>
  <c r="X650" i="2"/>
  <c r="AB650" i="2"/>
  <c r="O650" i="2"/>
  <c r="U650" i="2"/>
  <c r="Z650" i="2"/>
  <c r="N650" i="2"/>
  <c r="V650" i="2"/>
  <c r="AC650" i="2"/>
  <c r="Q650" i="2"/>
  <c r="W650" i="2"/>
  <c r="R650" i="2"/>
  <c r="S650" i="2"/>
  <c r="Y650" i="2"/>
  <c r="AA650" i="2"/>
  <c r="N732" i="2"/>
  <c r="R732" i="2"/>
  <c r="V732" i="2"/>
  <c r="Z732" i="2"/>
  <c r="O732" i="2"/>
  <c r="S732" i="2"/>
  <c r="W732" i="2"/>
  <c r="AA732" i="2"/>
  <c r="N730" i="2"/>
  <c r="R730" i="2"/>
  <c r="V730" i="2"/>
  <c r="Z730" i="2"/>
  <c r="O730" i="2"/>
  <c r="S730" i="2"/>
  <c r="W730" i="2"/>
  <c r="AA730" i="2"/>
  <c r="N728" i="2"/>
  <c r="R728" i="2"/>
  <c r="V728" i="2"/>
  <c r="Z728" i="2"/>
  <c r="O728" i="2"/>
  <c r="S728" i="2"/>
  <c r="W728" i="2"/>
  <c r="AA728" i="2"/>
  <c r="N726" i="2"/>
  <c r="R726" i="2"/>
  <c r="V726" i="2"/>
  <c r="Z726" i="2"/>
  <c r="O726" i="2"/>
  <c r="S726" i="2"/>
  <c r="W726" i="2"/>
  <c r="AA726" i="2"/>
  <c r="N724" i="2"/>
  <c r="R724" i="2"/>
  <c r="V724" i="2"/>
  <c r="Z724" i="2"/>
  <c r="O724" i="2"/>
  <c r="S724" i="2"/>
  <c r="W724" i="2"/>
  <c r="AA724" i="2"/>
  <c r="N722" i="2"/>
  <c r="R722" i="2"/>
  <c r="V722" i="2"/>
  <c r="Z722" i="2"/>
  <c r="O722" i="2"/>
  <c r="S722" i="2"/>
  <c r="W722" i="2"/>
  <c r="AA722" i="2"/>
  <c r="N720" i="2"/>
  <c r="R720" i="2"/>
  <c r="V720" i="2"/>
  <c r="Z720" i="2"/>
  <c r="O720" i="2"/>
  <c r="S720" i="2"/>
  <c r="W720" i="2"/>
  <c r="AA720" i="2"/>
  <c r="N718" i="2"/>
  <c r="R718" i="2"/>
  <c r="V718" i="2"/>
  <c r="Z718" i="2"/>
  <c r="O718" i="2"/>
  <c r="S718" i="2"/>
  <c r="W718" i="2"/>
  <c r="AA718" i="2"/>
  <c r="N716" i="2"/>
  <c r="R716" i="2"/>
  <c r="V716" i="2"/>
  <c r="Z716" i="2"/>
  <c r="O716" i="2"/>
  <c r="S716" i="2"/>
  <c r="W716" i="2"/>
  <c r="AA716" i="2"/>
  <c r="N714" i="2"/>
  <c r="R714" i="2"/>
  <c r="V714" i="2"/>
  <c r="Z714" i="2"/>
  <c r="O714" i="2"/>
  <c r="S714" i="2"/>
  <c r="W714" i="2"/>
  <c r="AA714" i="2"/>
  <c r="N712" i="2"/>
  <c r="R712" i="2"/>
  <c r="V712" i="2"/>
  <c r="Z712" i="2"/>
  <c r="O712" i="2"/>
  <c r="S712" i="2"/>
  <c r="W712" i="2"/>
  <c r="AA712" i="2"/>
  <c r="N710" i="2"/>
  <c r="R710" i="2"/>
  <c r="V710" i="2"/>
  <c r="Z710" i="2"/>
  <c r="O710" i="2"/>
  <c r="S710" i="2"/>
  <c r="W710" i="2"/>
  <c r="AA710" i="2"/>
  <c r="N708" i="2"/>
  <c r="R708" i="2"/>
  <c r="V708" i="2"/>
  <c r="Z708" i="2"/>
  <c r="O708" i="2"/>
  <c r="S708" i="2"/>
  <c r="W708" i="2"/>
  <c r="AA708" i="2"/>
  <c r="N706" i="2"/>
  <c r="R706" i="2"/>
  <c r="V706" i="2"/>
  <c r="Z706" i="2"/>
  <c r="O706" i="2"/>
  <c r="S706" i="2"/>
  <c r="W706" i="2"/>
  <c r="AA706" i="2"/>
  <c r="N704" i="2"/>
  <c r="R704" i="2"/>
  <c r="V704" i="2"/>
  <c r="Z704" i="2"/>
  <c r="O704" i="2"/>
  <c r="S704" i="2"/>
  <c r="W704" i="2"/>
  <c r="AA704" i="2"/>
  <c r="N702" i="2"/>
  <c r="R702" i="2"/>
  <c r="V702" i="2"/>
  <c r="Z702" i="2"/>
  <c r="O702" i="2"/>
  <c r="S702" i="2"/>
  <c r="W702" i="2"/>
  <c r="AA702" i="2"/>
  <c r="W701" i="2"/>
  <c r="P699" i="2"/>
  <c r="T699" i="2"/>
  <c r="X699" i="2"/>
  <c r="AB699" i="2"/>
  <c r="O699" i="2"/>
  <c r="U699" i="2"/>
  <c r="Z699" i="2"/>
  <c r="Q699" i="2"/>
  <c r="V699" i="2"/>
  <c r="AA699" i="2"/>
  <c r="Y693" i="2"/>
  <c r="P691" i="2"/>
  <c r="T691" i="2"/>
  <c r="X691" i="2"/>
  <c r="AB691" i="2"/>
  <c r="O691" i="2"/>
  <c r="U691" i="2"/>
  <c r="Z691" i="2"/>
  <c r="Q691" i="2"/>
  <c r="V691" i="2"/>
  <c r="AA691" i="2"/>
  <c r="Y685" i="2"/>
  <c r="P683" i="2"/>
  <c r="T683" i="2"/>
  <c r="X683" i="2"/>
  <c r="AB683" i="2"/>
  <c r="O683" i="2"/>
  <c r="U683" i="2"/>
  <c r="Z683" i="2"/>
  <c r="Q683" i="2"/>
  <c r="V683" i="2"/>
  <c r="AA683" i="2"/>
  <c r="Y677" i="2"/>
  <c r="P654" i="2"/>
  <c r="T654" i="2"/>
  <c r="X654" i="2"/>
  <c r="AB654" i="2"/>
  <c r="N654" i="2"/>
  <c r="S654" i="2"/>
  <c r="Y654" i="2"/>
  <c r="O654" i="2"/>
  <c r="U654" i="2"/>
  <c r="Z654" i="2"/>
  <c r="Q654" i="2"/>
  <c r="AA654" i="2"/>
  <c r="R654" i="2"/>
  <c r="AC654" i="2"/>
  <c r="P634" i="2"/>
  <c r="T634" i="2"/>
  <c r="X634" i="2"/>
  <c r="AB634" i="2"/>
  <c r="O634" i="2"/>
  <c r="U634" i="2"/>
  <c r="Z634" i="2"/>
  <c r="N634" i="2"/>
  <c r="V634" i="2"/>
  <c r="AC634" i="2"/>
  <c r="Q634" i="2"/>
  <c r="W634" i="2"/>
  <c r="R634" i="2"/>
  <c r="S634" i="2"/>
  <c r="AB732" i="2"/>
  <c r="T732" i="2"/>
  <c r="AB730" i="2"/>
  <c r="T730" i="2"/>
  <c r="AB728" i="2"/>
  <c r="T728" i="2"/>
  <c r="AB726" i="2"/>
  <c r="T726" i="2"/>
  <c r="AB724" i="2"/>
  <c r="T724" i="2"/>
  <c r="AB722" i="2"/>
  <c r="T722" i="2"/>
  <c r="P701" i="2"/>
  <c r="O701" i="2"/>
  <c r="T701" i="2"/>
  <c r="X701" i="2"/>
  <c r="AB701" i="2"/>
  <c r="Q701" i="2"/>
  <c r="U701" i="2"/>
  <c r="Y701" i="2"/>
  <c r="AC701" i="2"/>
  <c r="P693" i="2"/>
  <c r="T693" i="2"/>
  <c r="X693" i="2"/>
  <c r="AB693" i="2"/>
  <c r="O693" i="2"/>
  <c r="U693" i="2"/>
  <c r="Z693" i="2"/>
  <c r="Q693" i="2"/>
  <c r="V693" i="2"/>
  <c r="AA693" i="2"/>
  <c r="P685" i="2"/>
  <c r="T685" i="2"/>
  <c r="X685" i="2"/>
  <c r="AB685" i="2"/>
  <c r="O685" i="2"/>
  <c r="U685" i="2"/>
  <c r="Z685" i="2"/>
  <c r="Q685" i="2"/>
  <c r="V685" i="2"/>
  <c r="AA685" i="2"/>
  <c r="P677" i="2"/>
  <c r="T677" i="2"/>
  <c r="X677" i="2"/>
  <c r="AB677" i="2"/>
  <c r="O677" i="2"/>
  <c r="U677" i="2"/>
  <c r="Z677" i="2"/>
  <c r="Q677" i="2"/>
  <c r="V677" i="2"/>
  <c r="AA677" i="2"/>
  <c r="O675" i="2"/>
  <c r="S675" i="2"/>
  <c r="W675" i="2"/>
  <c r="AA675" i="2"/>
  <c r="P675" i="2"/>
  <c r="T675" i="2"/>
  <c r="X675" i="2"/>
  <c r="AB675" i="2"/>
  <c r="Q675" i="2"/>
  <c r="Y675" i="2"/>
  <c r="R675" i="2"/>
  <c r="Z675" i="2"/>
  <c r="O673" i="2"/>
  <c r="S673" i="2"/>
  <c r="W673" i="2"/>
  <c r="AA673" i="2"/>
  <c r="P673" i="2"/>
  <c r="T673" i="2"/>
  <c r="X673" i="2"/>
  <c r="AB673" i="2"/>
  <c r="Q673" i="2"/>
  <c r="Y673" i="2"/>
  <c r="R673" i="2"/>
  <c r="Z673" i="2"/>
  <c r="O671" i="2"/>
  <c r="S671" i="2"/>
  <c r="W671" i="2"/>
  <c r="AA671" i="2"/>
  <c r="P671" i="2"/>
  <c r="T671" i="2"/>
  <c r="X671" i="2"/>
  <c r="AB671" i="2"/>
  <c r="Q671" i="2"/>
  <c r="Y671" i="2"/>
  <c r="R671" i="2"/>
  <c r="Z671" i="2"/>
  <c r="O669" i="2"/>
  <c r="S669" i="2"/>
  <c r="W669" i="2"/>
  <c r="AA669" i="2"/>
  <c r="P669" i="2"/>
  <c r="T669" i="2"/>
  <c r="X669" i="2"/>
  <c r="AB669" i="2"/>
  <c r="Q669" i="2"/>
  <c r="Y669" i="2"/>
  <c r="R669" i="2"/>
  <c r="Z669" i="2"/>
  <c r="O667" i="2"/>
  <c r="S667" i="2"/>
  <c r="W667" i="2"/>
  <c r="AA667" i="2"/>
  <c r="P667" i="2"/>
  <c r="T667" i="2"/>
  <c r="X667" i="2"/>
  <c r="AB667" i="2"/>
  <c r="Q667" i="2"/>
  <c r="Y667" i="2"/>
  <c r="R667" i="2"/>
  <c r="Z667" i="2"/>
  <c r="O665" i="2"/>
  <c r="S665" i="2"/>
  <c r="W665" i="2"/>
  <c r="AA665" i="2"/>
  <c r="P665" i="2"/>
  <c r="T665" i="2"/>
  <c r="X665" i="2"/>
  <c r="AB665" i="2"/>
  <c r="Q665" i="2"/>
  <c r="Y665" i="2"/>
  <c r="R665" i="2"/>
  <c r="Z665" i="2"/>
  <c r="P662" i="2"/>
  <c r="T662" i="2"/>
  <c r="X662" i="2"/>
  <c r="AB662" i="2"/>
  <c r="N662" i="2"/>
  <c r="S662" i="2"/>
  <c r="Y662" i="2"/>
  <c r="O662" i="2"/>
  <c r="U662" i="2"/>
  <c r="Z662" i="2"/>
  <c r="Q662" i="2"/>
  <c r="AA662" i="2"/>
  <c r="R662" i="2"/>
  <c r="AC662" i="2"/>
  <c r="P656" i="2"/>
  <c r="T656" i="2"/>
  <c r="X656" i="2"/>
  <c r="AB656" i="2"/>
  <c r="N656" i="2"/>
  <c r="S656" i="2"/>
  <c r="Y656" i="2"/>
  <c r="O656" i="2"/>
  <c r="U656" i="2"/>
  <c r="Z656" i="2"/>
  <c r="R656" i="2"/>
  <c r="AC656" i="2"/>
  <c r="V656" i="2"/>
  <c r="P648" i="2"/>
  <c r="T648" i="2"/>
  <c r="X648" i="2"/>
  <c r="AB648" i="2"/>
  <c r="O648" i="2"/>
  <c r="U648" i="2"/>
  <c r="Z648" i="2"/>
  <c r="Q648" i="2"/>
  <c r="W648" i="2"/>
  <c r="R648" i="2"/>
  <c r="Y648" i="2"/>
  <c r="S648" i="2"/>
  <c r="V648" i="2"/>
  <c r="Y700" i="2"/>
  <c r="T700" i="2"/>
  <c r="Y698" i="2"/>
  <c r="T698" i="2"/>
  <c r="Y696" i="2"/>
  <c r="T696" i="2"/>
  <c r="Y694" i="2"/>
  <c r="T694" i="2"/>
  <c r="Y692" i="2"/>
  <c r="T692" i="2"/>
  <c r="Y690" i="2"/>
  <c r="T690" i="2"/>
  <c r="Y688" i="2"/>
  <c r="T688" i="2"/>
  <c r="Y686" i="2"/>
  <c r="T686" i="2"/>
  <c r="Y684" i="2"/>
  <c r="T684" i="2"/>
  <c r="Y682" i="2"/>
  <c r="T682" i="2"/>
  <c r="Y680" i="2"/>
  <c r="T680" i="2"/>
  <c r="Y678" i="2"/>
  <c r="T678" i="2"/>
  <c r="AA660" i="2"/>
  <c r="P658" i="2"/>
  <c r="T658" i="2"/>
  <c r="X658" i="2"/>
  <c r="AB658" i="2"/>
  <c r="N658" i="2"/>
  <c r="S658" i="2"/>
  <c r="Y658" i="2"/>
  <c r="O658" i="2"/>
  <c r="U658" i="2"/>
  <c r="Z658" i="2"/>
  <c r="P642" i="2"/>
  <c r="T642" i="2"/>
  <c r="X642" i="2"/>
  <c r="AB642" i="2"/>
  <c r="O642" i="2"/>
  <c r="U642" i="2"/>
  <c r="Z642" i="2"/>
  <c r="N642" i="2"/>
  <c r="V642" i="2"/>
  <c r="AC642" i="2"/>
  <c r="Q642" i="2"/>
  <c r="W642" i="2"/>
  <c r="AC640" i="2"/>
  <c r="AB733" i="2"/>
  <c r="X733" i="2"/>
  <c r="T733" i="2"/>
  <c r="N700" i="2"/>
  <c r="R700" i="2"/>
  <c r="V700" i="2"/>
  <c r="Z700" i="2"/>
  <c r="N698" i="2"/>
  <c r="R698" i="2"/>
  <c r="V698" i="2"/>
  <c r="Z698" i="2"/>
  <c r="N696" i="2"/>
  <c r="R696" i="2"/>
  <c r="V696" i="2"/>
  <c r="Z696" i="2"/>
  <c r="N694" i="2"/>
  <c r="R694" i="2"/>
  <c r="V694" i="2"/>
  <c r="Z694" i="2"/>
  <c r="N692" i="2"/>
  <c r="R692" i="2"/>
  <c r="V692" i="2"/>
  <c r="Z692" i="2"/>
  <c r="N690" i="2"/>
  <c r="R690" i="2"/>
  <c r="V690" i="2"/>
  <c r="Z690" i="2"/>
  <c r="N688" i="2"/>
  <c r="R688" i="2"/>
  <c r="V688" i="2"/>
  <c r="Z688" i="2"/>
  <c r="N686" i="2"/>
  <c r="R686" i="2"/>
  <c r="V686" i="2"/>
  <c r="Z686" i="2"/>
  <c r="N684" i="2"/>
  <c r="R684" i="2"/>
  <c r="V684" i="2"/>
  <c r="Z684" i="2"/>
  <c r="N682" i="2"/>
  <c r="R682" i="2"/>
  <c r="V682" i="2"/>
  <c r="Z682" i="2"/>
  <c r="N680" i="2"/>
  <c r="R680" i="2"/>
  <c r="V680" i="2"/>
  <c r="Z680" i="2"/>
  <c r="N678" i="2"/>
  <c r="R678" i="2"/>
  <c r="V678" i="2"/>
  <c r="Z678" i="2"/>
  <c r="P660" i="2"/>
  <c r="T660" i="2"/>
  <c r="X660" i="2"/>
  <c r="AB660" i="2"/>
  <c r="N660" i="2"/>
  <c r="S660" i="2"/>
  <c r="Y660" i="2"/>
  <c r="O660" i="2"/>
  <c r="U660" i="2"/>
  <c r="Z660" i="2"/>
  <c r="P640" i="2"/>
  <c r="T640" i="2"/>
  <c r="X640" i="2"/>
  <c r="AB640" i="2"/>
  <c r="O640" i="2"/>
  <c r="U640" i="2"/>
  <c r="Z640" i="2"/>
  <c r="Q640" i="2"/>
  <c r="W640" i="2"/>
  <c r="R640" i="2"/>
  <c r="Y640" i="2"/>
  <c r="Z676" i="2"/>
  <c r="V676" i="2"/>
  <c r="R676" i="2"/>
  <c r="Z674" i="2"/>
  <c r="V674" i="2"/>
  <c r="R674" i="2"/>
  <c r="N663" i="2"/>
  <c r="R663" i="2"/>
  <c r="V663" i="2"/>
  <c r="Z663" i="2"/>
  <c r="N661" i="2"/>
  <c r="R661" i="2"/>
  <c r="V661" i="2"/>
  <c r="Z661" i="2"/>
  <c r="N659" i="2"/>
  <c r="R659" i="2"/>
  <c r="V659" i="2"/>
  <c r="Z659" i="2"/>
  <c r="N657" i="2"/>
  <c r="R657" i="2"/>
  <c r="V657" i="2"/>
  <c r="Z657" i="2"/>
  <c r="N655" i="2"/>
  <c r="R655" i="2"/>
  <c r="V655" i="2"/>
  <c r="Z655" i="2"/>
  <c r="N653" i="2"/>
  <c r="R653" i="2"/>
  <c r="V653" i="2"/>
  <c r="Z653" i="2"/>
  <c r="Z652" i="2"/>
  <c r="U652" i="2"/>
  <c r="P646" i="2"/>
  <c r="T646" i="2"/>
  <c r="X646" i="2"/>
  <c r="AB646" i="2"/>
  <c r="O646" i="2"/>
  <c r="U646" i="2"/>
  <c r="Z646" i="2"/>
  <c r="AC644" i="2"/>
  <c r="V644" i="2"/>
  <c r="P638" i="2"/>
  <c r="T638" i="2"/>
  <c r="X638" i="2"/>
  <c r="AB638" i="2"/>
  <c r="O638" i="2"/>
  <c r="U638" i="2"/>
  <c r="Z638" i="2"/>
  <c r="AC636" i="2"/>
  <c r="V636" i="2"/>
  <c r="AB663" i="2"/>
  <c r="W663" i="2"/>
  <c r="Q663" i="2"/>
  <c r="AB661" i="2"/>
  <c r="W661" i="2"/>
  <c r="Q661" i="2"/>
  <c r="AB659" i="2"/>
  <c r="W659" i="2"/>
  <c r="Q659" i="2"/>
  <c r="AB657" i="2"/>
  <c r="W657" i="2"/>
  <c r="Q657" i="2"/>
  <c r="AB655" i="2"/>
  <c r="W655" i="2"/>
  <c r="Q655" i="2"/>
  <c r="P652" i="2"/>
  <c r="O652" i="2"/>
  <c r="T652" i="2"/>
  <c r="X652" i="2"/>
  <c r="AB652" i="2"/>
  <c r="Y646" i="2"/>
  <c r="R646" i="2"/>
  <c r="P644" i="2"/>
  <c r="T644" i="2"/>
  <c r="X644" i="2"/>
  <c r="AB644" i="2"/>
  <c r="O644" i="2"/>
  <c r="U644" i="2"/>
  <c r="Z644" i="2"/>
  <c r="Y638" i="2"/>
  <c r="R638" i="2"/>
  <c r="P636" i="2"/>
  <c r="T636" i="2"/>
  <c r="X636" i="2"/>
  <c r="AB636" i="2"/>
  <c r="O636" i="2"/>
  <c r="U636" i="2"/>
  <c r="Z636" i="2"/>
  <c r="N651" i="2"/>
  <c r="R651" i="2"/>
  <c r="V651" i="2"/>
  <c r="Z651" i="2"/>
  <c r="N649" i="2"/>
  <c r="R649" i="2"/>
  <c r="V649" i="2"/>
  <c r="Z649" i="2"/>
  <c r="N647" i="2"/>
  <c r="R647" i="2"/>
  <c r="V647" i="2"/>
  <c r="Z647" i="2"/>
  <c r="N645" i="2"/>
  <c r="R645" i="2"/>
  <c r="V645" i="2"/>
  <c r="Z645" i="2"/>
  <c r="N643" i="2"/>
  <c r="R643" i="2"/>
  <c r="V643" i="2"/>
  <c r="Z643" i="2"/>
  <c r="N641" i="2"/>
  <c r="R641" i="2"/>
  <c r="V641" i="2"/>
  <c r="Z641" i="2"/>
  <c r="N639" i="2"/>
  <c r="R639" i="2"/>
  <c r="V639" i="2"/>
  <c r="Z639" i="2"/>
  <c r="N637" i="2"/>
  <c r="R637" i="2"/>
  <c r="V637" i="2"/>
  <c r="Z637" i="2"/>
  <c r="N635" i="2"/>
  <c r="R635" i="2"/>
  <c r="V635" i="2"/>
  <c r="Z635" i="2"/>
  <c r="N633" i="2"/>
  <c r="R633" i="2"/>
  <c r="V633" i="2"/>
  <c r="Z633" i="2"/>
  <c r="N631" i="2"/>
  <c r="R631" i="2"/>
  <c r="V631" i="2"/>
  <c r="Z631" i="2"/>
  <c r="AC630" i="2"/>
  <c r="X630" i="2"/>
  <c r="S630" i="2"/>
  <c r="N628" i="2"/>
  <c r="R628" i="2"/>
  <c r="V628" i="2"/>
  <c r="Z628" i="2"/>
  <c r="AC626" i="2"/>
  <c r="X626" i="2"/>
  <c r="S626" i="2"/>
  <c r="N624" i="2"/>
  <c r="R624" i="2"/>
  <c r="V624" i="2"/>
  <c r="Z624" i="2"/>
  <c r="AC622" i="2"/>
  <c r="X622" i="2"/>
  <c r="S622" i="2"/>
  <c r="N620" i="2"/>
  <c r="R620" i="2"/>
  <c r="V620" i="2"/>
  <c r="Z620" i="2"/>
  <c r="AC618" i="2"/>
  <c r="X618" i="2"/>
  <c r="S618" i="2"/>
  <c r="N616" i="2"/>
  <c r="R616" i="2"/>
  <c r="V616" i="2"/>
  <c r="Z616" i="2"/>
  <c r="AC614" i="2"/>
  <c r="X614" i="2"/>
  <c r="S614" i="2"/>
  <c r="N612" i="2"/>
  <c r="R612" i="2"/>
  <c r="V612" i="2"/>
  <c r="Z612" i="2"/>
  <c r="AC610" i="2"/>
  <c r="X610" i="2"/>
  <c r="S610" i="2"/>
  <c r="N608" i="2"/>
  <c r="R608" i="2"/>
  <c r="V608" i="2"/>
  <c r="Z608" i="2"/>
  <c r="N606" i="2"/>
  <c r="R606" i="2"/>
  <c r="V606" i="2"/>
  <c r="Z606" i="2"/>
  <c r="N604" i="2"/>
  <c r="R604" i="2"/>
  <c r="V604" i="2"/>
  <c r="Z604" i="2"/>
  <c r="N602" i="2"/>
  <c r="R602" i="2"/>
  <c r="V602" i="2"/>
  <c r="Z602" i="2"/>
  <c r="P570" i="2"/>
  <c r="T570" i="2"/>
  <c r="X570" i="2"/>
  <c r="AB570" i="2"/>
  <c r="O570" i="2"/>
  <c r="U570" i="2"/>
  <c r="Z570" i="2"/>
  <c r="Q570" i="2"/>
  <c r="V570" i="2"/>
  <c r="AA570" i="2"/>
  <c r="N570" i="2"/>
  <c r="Y570" i="2"/>
  <c r="R570" i="2"/>
  <c r="AC570" i="2"/>
  <c r="P562" i="2"/>
  <c r="T562" i="2"/>
  <c r="X562" i="2"/>
  <c r="AB562" i="2"/>
  <c r="O562" i="2"/>
  <c r="U562" i="2"/>
  <c r="Z562" i="2"/>
  <c r="Q562" i="2"/>
  <c r="V562" i="2"/>
  <c r="AA562" i="2"/>
  <c r="N562" i="2"/>
  <c r="Y562" i="2"/>
  <c r="R562" i="2"/>
  <c r="AC562" i="2"/>
  <c r="AB630" i="2"/>
  <c r="W630" i="2"/>
  <c r="Q630" i="2"/>
  <c r="AB628" i="2"/>
  <c r="W628" i="2"/>
  <c r="Q628" i="2"/>
  <c r="AB626" i="2"/>
  <c r="W626" i="2"/>
  <c r="Q626" i="2"/>
  <c r="AB624" i="2"/>
  <c r="W624" i="2"/>
  <c r="Q624" i="2"/>
  <c r="Y623" i="2"/>
  <c r="S623" i="2"/>
  <c r="N623" i="2"/>
  <c r="AB622" i="2"/>
  <c r="W622" i="2"/>
  <c r="AB620" i="2"/>
  <c r="W620" i="2"/>
  <c r="Q620" i="2"/>
  <c r="AB618" i="2"/>
  <c r="W618" i="2"/>
  <c r="AB616" i="2"/>
  <c r="W616" i="2"/>
  <c r="Q616" i="2"/>
  <c r="AB614" i="2"/>
  <c r="W614" i="2"/>
  <c r="AB612" i="2"/>
  <c r="W612" i="2"/>
  <c r="Q612" i="2"/>
  <c r="AB610" i="2"/>
  <c r="W610" i="2"/>
  <c r="Q610" i="2"/>
  <c r="AB608" i="2"/>
  <c r="W608" i="2"/>
  <c r="Q608" i="2"/>
  <c r="AB606" i="2"/>
  <c r="W606" i="2"/>
  <c r="Q606" i="2"/>
  <c r="AB604" i="2"/>
  <c r="W604" i="2"/>
  <c r="Q604" i="2"/>
  <c r="AB602" i="2"/>
  <c r="W602" i="2"/>
  <c r="Q602" i="2"/>
  <c r="N600" i="2"/>
  <c r="R600" i="2"/>
  <c r="V600" i="2"/>
  <c r="Z600" i="2"/>
  <c r="O600" i="2"/>
  <c r="S600" i="2"/>
  <c r="W600" i="2"/>
  <c r="AA600" i="2"/>
  <c r="P572" i="2"/>
  <c r="T572" i="2"/>
  <c r="X572" i="2"/>
  <c r="AB572" i="2"/>
  <c r="O572" i="2"/>
  <c r="U572" i="2"/>
  <c r="Z572" i="2"/>
  <c r="Q572" i="2"/>
  <c r="V572" i="2"/>
  <c r="AA572" i="2"/>
  <c r="R572" i="2"/>
  <c r="AC572" i="2"/>
  <c r="S572" i="2"/>
  <c r="P564" i="2"/>
  <c r="T564" i="2"/>
  <c r="X564" i="2"/>
  <c r="AB564" i="2"/>
  <c r="O564" i="2"/>
  <c r="U564" i="2"/>
  <c r="Z564" i="2"/>
  <c r="Q564" i="2"/>
  <c r="V564" i="2"/>
  <c r="AA564" i="2"/>
  <c r="R564" i="2"/>
  <c r="AC564" i="2"/>
  <c r="S564" i="2"/>
  <c r="P556" i="2"/>
  <c r="T556" i="2"/>
  <c r="X556" i="2"/>
  <c r="AB556" i="2"/>
  <c r="O556" i="2"/>
  <c r="U556" i="2"/>
  <c r="Z556" i="2"/>
  <c r="Q556" i="2"/>
  <c r="V556" i="2"/>
  <c r="AA556" i="2"/>
  <c r="R556" i="2"/>
  <c r="AC556" i="2"/>
  <c r="S556" i="2"/>
  <c r="AA630" i="2"/>
  <c r="U630" i="2"/>
  <c r="P629" i="2"/>
  <c r="T629" i="2"/>
  <c r="X629" i="2"/>
  <c r="AB629" i="2"/>
  <c r="AA628" i="2"/>
  <c r="U628" i="2"/>
  <c r="P628" i="2"/>
  <c r="P627" i="2"/>
  <c r="T627" i="2"/>
  <c r="X627" i="2"/>
  <c r="AB627" i="2"/>
  <c r="AA626" i="2"/>
  <c r="U626" i="2"/>
  <c r="P625" i="2"/>
  <c r="T625" i="2"/>
  <c r="X625" i="2"/>
  <c r="AB625" i="2"/>
  <c r="AA624" i="2"/>
  <c r="U624" i="2"/>
  <c r="P624" i="2"/>
  <c r="AC623" i="2"/>
  <c r="W623" i="2"/>
  <c r="P617" i="2"/>
  <c r="T617" i="2"/>
  <c r="X617" i="2"/>
  <c r="AB617" i="2"/>
  <c r="AA616" i="2"/>
  <c r="U616" i="2"/>
  <c r="P616" i="2"/>
  <c r="AC615" i="2"/>
  <c r="W615" i="2"/>
  <c r="P613" i="2"/>
  <c r="T613" i="2"/>
  <c r="X613" i="2"/>
  <c r="AB613" i="2"/>
  <c r="AA612" i="2"/>
  <c r="U612" i="2"/>
  <c r="P612" i="2"/>
  <c r="P611" i="2"/>
  <c r="T611" i="2"/>
  <c r="X611" i="2"/>
  <c r="AB611" i="2"/>
  <c r="AA610" i="2"/>
  <c r="U610" i="2"/>
  <c r="P609" i="2"/>
  <c r="T609" i="2"/>
  <c r="X609" i="2"/>
  <c r="AB609" i="2"/>
  <c r="AA608" i="2"/>
  <c r="U608" i="2"/>
  <c r="P608" i="2"/>
  <c r="P607" i="2"/>
  <c r="T607" i="2"/>
  <c r="X607" i="2"/>
  <c r="AB607" i="2"/>
  <c r="AA606" i="2"/>
  <c r="U606" i="2"/>
  <c r="P606" i="2"/>
  <c r="P605" i="2"/>
  <c r="T605" i="2"/>
  <c r="X605" i="2"/>
  <c r="AB605" i="2"/>
  <c r="AA604" i="2"/>
  <c r="U604" i="2"/>
  <c r="P604" i="2"/>
  <c r="P603" i="2"/>
  <c r="T603" i="2"/>
  <c r="X603" i="2"/>
  <c r="AB603" i="2"/>
  <c r="AA602" i="2"/>
  <c r="U602" i="2"/>
  <c r="P602" i="2"/>
  <c r="AB600" i="2"/>
  <c r="T600" i="2"/>
  <c r="Y572" i="2"/>
  <c r="W570" i="2"/>
  <c r="Y564" i="2"/>
  <c r="W562" i="2"/>
  <c r="Y556" i="2"/>
  <c r="N630" i="2"/>
  <c r="R630" i="2"/>
  <c r="V630" i="2"/>
  <c r="Z630" i="2"/>
  <c r="AC628" i="2"/>
  <c r="X628" i="2"/>
  <c r="S628" i="2"/>
  <c r="N626" i="2"/>
  <c r="R626" i="2"/>
  <c r="V626" i="2"/>
  <c r="Z626" i="2"/>
  <c r="AC624" i="2"/>
  <c r="X624" i="2"/>
  <c r="S624" i="2"/>
  <c r="N622" i="2"/>
  <c r="R622" i="2"/>
  <c r="V622" i="2"/>
  <c r="Z622" i="2"/>
  <c r="AC620" i="2"/>
  <c r="X620" i="2"/>
  <c r="S620" i="2"/>
  <c r="N618" i="2"/>
  <c r="R618" i="2"/>
  <c r="V618" i="2"/>
  <c r="Z618" i="2"/>
  <c r="AC616" i="2"/>
  <c r="X616" i="2"/>
  <c r="S616" i="2"/>
  <c r="N614" i="2"/>
  <c r="R614" i="2"/>
  <c r="V614" i="2"/>
  <c r="Z614" i="2"/>
  <c r="AC612" i="2"/>
  <c r="X612" i="2"/>
  <c r="S612" i="2"/>
  <c r="N610" i="2"/>
  <c r="R610" i="2"/>
  <c r="V610" i="2"/>
  <c r="Z610" i="2"/>
  <c r="AC608" i="2"/>
  <c r="X608" i="2"/>
  <c r="S608" i="2"/>
  <c r="P623" i="2"/>
  <c r="T623" i="2"/>
  <c r="X623" i="2"/>
  <c r="AB623" i="2"/>
  <c r="AA622" i="2"/>
  <c r="U622" i="2"/>
  <c r="P622" i="2"/>
  <c r="P621" i="2"/>
  <c r="T621" i="2"/>
  <c r="X621" i="2"/>
  <c r="AB621" i="2"/>
  <c r="AA620" i="2"/>
  <c r="U620" i="2"/>
  <c r="P620" i="2"/>
  <c r="P619" i="2"/>
  <c r="T619" i="2"/>
  <c r="X619" i="2"/>
  <c r="AB619" i="2"/>
  <c r="AA618" i="2"/>
  <c r="U618" i="2"/>
  <c r="P618" i="2"/>
  <c r="AC617" i="2"/>
  <c r="W617" i="2"/>
  <c r="R617" i="2"/>
  <c r="P615" i="2"/>
  <c r="T615" i="2"/>
  <c r="X615" i="2"/>
  <c r="AB615" i="2"/>
  <c r="AA614" i="2"/>
  <c r="U614" i="2"/>
  <c r="P614" i="2"/>
  <c r="AC613" i="2"/>
  <c r="W613" i="2"/>
  <c r="R613" i="2"/>
  <c r="Y630" i="2"/>
  <c r="T630" i="2"/>
  <c r="O630" i="2"/>
  <c r="AA629" i="2"/>
  <c r="V629" i="2"/>
  <c r="Q629" i="2"/>
  <c r="Y628" i="2"/>
  <c r="T628" i="2"/>
  <c r="O628" i="2"/>
  <c r="AA627" i="2"/>
  <c r="V627" i="2"/>
  <c r="Q627" i="2"/>
  <c r="Y626" i="2"/>
  <c r="T626" i="2"/>
  <c r="O626" i="2"/>
  <c r="AA625" i="2"/>
  <c r="V625" i="2"/>
  <c r="Q625" i="2"/>
  <c r="Y624" i="2"/>
  <c r="T624" i="2"/>
  <c r="O624" i="2"/>
  <c r="AA623" i="2"/>
  <c r="V623" i="2"/>
  <c r="Q623" i="2"/>
  <c r="Y622" i="2"/>
  <c r="T622" i="2"/>
  <c r="O622" i="2"/>
  <c r="AA621" i="2"/>
  <c r="V621" i="2"/>
  <c r="Q621" i="2"/>
  <c r="Y620" i="2"/>
  <c r="T620" i="2"/>
  <c r="O620" i="2"/>
  <c r="AA619" i="2"/>
  <c r="V619" i="2"/>
  <c r="Q619" i="2"/>
  <c r="Y618" i="2"/>
  <c r="T618" i="2"/>
  <c r="O618" i="2"/>
  <c r="AA617" i="2"/>
  <c r="V617" i="2"/>
  <c r="Q617" i="2"/>
  <c r="Y616" i="2"/>
  <c r="T616" i="2"/>
  <c r="O616" i="2"/>
  <c r="AA615" i="2"/>
  <c r="V615" i="2"/>
  <c r="Q615" i="2"/>
  <c r="Y614" i="2"/>
  <c r="T614" i="2"/>
  <c r="O614" i="2"/>
  <c r="AA613" i="2"/>
  <c r="V613" i="2"/>
  <c r="Q613" i="2"/>
  <c r="Y612" i="2"/>
  <c r="T612" i="2"/>
  <c r="O612" i="2"/>
  <c r="AA611" i="2"/>
  <c r="V611" i="2"/>
  <c r="Q611" i="2"/>
  <c r="Y610" i="2"/>
  <c r="T610" i="2"/>
  <c r="O610" i="2"/>
  <c r="AA609" i="2"/>
  <c r="V609" i="2"/>
  <c r="Q609" i="2"/>
  <c r="Y608" i="2"/>
  <c r="T608" i="2"/>
  <c r="O608" i="2"/>
  <c r="AA607" i="2"/>
  <c r="V607" i="2"/>
  <c r="Q607" i="2"/>
  <c r="Y606" i="2"/>
  <c r="T606" i="2"/>
  <c r="O606" i="2"/>
  <c r="AA605" i="2"/>
  <c r="V605" i="2"/>
  <c r="Q605" i="2"/>
  <c r="Y604" i="2"/>
  <c r="T604" i="2"/>
  <c r="O604" i="2"/>
  <c r="AA603" i="2"/>
  <c r="V603" i="2"/>
  <c r="Q603" i="2"/>
  <c r="Y602" i="2"/>
  <c r="T602" i="2"/>
  <c r="O602" i="2"/>
  <c r="Y600" i="2"/>
  <c r="Q600" i="2"/>
  <c r="W572" i="2"/>
  <c r="S570" i="2"/>
  <c r="W564" i="2"/>
  <c r="S562" i="2"/>
  <c r="W556" i="2"/>
  <c r="AC599" i="2"/>
  <c r="Y599" i="2"/>
  <c r="U599" i="2"/>
  <c r="Q599" i="2"/>
  <c r="N597" i="2"/>
  <c r="R597" i="2"/>
  <c r="V597" i="2"/>
  <c r="Z597" i="2"/>
  <c r="O597" i="2"/>
  <c r="S597" i="2"/>
  <c r="W597" i="2"/>
  <c r="AA597" i="2"/>
  <c r="N595" i="2"/>
  <c r="R595" i="2"/>
  <c r="V595" i="2"/>
  <c r="Z595" i="2"/>
  <c r="O595" i="2"/>
  <c r="S595" i="2"/>
  <c r="W595" i="2"/>
  <c r="AA595" i="2"/>
  <c r="N593" i="2"/>
  <c r="R593" i="2"/>
  <c r="V593" i="2"/>
  <c r="Z593" i="2"/>
  <c r="O593" i="2"/>
  <c r="S593" i="2"/>
  <c r="W593" i="2"/>
  <c r="AA593" i="2"/>
  <c r="N591" i="2"/>
  <c r="R591" i="2"/>
  <c r="V591" i="2"/>
  <c r="Z591" i="2"/>
  <c r="O591" i="2"/>
  <c r="S591" i="2"/>
  <c r="W591" i="2"/>
  <c r="AA591" i="2"/>
  <c r="N589" i="2"/>
  <c r="R589" i="2"/>
  <c r="V589" i="2"/>
  <c r="Z589" i="2"/>
  <c r="O589" i="2"/>
  <c r="S589" i="2"/>
  <c r="W589" i="2"/>
  <c r="AA589" i="2"/>
  <c r="N587" i="2"/>
  <c r="R587" i="2"/>
  <c r="V587" i="2"/>
  <c r="Z587" i="2"/>
  <c r="O587" i="2"/>
  <c r="S587" i="2"/>
  <c r="W587" i="2"/>
  <c r="AA587" i="2"/>
  <c r="N585" i="2"/>
  <c r="R585" i="2"/>
  <c r="V585" i="2"/>
  <c r="Z585" i="2"/>
  <c r="O585" i="2"/>
  <c r="S585" i="2"/>
  <c r="W585" i="2"/>
  <c r="AA585" i="2"/>
  <c r="N583" i="2"/>
  <c r="R583" i="2"/>
  <c r="V583" i="2"/>
  <c r="Z583" i="2"/>
  <c r="O583" i="2"/>
  <c r="S583" i="2"/>
  <c r="W583" i="2"/>
  <c r="AA583" i="2"/>
  <c r="N581" i="2"/>
  <c r="R581" i="2"/>
  <c r="V581" i="2"/>
  <c r="Z581" i="2"/>
  <c r="O581" i="2"/>
  <c r="S581" i="2"/>
  <c r="W581" i="2"/>
  <c r="AA581" i="2"/>
  <c r="N579" i="2"/>
  <c r="R579" i="2"/>
  <c r="V579" i="2"/>
  <c r="Z579" i="2"/>
  <c r="O579" i="2"/>
  <c r="S579" i="2"/>
  <c r="W579" i="2"/>
  <c r="AA579" i="2"/>
  <c r="N577" i="2"/>
  <c r="R577" i="2"/>
  <c r="V577" i="2"/>
  <c r="Z577" i="2"/>
  <c r="O577" i="2"/>
  <c r="S577" i="2"/>
  <c r="W577" i="2"/>
  <c r="AA577" i="2"/>
  <c r="P574" i="2"/>
  <c r="T574" i="2"/>
  <c r="X574" i="2"/>
  <c r="AB574" i="2"/>
  <c r="O574" i="2"/>
  <c r="U574" i="2"/>
  <c r="Z574" i="2"/>
  <c r="Q574" i="2"/>
  <c r="V574" i="2"/>
  <c r="AA574" i="2"/>
  <c r="P566" i="2"/>
  <c r="T566" i="2"/>
  <c r="X566" i="2"/>
  <c r="AB566" i="2"/>
  <c r="O566" i="2"/>
  <c r="U566" i="2"/>
  <c r="Z566" i="2"/>
  <c r="Q566" i="2"/>
  <c r="V566" i="2"/>
  <c r="AA566" i="2"/>
  <c r="P558" i="2"/>
  <c r="T558" i="2"/>
  <c r="X558" i="2"/>
  <c r="AB558" i="2"/>
  <c r="O558" i="2"/>
  <c r="U558" i="2"/>
  <c r="Z558" i="2"/>
  <c r="Q558" i="2"/>
  <c r="V558" i="2"/>
  <c r="AA558" i="2"/>
  <c r="Y601" i="2"/>
  <c r="U601" i="2"/>
  <c r="Q601" i="2"/>
  <c r="AC597" i="2"/>
  <c r="U597" i="2"/>
  <c r="U595" i="2"/>
  <c r="AB601" i="2"/>
  <c r="X601" i="2"/>
  <c r="T601" i="2"/>
  <c r="AB599" i="2"/>
  <c r="X599" i="2"/>
  <c r="T599" i="2"/>
  <c r="AB597" i="2"/>
  <c r="T597" i="2"/>
  <c r="AB595" i="2"/>
  <c r="T595" i="2"/>
  <c r="AB593" i="2"/>
  <c r="T593" i="2"/>
  <c r="AB591" i="2"/>
  <c r="T591" i="2"/>
  <c r="AB589" i="2"/>
  <c r="T589" i="2"/>
  <c r="AB587" i="2"/>
  <c r="T587" i="2"/>
  <c r="AB585" i="2"/>
  <c r="T585" i="2"/>
  <c r="AB583" i="2"/>
  <c r="T583" i="2"/>
  <c r="AB581" i="2"/>
  <c r="T581" i="2"/>
  <c r="AB579" i="2"/>
  <c r="T579" i="2"/>
  <c r="AB577" i="2"/>
  <c r="T577" i="2"/>
  <c r="P576" i="2"/>
  <c r="O576" i="2"/>
  <c r="T576" i="2"/>
  <c r="X576" i="2"/>
  <c r="AB576" i="2"/>
  <c r="Q576" i="2"/>
  <c r="U576" i="2"/>
  <c r="Y576" i="2"/>
  <c r="AC576" i="2"/>
  <c r="S574" i="2"/>
  <c r="P568" i="2"/>
  <c r="T568" i="2"/>
  <c r="X568" i="2"/>
  <c r="AB568" i="2"/>
  <c r="O568" i="2"/>
  <c r="U568" i="2"/>
  <c r="Z568" i="2"/>
  <c r="Q568" i="2"/>
  <c r="V568" i="2"/>
  <c r="AA568" i="2"/>
  <c r="S566" i="2"/>
  <c r="P560" i="2"/>
  <c r="T560" i="2"/>
  <c r="X560" i="2"/>
  <c r="AB560" i="2"/>
  <c r="O560" i="2"/>
  <c r="U560" i="2"/>
  <c r="Z560" i="2"/>
  <c r="Q560" i="2"/>
  <c r="V560" i="2"/>
  <c r="AA560" i="2"/>
  <c r="S558" i="2"/>
  <c r="Y575" i="2"/>
  <c r="T575" i="2"/>
  <c r="Y573" i="2"/>
  <c r="T573" i="2"/>
  <c r="Y571" i="2"/>
  <c r="T571" i="2"/>
  <c r="Y569" i="2"/>
  <c r="T569" i="2"/>
  <c r="Y567" i="2"/>
  <c r="T567" i="2"/>
  <c r="Y565" i="2"/>
  <c r="T565" i="2"/>
  <c r="Y563" i="2"/>
  <c r="T563" i="2"/>
  <c r="Y561" i="2"/>
  <c r="T561" i="2"/>
  <c r="Y559" i="2"/>
  <c r="T559" i="2"/>
  <c r="Y557" i="2"/>
  <c r="T557" i="2"/>
  <c r="AB598" i="2"/>
  <c r="X598" i="2"/>
  <c r="T598" i="2"/>
  <c r="N575" i="2"/>
  <c r="R575" i="2"/>
  <c r="V575" i="2"/>
  <c r="Z575" i="2"/>
  <c r="N573" i="2"/>
  <c r="R573" i="2"/>
  <c r="V573" i="2"/>
  <c r="Z573" i="2"/>
  <c r="N571" i="2"/>
  <c r="R571" i="2"/>
  <c r="V571" i="2"/>
  <c r="Z571" i="2"/>
  <c r="N569" i="2"/>
  <c r="R569" i="2"/>
  <c r="V569" i="2"/>
  <c r="Z569" i="2"/>
  <c r="N567" i="2"/>
  <c r="R567" i="2"/>
  <c r="V567" i="2"/>
  <c r="Z567" i="2"/>
  <c r="N565" i="2"/>
  <c r="R565" i="2"/>
  <c r="V565" i="2"/>
  <c r="Z565" i="2"/>
  <c r="N563" i="2"/>
  <c r="R563" i="2"/>
  <c r="V563" i="2"/>
  <c r="Z563" i="2"/>
  <c r="N561" i="2"/>
  <c r="R561" i="2"/>
  <c r="V561" i="2"/>
  <c r="Z561" i="2"/>
  <c r="N559" i="2"/>
  <c r="R559" i="2"/>
  <c r="V559" i="2"/>
  <c r="Z559" i="2"/>
  <c r="N557" i="2"/>
  <c r="R557" i="2"/>
  <c r="V557" i="2"/>
  <c r="Z557" i="2"/>
  <c r="Z555" i="2"/>
  <c r="V555" i="2"/>
  <c r="R555" i="2"/>
  <c r="N366" i="2"/>
  <c r="R366" i="2"/>
  <c r="V366" i="2"/>
  <c r="Z366" i="2"/>
  <c r="O366" i="2"/>
  <c r="T366" i="2"/>
  <c r="Y366" i="2"/>
  <c r="Q366" i="2"/>
  <c r="W366" i="2"/>
  <c r="P366" i="2"/>
  <c r="U366" i="2"/>
  <c r="AA366" i="2"/>
  <c r="AB366" i="2"/>
  <c r="N352" i="2"/>
  <c r="R352" i="2"/>
  <c r="V352" i="2"/>
  <c r="Z352" i="2"/>
  <c r="O352" i="2"/>
  <c r="T352" i="2"/>
  <c r="Y352" i="2"/>
  <c r="AB352" i="2"/>
  <c r="P352" i="2"/>
  <c r="U352" i="2"/>
  <c r="AA352" i="2"/>
  <c r="Q352" i="2"/>
  <c r="W352" i="2"/>
  <c r="P232" i="2"/>
  <c r="T232" i="2"/>
  <c r="X232" i="2"/>
  <c r="AB232" i="2"/>
  <c r="N232" i="2"/>
  <c r="S232" i="2"/>
  <c r="Y232" i="2"/>
  <c r="Q232" i="2"/>
  <c r="W232" i="2"/>
  <c r="R232" i="2"/>
  <c r="Z232" i="2"/>
  <c r="O232" i="2"/>
  <c r="AC232" i="2"/>
  <c r="U232" i="2"/>
  <c r="V232" i="2"/>
  <c r="N142" i="2"/>
  <c r="R142" i="2"/>
  <c r="V142" i="2"/>
  <c r="Z142" i="2"/>
  <c r="Q142" i="2"/>
  <c r="W142" i="2"/>
  <c r="AB142" i="2"/>
  <c r="O142" i="2"/>
  <c r="U142" i="2"/>
  <c r="AC142" i="2"/>
  <c r="P142" i="2"/>
  <c r="X142" i="2"/>
  <c r="S142" i="2"/>
  <c r="T142" i="2"/>
  <c r="Y142" i="2"/>
  <c r="AA142" i="2"/>
  <c r="O52" i="2"/>
  <c r="S52" i="2"/>
  <c r="W52" i="2"/>
  <c r="AA52" i="2"/>
  <c r="N52" i="2"/>
  <c r="T52" i="2"/>
  <c r="Y52" i="2"/>
  <c r="P52" i="2"/>
  <c r="U52" i="2"/>
  <c r="Z52" i="2"/>
  <c r="R52" i="2"/>
  <c r="AC52" i="2"/>
  <c r="V52" i="2"/>
  <c r="Q52" i="2"/>
  <c r="X52" i="2"/>
  <c r="AB52" i="2"/>
  <c r="N404" i="2"/>
  <c r="R404" i="2"/>
  <c r="V404" i="2"/>
  <c r="Z404" i="2"/>
  <c r="O404" i="2"/>
  <c r="T404" i="2"/>
  <c r="Y404" i="2"/>
  <c r="P404" i="2"/>
  <c r="U404" i="2"/>
  <c r="AA404" i="2"/>
  <c r="Q404" i="2"/>
  <c r="AC398" i="2"/>
  <c r="N396" i="2"/>
  <c r="R396" i="2"/>
  <c r="V396" i="2"/>
  <c r="Z396" i="2"/>
  <c r="O396" i="2"/>
  <c r="T396" i="2"/>
  <c r="Y396" i="2"/>
  <c r="P396" i="2"/>
  <c r="U396" i="2"/>
  <c r="AA396" i="2"/>
  <c r="Q396" i="2"/>
  <c r="W396" i="2"/>
  <c r="AB396" i="2"/>
  <c r="AC390" i="2"/>
  <c r="N388" i="2"/>
  <c r="R388" i="2"/>
  <c r="V388" i="2"/>
  <c r="Z388" i="2"/>
  <c r="O388" i="2"/>
  <c r="T388" i="2"/>
  <c r="Y388" i="2"/>
  <c r="P388" i="2"/>
  <c r="U388" i="2"/>
  <c r="AA388" i="2"/>
  <c r="AB388" i="2"/>
  <c r="Q388" i="2"/>
  <c r="W388" i="2"/>
  <c r="AC382" i="2"/>
  <c r="N380" i="2"/>
  <c r="R380" i="2"/>
  <c r="V380" i="2"/>
  <c r="Z380" i="2"/>
  <c r="O380" i="2"/>
  <c r="T380" i="2"/>
  <c r="Y380" i="2"/>
  <c r="P380" i="2"/>
  <c r="U380" i="2"/>
  <c r="AA380" i="2"/>
  <c r="AB380" i="2"/>
  <c r="Q380" i="2"/>
  <c r="W380" i="2"/>
  <c r="AC374" i="2"/>
  <c r="N372" i="2"/>
  <c r="R372" i="2"/>
  <c r="V372" i="2"/>
  <c r="Z372" i="2"/>
  <c r="O372" i="2"/>
  <c r="T372" i="2"/>
  <c r="Y372" i="2"/>
  <c r="P372" i="2"/>
  <c r="U372" i="2"/>
  <c r="AA372" i="2"/>
  <c r="Q372" i="2"/>
  <c r="W372" i="2"/>
  <c r="AB372" i="2"/>
  <c r="AC366" i="2"/>
  <c r="N364" i="2"/>
  <c r="R364" i="2"/>
  <c r="V364" i="2"/>
  <c r="Z364" i="2"/>
  <c r="O364" i="2"/>
  <c r="T364" i="2"/>
  <c r="Y364" i="2"/>
  <c r="P364" i="2"/>
  <c r="U364" i="2"/>
  <c r="AA364" i="2"/>
  <c r="Q364" i="2"/>
  <c r="W364" i="2"/>
  <c r="AB364" i="2"/>
  <c r="AC360" i="2"/>
  <c r="N358" i="2"/>
  <c r="R358" i="2"/>
  <c r="V358" i="2"/>
  <c r="Z358" i="2"/>
  <c r="O358" i="2"/>
  <c r="T358" i="2"/>
  <c r="Y358" i="2"/>
  <c r="P358" i="2"/>
  <c r="U358" i="2"/>
  <c r="AA358" i="2"/>
  <c r="Q358" i="2"/>
  <c r="W358" i="2"/>
  <c r="AB358" i="2"/>
  <c r="AC352" i="2"/>
  <c r="N350" i="2"/>
  <c r="R350" i="2"/>
  <c r="V350" i="2"/>
  <c r="Z350" i="2"/>
  <c r="O350" i="2"/>
  <c r="T350" i="2"/>
  <c r="Y350" i="2"/>
  <c r="P350" i="2"/>
  <c r="U350" i="2"/>
  <c r="AA350" i="2"/>
  <c r="AB350" i="2"/>
  <c r="Q350" i="2"/>
  <c r="W350" i="2"/>
  <c r="N314" i="2"/>
  <c r="R314" i="2"/>
  <c r="V314" i="2"/>
  <c r="Z314" i="2"/>
  <c r="O314" i="2"/>
  <c r="T314" i="2"/>
  <c r="Y314" i="2"/>
  <c r="Q314" i="2"/>
  <c r="W314" i="2"/>
  <c r="AB314" i="2"/>
  <c r="P314" i="2"/>
  <c r="U314" i="2"/>
  <c r="AA314" i="2"/>
  <c r="N310" i="2"/>
  <c r="R310" i="2"/>
  <c r="V310" i="2"/>
  <c r="Z310" i="2"/>
  <c r="O310" i="2"/>
  <c r="S310" i="2"/>
  <c r="W310" i="2"/>
  <c r="AA310" i="2"/>
  <c r="P310" i="2"/>
  <c r="X310" i="2"/>
  <c r="Q310" i="2"/>
  <c r="Y310" i="2"/>
  <c r="T310" i="2"/>
  <c r="AB310" i="2"/>
  <c r="N271" i="2"/>
  <c r="R271" i="2"/>
  <c r="V271" i="2"/>
  <c r="Z271" i="2"/>
  <c r="Q271" i="2"/>
  <c r="W271" i="2"/>
  <c r="AB271" i="2"/>
  <c r="O271" i="2"/>
  <c r="U271" i="2"/>
  <c r="AC271" i="2"/>
  <c r="P271" i="2"/>
  <c r="X271" i="2"/>
  <c r="S271" i="2"/>
  <c r="Y271" i="2"/>
  <c r="T271" i="2"/>
  <c r="P216" i="2"/>
  <c r="T216" i="2"/>
  <c r="X216" i="2"/>
  <c r="AB216" i="2"/>
  <c r="N216" i="2"/>
  <c r="S216" i="2"/>
  <c r="Y216" i="2"/>
  <c r="Q216" i="2"/>
  <c r="W216" i="2"/>
  <c r="R216" i="2"/>
  <c r="Z216" i="2"/>
  <c r="O216" i="2"/>
  <c r="AC216" i="2"/>
  <c r="U216" i="2"/>
  <c r="V216" i="2"/>
  <c r="N207" i="2"/>
  <c r="R207" i="2"/>
  <c r="V207" i="2"/>
  <c r="Z207" i="2"/>
  <c r="Q207" i="2"/>
  <c r="W207" i="2"/>
  <c r="AB207" i="2"/>
  <c r="O207" i="2"/>
  <c r="U207" i="2"/>
  <c r="AC207" i="2"/>
  <c r="P207" i="2"/>
  <c r="X207" i="2"/>
  <c r="S207" i="2"/>
  <c r="Y207" i="2"/>
  <c r="T207" i="2"/>
  <c r="P187" i="2"/>
  <c r="T187" i="2"/>
  <c r="X187" i="2"/>
  <c r="AB187" i="2"/>
  <c r="N187" i="2"/>
  <c r="S187" i="2"/>
  <c r="Y187" i="2"/>
  <c r="Q187" i="2"/>
  <c r="W187" i="2"/>
  <c r="R187" i="2"/>
  <c r="Z187" i="2"/>
  <c r="O187" i="2"/>
  <c r="AC187" i="2"/>
  <c r="U187" i="2"/>
  <c r="V187" i="2"/>
  <c r="AA187" i="2"/>
  <c r="X553" i="2"/>
  <c r="X551" i="2"/>
  <c r="X549" i="2"/>
  <c r="X547" i="2"/>
  <c r="X545" i="2"/>
  <c r="X543" i="2"/>
  <c r="X541" i="2"/>
  <c r="X539" i="2"/>
  <c r="X537" i="2"/>
  <c r="X535" i="2"/>
  <c r="X533" i="2"/>
  <c r="X531" i="2"/>
  <c r="X529" i="2"/>
  <c r="X527" i="2"/>
  <c r="X525" i="2"/>
  <c r="X523" i="2"/>
  <c r="X521" i="2"/>
  <c r="X519" i="2"/>
  <c r="X517" i="2"/>
  <c r="X515" i="2"/>
  <c r="X513" i="2"/>
  <c r="X511" i="2"/>
  <c r="X509" i="2"/>
  <c r="X507" i="2"/>
  <c r="N457" i="2"/>
  <c r="R457" i="2"/>
  <c r="V457" i="2"/>
  <c r="Z457" i="2"/>
  <c r="O457" i="2"/>
  <c r="S457" i="2"/>
  <c r="W457" i="2"/>
  <c r="AA457" i="2"/>
  <c r="N455" i="2"/>
  <c r="R455" i="2"/>
  <c r="V455" i="2"/>
  <c r="Z455" i="2"/>
  <c r="O455" i="2"/>
  <c r="S455" i="2"/>
  <c r="W455" i="2"/>
  <c r="AA455" i="2"/>
  <c r="N453" i="2"/>
  <c r="R453" i="2"/>
  <c r="V453" i="2"/>
  <c r="Z453" i="2"/>
  <c r="O453" i="2"/>
  <c r="S453" i="2"/>
  <c r="W453" i="2"/>
  <c r="AA453" i="2"/>
  <c r="N451" i="2"/>
  <c r="R451" i="2"/>
  <c r="V451" i="2"/>
  <c r="Z451" i="2"/>
  <c r="W451" i="2"/>
  <c r="O451" i="2"/>
  <c r="S451" i="2"/>
  <c r="AA451" i="2"/>
  <c r="N449" i="2"/>
  <c r="R449" i="2"/>
  <c r="V449" i="2"/>
  <c r="Z449" i="2"/>
  <c r="O449" i="2"/>
  <c r="S449" i="2"/>
  <c r="W449" i="2"/>
  <c r="AA449" i="2"/>
  <c r="N447" i="2"/>
  <c r="R447" i="2"/>
  <c r="V447" i="2"/>
  <c r="Z447" i="2"/>
  <c r="O447" i="2"/>
  <c r="S447" i="2"/>
  <c r="W447" i="2"/>
  <c r="AA447" i="2"/>
  <c r="N445" i="2"/>
  <c r="R445" i="2"/>
  <c r="V445" i="2"/>
  <c r="Z445" i="2"/>
  <c r="O445" i="2"/>
  <c r="S445" i="2"/>
  <c r="W445" i="2"/>
  <c r="AA445" i="2"/>
  <c r="N443" i="2"/>
  <c r="R443" i="2"/>
  <c r="V443" i="2"/>
  <c r="Z443" i="2"/>
  <c r="O443" i="2"/>
  <c r="S443" i="2"/>
  <c r="W443" i="2"/>
  <c r="AA443" i="2"/>
  <c r="N441" i="2"/>
  <c r="R441" i="2"/>
  <c r="V441" i="2"/>
  <c r="Z441" i="2"/>
  <c r="O441" i="2"/>
  <c r="S441" i="2"/>
  <c r="W441" i="2"/>
  <c r="AA441" i="2"/>
  <c r="N439" i="2"/>
  <c r="R439" i="2"/>
  <c r="V439" i="2"/>
  <c r="Z439" i="2"/>
  <c r="O439" i="2"/>
  <c r="S439" i="2"/>
  <c r="W439" i="2"/>
  <c r="AA439" i="2"/>
  <c r="N437" i="2"/>
  <c r="R437" i="2"/>
  <c r="V437" i="2"/>
  <c r="Z437" i="2"/>
  <c r="O437" i="2"/>
  <c r="S437" i="2"/>
  <c r="W437" i="2"/>
  <c r="AA437" i="2"/>
  <c r="N435" i="2"/>
  <c r="R435" i="2"/>
  <c r="V435" i="2"/>
  <c r="Z435" i="2"/>
  <c r="O435" i="2"/>
  <c r="S435" i="2"/>
  <c r="W435" i="2"/>
  <c r="AA435" i="2"/>
  <c r="N433" i="2"/>
  <c r="R433" i="2"/>
  <c r="V433" i="2"/>
  <c r="Z433" i="2"/>
  <c r="O433" i="2"/>
  <c r="S433" i="2"/>
  <c r="W433" i="2"/>
  <c r="AA433" i="2"/>
  <c r="N431" i="2"/>
  <c r="R431" i="2"/>
  <c r="V431" i="2"/>
  <c r="Z431" i="2"/>
  <c r="O431" i="2"/>
  <c r="S431" i="2"/>
  <c r="W431" i="2"/>
  <c r="AA431" i="2"/>
  <c r="N429" i="2"/>
  <c r="R429" i="2"/>
  <c r="V429" i="2"/>
  <c r="Z429" i="2"/>
  <c r="O429" i="2"/>
  <c r="S429" i="2"/>
  <c r="W429" i="2"/>
  <c r="AA429" i="2"/>
  <c r="N427" i="2"/>
  <c r="R427" i="2"/>
  <c r="V427" i="2"/>
  <c r="Z427" i="2"/>
  <c r="O427" i="2"/>
  <c r="S427" i="2"/>
  <c r="W427" i="2"/>
  <c r="AA427" i="2"/>
  <c r="N425" i="2"/>
  <c r="R425" i="2"/>
  <c r="V425" i="2"/>
  <c r="Z425" i="2"/>
  <c r="O425" i="2"/>
  <c r="S425" i="2"/>
  <c r="W425" i="2"/>
  <c r="AA425" i="2"/>
  <c r="N423" i="2"/>
  <c r="R423" i="2"/>
  <c r="V423" i="2"/>
  <c r="Z423" i="2"/>
  <c r="O423" i="2"/>
  <c r="S423" i="2"/>
  <c r="W423" i="2"/>
  <c r="AA423" i="2"/>
  <c r="N420" i="2"/>
  <c r="R420" i="2"/>
  <c r="V420" i="2"/>
  <c r="Z420" i="2"/>
  <c r="O420" i="2"/>
  <c r="T420" i="2"/>
  <c r="Y420" i="2"/>
  <c r="P420" i="2"/>
  <c r="U420" i="2"/>
  <c r="AA420" i="2"/>
  <c r="N418" i="2"/>
  <c r="R418" i="2"/>
  <c r="V418" i="2"/>
  <c r="Z418" i="2"/>
  <c r="O418" i="2"/>
  <c r="T418" i="2"/>
  <c r="Y418" i="2"/>
  <c r="P418" i="2"/>
  <c r="U418" i="2"/>
  <c r="AA418" i="2"/>
  <c r="N416" i="2"/>
  <c r="R416" i="2"/>
  <c r="V416" i="2"/>
  <c r="Z416" i="2"/>
  <c r="O416" i="2"/>
  <c r="T416" i="2"/>
  <c r="Y416" i="2"/>
  <c r="P416" i="2"/>
  <c r="U416" i="2"/>
  <c r="AA416" i="2"/>
  <c r="N414" i="2"/>
  <c r="R414" i="2"/>
  <c r="V414" i="2"/>
  <c r="Z414" i="2"/>
  <c r="O414" i="2"/>
  <c r="T414" i="2"/>
  <c r="Y414" i="2"/>
  <c r="P414" i="2"/>
  <c r="U414" i="2"/>
  <c r="AA414" i="2"/>
  <c r="N412" i="2"/>
  <c r="R412" i="2"/>
  <c r="V412" i="2"/>
  <c r="Z412" i="2"/>
  <c r="O412" i="2"/>
  <c r="T412" i="2"/>
  <c r="Y412" i="2"/>
  <c r="P412" i="2"/>
  <c r="U412" i="2"/>
  <c r="AA412" i="2"/>
  <c r="N410" i="2"/>
  <c r="R410" i="2"/>
  <c r="V410" i="2"/>
  <c r="Z410" i="2"/>
  <c r="O410" i="2"/>
  <c r="T410" i="2"/>
  <c r="Y410" i="2"/>
  <c r="P410" i="2"/>
  <c r="U410" i="2"/>
  <c r="AA410" i="2"/>
  <c r="N408" i="2"/>
  <c r="R408" i="2"/>
  <c r="V408" i="2"/>
  <c r="Z408" i="2"/>
  <c r="O408" i="2"/>
  <c r="T408" i="2"/>
  <c r="Y408" i="2"/>
  <c r="P408" i="2"/>
  <c r="U408" i="2"/>
  <c r="AA408" i="2"/>
  <c r="N406" i="2"/>
  <c r="R406" i="2"/>
  <c r="V406" i="2"/>
  <c r="Z406" i="2"/>
  <c r="O406" i="2"/>
  <c r="T406" i="2"/>
  <c r="Y406" i="2"/>
  <c r="P406" i="2"/>
  <c r="U406" i="2"/>
  <c r="AA406" i="2"/>
  <c r="X404" i="2"/>
  <c r="N402" i="2"/>
  <c r="R402" i="2"/>
  <c r="V402" i="2"/>
  <c r="Z402" i="2"/>
  <c r="O402" i="2"/>
  <c r="T402" i="2"/>
  <c r="Y402" i="2"/>
  <c r="Q402" i="2"/>
  <c r="W402" i="2"/>
  <c r="P402" i="2"/>
  <c r="U402" i="2"/>
  <c r="AA402" i="2"/>
  <c r="AB402" i="2"/>
  <c r="AC396" i="2"/>
  <c r="N394" i="2"/>
  <c r="R394" i="2"/>
  <c r="V394" i="2"/>
  <c r="Z394" i="2"/>
  <c r="O394" i="2"/>
  <c r="T394" i="2"/>
  <c r="Y394" i="2"/>
  <c r="AB394" i="2"/>
  <c r="P394" i="2"/>
  <c r="U394" i="2"/>
  <c r="AA394" i="2"/>
  <c r="Q394" i="2"/>
  <c r="W394" i="2"/>
  <c r="AC388" i="2"/>
  <c r="N386" i="2"/>
  <c r="R386" i="2"/>
  <c r="V386" i="2"/>
  <c r="Z386" i="2"/>
  <c r="O386" i="2"/>
  <c r="T386" i="2"/>
  <c r="Y386" i="2"/>
  <c r="P386" i="2"/>
  <c r="U386" i="2"/>
  <c r="AA386" i="2"/>
  <c r="Q386" i="2"/>
  <c r="W386" i="2"/>
  <c r="AB386" i="2"/>
  <c r="AC380" i="2"/>
  <c r="N378" i="2"/>
  <c r="R378" i="2"/>
  <c r="V378" i="2"/>
  <c r="Z378" i="2"/>
  <c r="O378" i="2"/>
  <c r="T378" i="2"/>
  <c r="Y378" i="2"/>
  <c r="P378" i="2"/>
  <c r="U378" i="2"/>
  <c r="AA378" i="2"/>
  <c r="Q378" i="2"/>
  <c r="W378" i="2"/>
  <c r="AB378" i="2"/>
  <c r="AC372" i="2"/>
  <c r="N370" i="2"/>
  <c r="R370" i="2"/>
  <c r="V370" i="2"/>
  <c r="Z370" i="2"/>
  <c r="O370" i="2"/>
  <c r="T370" i="2"/>
  <c r="Y370" i="2"/>
  <c r="Q370" i="2"/>
  <c r="W370" i="2"/>
  <c r="AB370" i="2"/>
  <c r="P370" i="2"/>
  <c r="U370" i="2"/>
  <c r="AA370" i="2"/>
  <c r="X366" i="2"/>
  <c r="AC364" i="2"/>
  <c r="AC358" i="2"/>
  <c r="N356" i="2"/>
  <c r="R356" i="2"/>
  <c r="V356" i="2"/>
  <c r="Z356" i="2"/>
  <c r="O356" i="2"/>
  <c r="T356" i="2"/>
  <c r="Y356" i="2"/>
  <c r="Q356" i="2"/>
  <c r="W356" i="2"/>
  <c r="P356" i="2"/>
  <c r="U356" i="2"/>
  <c r="AA356" i="2"/>
  <c r="AB356" i="2"/>
  <c r="X352" i="2"/>
  <c r="AC350" i="2"/>
  <c r="N348" i="2"/>
  <c r="R348" i="2"/>
  <c r="V348" i="2"/>
  <c r="Z348" i="2"/>
  <c r="O348" i="2"/>
  <c r="T348" i="2"/>
  <c r="Y348" i="2"/>
  <c r="P348" i="2"/>
  <c r="U348" i="2"/>
  <c r="AA348" i="2"/>
  <c r="Q348" i="2"/>
  <c r="W348" i="2"/>
  <c r="AB348" i="2"/>
  <c r="N346" i="2"/>
  <c r="R346" i="2"/>
  <c r="V346" i="2"/>
  <c r="Z346" i="2"/>
  <c r="O346" i="2"/>
  <c r="T346" i="2"/>
  <c r="Y346" i="2"/>
  <c r="P346" i="2"/>
  <c r="U346" i="2"/>
  <c r="AA346" i="2"/>
  <c r="Q346" i="2"/>
  <c r="W346" i="2"/>
  <c r="AB346" i="2"/>
  <c r="N344" i="2"/>
  <c r="R344" i="2"/>
  <c r="V344" i="2"/>
  <c r="Z344" i="2"/>
  <c r="O344" i="2"/>
  <c r="T344" i="2"/>
  <c r="Y344" i="2"/>
  <c r="P344" i="2"/>
  <c r="U344" i="2"/>
  <c r="AA344" i="2"/>
  <c r="Q344" i="2"/>
  <c r="W344" i="2"/>
  <c r="AB344" i="2"/>
  <c r="N342" i="2"/>
  <c r="R342" i="2"/>
  <c r="V342" i="2"/>
  <c r="Z342" i="2"/>
  <c r="O342" i="2"/>
  <c r="T342" i="2"/>
  <c r="Y342" i="2"/>
  <c r="AB342" i="2"/>
  <c r="P342" i="2"/>
  <c r="U342" i="2"/>
  <c r="AA342" i="2"/>
  <c r="Q342" i="2"/>
  <c r="W342" i="2"/>
  <c r="N340" i="2"/>
  <c r="R340" i="2"/>
  <c r="V340" i="2"/>
  <c r="Z340" i="2"/>
  <c r="O340" i="2"/>
  <c r="T340" i="2"/>
  <c r="Y340" i="2"/>
  <c r="P340" i="2"/>
  <c r="U340" i="2"/>
  <c r="AA340" i="2"/>
  <c r="Q340" i="2"/>
  <c r="W340" i="2"/>
  <c r="AB340" i="2"/>
  <c r="N338" i="2"/>
  <c r="R338" i="2"/>
  <c r="V338" i="2"/>
  <c r="Z338" i="2"/>
  <c r="O338" i="2"/>
  <c r="T338" i="2"/>
  <c r="Y338" i="2"/>
  <c r="P338" i="2"/>
  <c r="U338" i="2"/>
  <c r="AA338" i="2"/>
  <c r="Q338" i="2"/>
  <c r="W338" i="2"/>
  <c r="AB338" i="2"/>
  <c r="N336" i="2"/>
  <c r="R336" i="2"/>
  <c r="V336" i="2"/>
  <c r="Z336" i="2"/>
  <c r="O336" i="2"/>
  <c r="T336" i="2"/>
  <c r="Y336" i="2"/>
  <c r="AB336" i="2"/>
  <c r="P336" i="2"/>
  <c r="U336" i="2"/>
  <c r="AA336" i="2"/>
  <c r="Q336" i="2"/>
  <c r="W336" i="2"/>
  <c r="N334" i="2"/>
  <c r="R334" i="2"/>
  <c r="V334" i="2"/>
  <c r="Z334" i="2"/>
  <c r="O334" i="2"/>
  <c r="T334" i="2"/>
  <c r="Y334" i="2"/>
  <c r="AB334" i="2"/>
  <c r="P334" i="2"/>
  <c r="U334" i="2"/>
  <c r="AA334" i="2"/>
  <c r="Q334" i="2"/>
  <c r="W334" i="2"/>
  <c r="N332" i="2"/>
  <c r="R332" i="2"/>
  <c r="V332" i="2"/>
  <c r="Z332" i="2"/>
  <c r="O332" i="2"/>
  <c r="T332" i="2"/>
  <c r="Y332" i="2"/>
  <c r="P332" i="2"/>
  <c r="U332" i="2"/>
  <c r="AA332" i="2"/>
  <c r="Q332" i="2"/>
  <c r="W332" i="2"/>
  <c r="AB332" i="2"/>
  <c r="N330" i="2"/>
  <c r="R330" i="2"/>
  <c r="V330" i="2"/>
  <c r="Z330" i="2"/>
  <c r="O330" i="2"/>
  <c r="T330" i="2"/>
  <c r="Y330" i="2"/>
  <c r="AB330" i="2"/>
  <c r="P330" i="2"/>
  <c r="U330" i="2"/>
  <c r="AA330" i="2"/>
  <c r="Q330" i="2"/>
  <c r="W330" i="2"/>
  <c r="N328" i="2"/>
  <c r="R328" i="2"/>
  <c r="V328" i="2"/>
  <c r="Z328" i="2"/>
  <c r="O328" i="2"/>
  <c r="T328" i="2"/>
  <c r="Y328" i="2"/>
  <c r="Q328" i="2"/>
  <c r="W328" i="2"/>
  <c r="P328" i="2"/>
  <c r="U328" i="2"/>
  <c r="AA328" i="2"/>
  <c r="AB328" i="2"/>
  <c r="N326" i="2"/>
  <c r="R326" i="2"/>
  <c r="V326" i="2"/>
  <c r="Z326" i="2"/>
  <c r="O326" i="2"/>
  <c r="T326" i="2"/>
  <c r="Y326" i="2"/>
  <c r="Q326" i="2"/>
  <c r="W326" i="2"/>
  <c r="AB326" i="2"/>
  <c r="P326" i="2"/>
  <c r="U326" i="2"/>
  <c r="AA326" i="2"/>
  <c r="N324" i="2"/>
  <c r="R324" i="2"/>
  <c r="V324" i="2"/>
  <c r="Z324" i="2"/>
  <c r="O324" i="2"/>
  <c r="T324" i="2"/>
  <c r="Y324" i="2"/>
  <c r="Q324" i="2"/>
  <c r="W324" i="2"/>
  <c r="P324" i="2"/>
  <c r="U324" i="2"/>
  <c r="AA324" i="2"/>
  <c r="AB324" i="2"/>
  <c r="N322" i="2"/>
  <c r="R322" i="2"/>
  <c r="V322" i="2"/>
  <c r="Z322" i="2"/>
  <c r="O322" i="2"/>
  <c r="T322" i="2"/>
  <c r="Y322" i="2"/>
  <c r="P322" i="2"/>
  <c r="U322" i="2"/>
  <c r="AA322" i="2"/>
  <c r="Q322" i="2"/>
  <c r="W322" i="2"/>
  <c r="AB322" i="2"/>
  <c r="N320" i="2"/>
  <c r="R320" i="2"/>
  <c r="V320" i="2"/>
  <c r="Z320" i="2"/>
  <c r="O320" i="2"/>
  <c r="T320" i="2"/>
  <c r="Y320" i="2"/>
  <c r="AB320" i="2"/>
  <c r="P320" i="2"/>
  <c r="U320" i="2"/>
  <c r="AA320" i="2"/>
  <c r="Q320" i="2"/>
  <c r="W320" i="2"/>
  <c r="N318" i="2"/>
  <c r="R318" i="2"/>
  <c r="V318" i="2"/>
  <c r="Z318" i="2"/>
  <c r="O318" i="2"/>
  <c r="T318" i="2"/>
  <c r="Y318" i="2"/>
  <c r="Q318" i="2"/>
  <c r="AB318" i="2"/>
  <c r="P318" i="2"/>
  <c r="U318" i="2"/>
  <c r="AA318" i="2"/>
  <c r="W318" i="2"/>
  <c r="N316" i="2"/>
  <c r="R316" i="2"/>
  <c r="V316" i="2"/>
  <c r="Z316" i="2"/>
  <c r="O316" i="2"/>
  <c r="T316" i="2"/>
  <c r="Y316" i="2"/>
  <c r="P316" i="2"/>
  <c r="U316" i="2"/>
  <c r="AA316" i="2"/>
  <c r="Q316" i="2"/>
  <c r="W316" i="2"/>
  <c r="AB316" i="2"/>
  <c r="AC314" i="2"/>
  <c r="P264" i="2"/>
  <c r="T264" i="2"/>
  <c r="X264" i="2"/>
  <c r="AB264" i="2"/>
  <c r="N264" i="2"/>
  <c r="S264" i="2"/>
  <c r="Y264" i="2"/>
  <c r="Q264" i="2"/>
  <c r="W264" i="2"/>
  <c r="R264" i="2"/>
  <c r="Z264" i="2"/>
  <c r="O264" i="2"/>
  <c r="AC264" i="2"/>
  <c r="U264" i="2"/>
  <c r="V264" i="2"/>
  <c r="N255" i="2"/>
  <c r="R255" i="2"/>
  <c r="V255" i="2"/>
  <c r="Z255" i="2"/>
  <c r="Q255" i="2"/>
  <c r="W255" i="2"/>
  <c r="AB255" i="2"/>
  <c r="O255" i="2"/>
  <c r="U255" i="2"/>
  <c r="AC255" i="2"/>
  <c r="P255" i="2"/>
  <c r="X255" i="2"/>
  <c r="S255" i="2"/>
  <c r="Y255" i="2"/>
  <c r="T255" i="2"/>
  <c r="P200" i="2"/>
  <c r="T200" i="2"/>
  <c r="X200" i="2"/>
  <c r="AB200" i="2"/>
  <c r="N200" i="2"/>
  <c r="S200" i="2"/>
  <c r="Y200" i="2"/>
  <c r="Q200" i="2"/>
  <c r="W200" i="2"/>
  <c r="R200" i="2"/>
  <c r="Z200" i="2"/>
  <c r="O200" i="2"/>
  <c r="AC200" i="2"/>
  <c r="U200" i="2"/>
  <c r="V200" i="2"/>
  <c r="N398" i="2"/>
  <c r="R398" i="2"/>
  <c r="V398" i="2"/>
  <c r="Z398" i="2"/>
  <c r="O398" i="2"/>
  <c r="T398" i="2"/>
  <c r="Y398" i="2"/>
  <c r="AB398" i="2"/>
  <c r="P398" i="2"/>
  <c r="U398" i="2"/>
  <c r="AA398" i="2"/>
  <c r="Q398" i="2"/>
  <c r="W398" i="2"/>
  <c r="N390" i="2"/>
  <c r="R390" i="2"/>
  <c r="V390" i="2"/>
  <c r="Z390" i="2"/>
  <c r="O390" i="2"/>
  <c r="T390" i="2"/>
  <c r="Y390" i="2"/>
  <c r="AB390" i="2"/>
  <c r="P390" i="2"/>
  <c r="U390" i="2"/>
  <c r="AA390" i="2"/>
  <c r="Q390" i="2"/>
  <c r="W390" i="2"/>
  <c r="N382" i="2"/>
  <c r="R382" i="2"/>
  <c r="V382" i="2"/>
  <c r="Z382" i="2"/>
  <c r="O382" i="2"/>
  <c r="T382" i="2"/>
  <c r="Y382" i="2"/>
  <c r="AB382" i="2"/>
  <c r="P382" i="2"/>
  <c r="U382" i="2"/>
  <c r="AA382" i="2"/>
  <c r="Q382" i="2"/>
  <c r="W382" i="2"/>
  <c r="N374" i="2"/>
  <c r="R374" i="2"/>
  <c r="V374" i="2"/>
  <c r="Z374" i="2"/>
  <c r="O374" i="2"/>
  <c r="T374" i="2"/>
  <c r="Y374" i="2"/>
  <c r="Q374" i="2"/>
  <c r="W374" i="2"/>
  <c r="AB374" i="2"/>
  <c r="P374" i="2"/>
  <c r="U374" i="2"/>
  <c r="AA374" i="2"/>
  <c r="N360" i="2"/>
  <c r="R360" i="2"/>
  <c r="V360" i="2"/>
  <c r="Z360" i="2"/>
  <c r="O360" i="2"/>
  <c r="T360" i="2"/>
  <c r="Y360" i="2"/>
  <c r="Q360" i="2"/>
  <c r="W360" i="2"/>
  <c r="AB360" i="2"/>
  <c r="P360" i="2"/>
  <c r="U360" i="2"/>
  <c r="AA360" i="2"/>
  <c r="N223" i="2"/>
  <c r="R223" i="2"/>
  <c r="V223" i="2"/>
  <c r="Z223" i="2"/>
  <c r="Q223" i="2"/>
  <c r="W223" i="2"/>
  <c r="AB223" i="2"/>
  <c r="O223" i="2"/>
  <c r="U223" i="2"/>
  <c r="AC223" i="2"/>
  <c r="P223" i="2"/>
  <c r="X223" i="2"/>
  <c r="S223" i="2"/>
  <c r="Y223" i="2"/>
  <c r="T223" i="2"/>
  <c r="P100" i="2"/>
  <c r="T100" i="2"/>
  <c r="X100" i="2"/>
  <c r="AB100" i="2"/>
  <c r="N100" i="2"/>
  <c r="S100" i="2"/>
  <c r="Y100" i="2"/>
  <c r="O100" i="2"/>
  <c r="U100" i="2"/>
  <c r="Z100" i="2"/>
  <c r="Q100" i="2"/>
  <c r="AA100" i="2"/>
  <c r="R100" i="2"/>
  <c r="AC100" i="2"/>
  <c r="V100" i="2"/>
  <c r="W100" i="2"/>
  <c r="N553" i="2"/>
  <c r="R553" i="2"/>
  <c r="V553" i="2"/>
  <c r="Z553" i="2"/>
  <c r="O553" i="2"/>
  <c r="S553" i="2"/>
  <c r="W553" i="2"/>
  <c r="AA553" i="2"/>
  <c r="N551" i="2"/>
  <c r="R551" i="2"/>
  <c r="V551" i="2"/>
  <c r="Z551" i="2"/>
  <c r="S551" i="2"/>
  <c r="O551" i="2"/>
  <c r="W551" i="2"/>
  <c r="AA551" i="2"/>
  <c r="N549" i="2"/>
  <c r="R549" i="2"/>
  <c r="V549" i="2"/>
  <c r="Z549" i="2"/>
  <c r="O549" i="2"/>
  <c r="S549" i="2"/>
  <c r="W549" i="2"/>
  <c r="AA549" i="2"/>
  <c r="N547" i="2"/>
  <c r="R547" i="2"/>
  <c r="V547" i="2"/>
  <c r="Z547" i="2"/>
  <c r="O547" i="2"/>
  <c r="S547" i="2"/>
  <c r="W547" i="2"/>
  <c r="AA547" i="2"/>
  <c r="N545" i="2"/>
  <c r="R545" i="2"/>
  <c r="V545" i="2"/>
  <c r="Z545" i="2"/>
  <c r="O545" i="2"/>
  <c r="S545" i="2"/>
  <c r="W545" i="2"/>
  <c r="AA545" i="2"/>
  <c r="N543" i="2"/>
  <c r="R543" i="2"/>
  <c r="V543" i="2"/>
  <c r="Z543" i="2"/>
  <c r="O543" i="2"/>
  <c r="S543" i="2"/>
  <c r="W543" i="2"/>
  <c r="AA543" i="2"/>
  <c r="N541" i="2"/>
  <c r="R541" i="2"/>
  <c r="V541" i="2"/>
  <c r="Z541" i="2"/>
  <c r="O541" i="2"/>
  <c r="S541" i="2"/>
  <c r="W541" i="2"/>
  <c r="AA541" i="2"/>
  <c r="N539" i="2"/>
  <c r="R539" i="2"/>
  <c r="V539" i="2"/>
  <c r="Z539" i="2"/>
  <c r="O539" i="2"/>
  <c r="S539" i="2"/>
  <c r="W539" i="2"/>
  <c r="AA539" i="2"/>
  <c r="N537" i="2"/>
  <c r="R537" i="2"/>
  <c r="V537" i="2"/>
  <c r="Z537" i="2"/>
  <c r="O537" i="2"/>
  <c r="S537" i="2"/>
  <c r="W537" i="2"/>
  <c r="AA537" i="2"/>
  <c r="N535" i="2"/>
  <c r="R535" i="2"/>
  <c r="V535" i="2"/>
  <c r="Z535" i="2"/>
  <c r="O535" i="2"/>
  <c r="S535" i="2"/>
  <c r="W535" i="2"/>
  <c r="AA535" i="2"/>
  <c r="N533" i="2"/>
  <c r="R533" i="2"/>
  <c r="V533" i="2"/>
  <c r="Z533" i="2"/>
  <c r="O533" i="2"/>
  <c r="S533" i="2"/>
  <c r="W533" i="2"/>
  <c r="AA533" i="2"/>
  <c r="N531" i="2"/>
  <c r="R531" i="2"/>
  <c r="V531" i="2"/>
  <c r="Z531" i="2"/>
  <c r="O531" i="2"/>
  <c r="S531" i="2"/>
  <c r="W531" i="2"/>
  <c r="AA531" i="2"/>
  <c r="N529" i="2"/>
  <c r="R529" i="2"/>
  <c r="V529" i="2"/>
  <c r="Z529" i="2"/>
  <c r="O529" i="2"/>
  <c r="S529" i="2"/>
  <c r="W529" i="2"/>
  <c r="AA529" i="2"/>
  <c r="N527" i="2"/>
  <c r="R527" i="2"/>
  <c r="V527" i="2"/>
  <c r="Z527" i="2"/>
  <c r="O527" i="2"/>
  <c r="S527" i="2"/>
  <c r="W527" i="2"/>
  <c r="AA527" i="2"/>
  <c r="N525" i="2"/>
  <c r="R525" i="2"/>
  <c r="V525" i="2"/>
  <c r="Z525" i="2"/>
  <c r="O525" i="2"/>
  <c r="S525" i="2"/>
  <c r="W525" i="2"/>
  <c r="AA525" i="2"/>
  <c r="N523" i="2"/>
  <c r="R523" i="2"/>
  <c r="V523" i="2"/>
  <c r="Z523" i="2"/>
  <c r="O523" i="2"/>
  <c r="S523" i="2"/>
  <c r="W523" i="2"/>
  <c r="AA523" i="2"/>
  <c r="N521" i="2"/>
  <c r="R521" i="2"/>
  <c r="V521" i="2"/>
  <c r="Z521" i="2"/>
  <c r="O521" i="2"/>
  <c r="S521" i="2"/>
  <c r="W521" i="2"/>
  <c r="AA521" i="2"/>
  <c r="N519" i="2"/>
  <c r="R519" i="2"/>
  <c r="V519" i="2"/>
  <c r="Z519" i="2"/>
  <c r="O519" i="2"/>
  <c r="S519" i="2"/>
  <c r="W519" i="2"/>
  <c r="AA519" i="2"/>
  <c r="N517" i="2"/>
  <c r="R517" i="2"/>
  <c r="V517" i="2"/>
  <c r="Z517" i="2"/>
  <c r="O517" i="2"/>
  <c r="S517" i="2"/>
  <c r="W517" i="2"/>
  <c r="AA517" i="2"/>
  <c r="N515" i="2"/>
  <c r="R515" i="2"/>
  <c r="V515" i="2"/>
  <c r="Z515" i="2"/>
  <c r="O515" i="2"/>
  <c r="S515" i="2"/>
  <c r="W515" i="2"/>
  <c r="AA515" i="2"/>
  <c r="N513" i="2"/>
  <c r="R513" i="2"/>
  <c r="V513" i="2"/>
  <c r="Z513" i="2"/>
  <c r="O513" i="2"/>
  <c r="S513" i="2"/>
  <c r="W513" i="2"/>
  <c r="AA513" i="2"/>
  <c r="N511" i="2"/>
  <c r="R511" i="2"/>
  <c r="V511" i="2"/>
  <c r="Z511" i="2"/>
  <c r="O511" i="2"/>
  <c r="S511" i="2"/>
  <c r="W511" i="2"/>
  <c r="AA511" i="2"/>
  <c r="N509" i="2"/>
  <c r="R509" i="2"/>
  <c r="V509" i="2"/>
  <c r="Z509" i="2"/>
  <c r="O509" i="2"/>
  <c r="S509" i="2"/>
  <c r="W509" i="2"/>
  <c r="AA509" i="2"/>
  <c r="N507" i="2"/>
  <c r="R507" i="2"/>
  <c r="V507" i="2"/>
  <c r="Z507" i="2"/>
  <c r="O507" i="2"/>
  <c r="S507" i="2"/>
  <c r="W507" i="2"/>
  <c r="AA507" i="2"/>
  <c r="N505" i="2"/>
  <c r="R505" i="2"/>
  <c r="V505" i="2"/>
  <c r="Z505" i="2"/>
  <c r="O505" i="2"/>
  <c r="S505" i="2"/>
  <c r="W505" i="2"/>
  <c r="AA505" i="2"/>
  <c r="N503" i="2"/>
  <c r="R503" i="2"/>
  <c r="V503" i="2"/>
  <c r="Z503" i="2"/>
  <c r="O503" i="2"/>
  <c r="S503" i="2"/>
  <c r="W503" i="2"/>
  <c r="AA503" i="2"/>
  <c r="N501" i="2"/>
  <c r="R501" i="2"/>
  <c r="V501" i="2"/>
  <c r="Z501" i="2"/>
  <c r="O501" i="2"/>
  <c r="S501" i="2"/>
  <c r="W501" i="2"/>
  <c r="AA501" i="2"/>
  <c r="N499" i="2"/>
  <c r="R499" i="2"/>
  <c r="V499" i="2"/>
  <c r="Z499" i="2"/>
  <c r="O499" i="2"/>
  <c r="S499" i="2"/>
  <c r="W499" i="2"/>
  <c r="AA499" i="2"/>
  <c r="N497" i="2"/>
  <c r="R497" i="2"/>
  <c r="V497" i="2"/>
  <c r="Z497" i="2"/>
  <c r="O497" i="2"/>
  <c r="S497" i="2"/>
  <c r="W497" i="2"/>
  <c r="AA497" i="2"/>
  <c r="N495" i="2"/>
  <c r="R495" i="2"/>
  <c r="V495" i="2"/>
  <c r="Z495" i="2"/>
  <c r="O495" i="2"/>
  <c r="S495" i="2"/>
  <c r="W495" i="2"/>
  <c r="AA495" i="2"/>
  <c r="N493" i="2"/>
  <c r="R493" i="2"/>
  <c r="V493" i="2"/>
  <c r="Z493" i="2"/>
  <c r="O493" i="2"/>
  <c r="S493" i="2"/>
  <c r="W493" i="2"/>
  <c r="AA493" i="2"/>
  <c r="N491" i="2"/>
  <c r="R491" i="2"/>
  <c r="V491" i="2"/>
  <c r="Z491" i="2"/>
  <c r="O491" i="2"/>
  <c r="S491" i="2"/>
  <c r="W491" i="2"/>
  <c r="AA491" i="2"/>
  <c r="N489" i="2"/>
  <c r="R489" i="2"/>
  <c r="V489" i="2"/>
  <c r="Z489" i="2"/>
  <c r="O489" i="2"/>
  <c r="S489" i="2"/>
  <c r="W489" i="2"/>
  <c r="AA489" i="2"/>
  <c r="N487" i="2"/>
  <c r="R487" i="2"/>
  <c r="V487" i="2"/>
  <c r="Z487" i="2"/>
  <c r="O487" i="2"/>
  <c r="S487" i="2"/>
  <c r="W487" i="2"/>
  <c r="AA487" i="2"/>
  <c r="N485" i="2"/>
  <c r="R485" i="2"/>
  <c r="V485" i="2"/>
  <c r="Z485" i="2"/>
  <c r="O485" i="2"/>
  <c r="S485" i="2"/>
  <c r="W485" i="2"/>
  <c r="AA485" i="2"/>
  <c r="N483" i="2"/>
  <c r="R483" i="2"/>
  <c r="V483" i="2"/>
  <c r="Z483" i="2"/>
  <c r="O483" i="2"/>
  <c r="S483" i="2"/>
  <c r="W483" i="2"/>
  <c r="AA483" i="2"/>
  <c r="N481" i="2"/>
  <c r="R481" i="2"/>
  <c r="V481" i="2"/>
  <c r="Z481" i="2"/>
  <c r="O481" i="2"/>
  <c r="S481" i="2"/>
  <c r="W481" i="2"/>
  <c r="AA481" i="2"/>
  <c r="N479" i="2"/>
  <c r="R479" i="2"/>
  <c r="V479" i="2"/>
  <c r="Z479" i="2"/>
  <c r="O479" i="2"/>
  <c r="S479" i="2"/>
  <c r="W479" i="2"/>
  <c r="AA479" i="2"/>
  <c r="N477" i="2"/>
  <c r="R477" i="2"/>
  <c r="V477" i="2"/>
  <c r="Z477" i="2"/>
  <c r="O477" i="2"/>
  <c r="S477" i="2"/>
  <c r="W477" i="2"/>
  <c r="AA477" i="2"/>
  <c r="N475" i="2"/>
  <c r="R475" i="2"/>
  <c r="V475" i="2"/>
  <c r="Z475" i="2"/>
  <c r="O475" i="2"/>
  <c r="S475" i="2"/>
  <c r="W475" i="2"/>
  <c r="AA475" i="2"/>
  <c r="N473" i="2"/>
  <c r="R473" i="2"/>
  <c r="V473" i="2"/>
  <c r="Z473" i="2"/>
  <c r="O473" i="2"/>
  <c r="S473" i="2"/>
  <c r="W473" i="2"/>
  <c r="AA473" i="2"/>
  <c r="N471" i="2"/>
  <c r="R471" i="2"/>
  <c r="V471" i="2"/>
  <c r="Z471" i="2"/>
  <c r="O471" i="2"/>
  <c r="S471" i="2"/>
  <c r="W471" i="2"/>
  <c r="AA471" i="2"/>
  <c r="N469" i="2"/>
  <c r="R469" i="2"/>
  <c r="V469" i="2"/>
  <c r="Z469" i="2"/>
  <c r="O469" i="2"/>
  <c r="S469" i="2"/>
  <c r="W469" i="2"/>
  <c r="AA469" i="2"/>
  <c r="N467" i="2"/>
  <c r="R467" i="2"/>
  <c r="V467" i="2"/>
  <c r="Z467" i="2"/>
  <c r="O467" i="2"/>
  <c r="S467" i="2"/>
  <c r="W467" i="2"/>
  <c r="AA467" i="2"/>
  <c r="N465" i="2"/>
  <c r="R465" i="2"/>
  <c r="V465" i="2"/>
  <c r="Z465" i="2"/>
  <c r="O465" i="2"/>
  <c r="S465" i="2"/>
  <c r="W465" i="2"/>
  <c r="AA465" i="2"/>
  <c r="N463" i="2"/>
  <c r="R463" i="2"/>
  <c r="V463" i="2"/>
  <c r="Z463" i="2"/>
  <c r="O463" i="2"/>
  <c r="S463" i="2"/>
  <c r="W463" i="2"/>
  <c r="AA463" i="2"/>
  <c r="N461" i="2"/>
  <c r="R461" i="2"/>
  <c r="V461" i="2"/>
  <c r="Z461" i="2"/>
  <c r="O461" i="2"/>
  <c r="S461" i="2"/>
  <c r="W461" i="2"/>
  <c r="AA461" i="2"/>
  <c r="N459" i="2"/>
  <c r="R459" i="2"/>
  <c r="V459" i="2"/>
  <c r="Z459" i="2"/>
  <c r="O459" i="2"/>
  <c r="S459" i="2"/>
  <c r="W459" i="2"/>
  <c r="AA459" i="2"/>
  <c r="AB457" i="2"/>
  <c r="T457" i="2"/>
  <c r="AB455" i="2"/>
  <c r="T455" i="2"/>
  <c r="AB453" i="2"/>
  <c r="T453" i="2"/>
  <c r="AB451" i="2"/>
  <c r="T451" i="2"/>
  <c r="AB449" i="2"/>
  <c r="T449" i="2"/>
  <c r="AB447" i="2"/>
  <c r="T447" i="2"/>
  <c r="AB445" i="2"/>
  <c r="T445" i="2"/>
  <c r="AB443" i="2"/>
  <c r="T443" i="2"/>
  <c r="AB441" i="2"/>
  <c r="T441" i="2"/>
  <c r="AB439" i="2"/>
  <c r="T439" i="2"/>
  <c r="AB437" i="2"/>
  <c r="T437" i="2"/>
  <c r="AB435" i="2"/>
  <c r="T435" i="2"/>
  <c r="AB433" i="2"/>
  <c r="T433" i="2"/>
  <c r="AB431" i="2"/>
  <c r="T431" i="2"/>
  <c r="AB429" i="2"/>
  <c r="T429" i="2"/>
  <c r="AB427" i="2"/>
  <c r="T427" i="2"/>
  <c r="AB425" i="2"/>
  <c r="T425" i="2"/>
  <c r="AB423" i="2"/>
  <c r="T423" i="2"/>
  <c r="W420" i="2"/>
  <c r="W418" i="2"/>
  <c r="W416" i="2"/>
  <c r="W414" i="2"/>
  <c r="W412" i="2"/>
  <c r="W410" i="2"/>
  <c r="W408" i="2"/>
  <c r="W406" i="2"/>
  <c r="W404" i="2"/>
  <c r="AC402" i="2"/>
  <c r="N400" i="2"/>
  <c r="R400" i="2"/>
  <c r="V400" i="2"/>
  <c r="Z400" i="2"/>
  <c r="O400" i="2"/>
  <c r="T400" i="2"/>
  <c r="Y400" i="2"/>
  <c r="P400" i="2"/>
  <c r="U400" i="2"/>
  <c r="AA400" i="2"/>
  <c r="Q400" i="2"/>
  <c r="W400" i="2"/>
  <c r="AB400" i="2"/>
  <c r="S398" i="2"/>
  <c r="X396" i="2"/>
  <c r="AC394" i="2"/>
  <c r="N392" i="2"/>
  <c r="R392" i="2"/>
  <c r="V392" i="2"/>
  <c r="Z392" i="2"/>
  <c r="O392" i="2"/>
  <c r="T392" i="2"/>
  <c r="Y392" i="2"/>
  <c r="P392" i="2"/>
  <c r="U392" i="2"/>
  <c r="AA392" i="2"/>
  <c r="Q392" i="2"/>
  <c r="W392" i="2"/>
  <c r="AB392" i="2"/>
  <c r="S390" i="2"/>
  <c r="X388" i="2"/>
  <c r="AC386" i="2"/>
  <c r="N384" i="2"/>
  <c r="R384" i="2"/>
  <c r="V384" i="2"/>
  <c r="Z384" i="2"/>
  <c r="O384" i="2"/>
  <c r="T384" i="2"/>
  <c r="Y384" i="2"/>
  <c r="P384" i="2"/>
  <c r="U384" i="2"/>
  <c r="AA384" i="2"/>
  <c r="Q384" i="2"/>
  <c r="W384" i="2"/>
  <c r="AB384" i="2"/>
  <c r="S382" i="2"/>
  <c r="X380" i="2"/>
  <c r="AC378" i="2"/>
  <c r="N376" i="2"/>
  <c r="R376" i="2"/>
  <c r="V376" i="2"/>
  <c r="Z376" i="2"/>
  <c r="O376" i="2"/>
  <c r="T376" i="2"/>
  <c r="Y376" i="2"/>
  <c r="P376" i="2"/>
  <c r="U376" i="2"/>
  <c r="AA376" i="2"/>
  <c r="Q376" i="2"/>
  <c r="W376" i="2"/>
  <c r="AB376" i="2"/>
  <c r="S374" i="2"/>
  <c r="X372" i="2"/>
  <c r="AC370" i="2"/>
  <c r="N368" i="2"/>
  <c r="R368" i="2"/>
  <c r="V368" i="2"/>
  <c r="Z368" i="2"/>
  <c r="O368" i="2"/>
  <c r="T368" i="2"/>
  <c r="Y368" i="2"/>
  <c r="P368" i="2"/>
  <c r="U368" i="2"/>
  <c r="AA368" i="2"/>
  <c r="Q368" i="2"/>
  <c r="W368" i="2"/>
  <c r="AB368" i="2"/>
  <c r="S366" i="2"/>
  <c r="X364" i="2"/>
  <c r="N362" i="2"/>
  <c r="R362" i="2"/>
  <c r="V362" i="2"/>
  <c r="Z362" i="2"/>
  <c r="O362" i="2"/>
  <c r="T362" i="2"/>
  <c r="Y362" i="2"/>
  <c r="P362" i="2"/>
  <c r="U362" i="2"/>
  <c r="AA362" i="2"/>
  <c r="AB362" i="2"/>
  <c r="Q362" i="2"/>
  <c r="W362" i="2"/>
  <c r="S360" i="2"/>
  <c r="X358" i="2"/>
  <c r="AC356" i="2"/>
  <c r="N354" i="2"/>
  <c r="R354" i="2"/>
  <c r="V354" i="2"/>
  <c r="Z354" i="2"/>
  <c r="O354" i="2"/>
  <c r="T354" i="2"/>
  <c r="Y354" i="2"/>
  <c r="P354" i="2"/>
  <c r="U354" i="2"/>
  <c r="AA354" i="2"/>
  <c r="Q354" i="2"/>
  <c r="W354" i="2"/>
  <c r="AB354" i="2"/>
  <c r="S352" i="2"/>
  <c r="X350" i="2"/>
  <c r="AC348" i="2"/>
  <c r="AC346" i="2"/>
  <c r="AC344" i="2"/>
  <c r="AC342" i="2"/>
  <c r="AC340" i="2"/>
  <c r="AC338" i="2"/>
  <c r="AC336" i="2"/>
  <c r="AC334" i="2"/>
  <c r="X314" i="2"/>
  <c r="N312" i="2"/>
  <c r="R312" i="2"/>
  <c r="V312" i="2"/>
  <c r="Z312" i="2"/>
  <c r="O312" i="2"/>
  <c r="S312" i="2"/>
  <c r="W312" i="2"/>
  <c r="AA312" i="2"/>
  <c r="P312" i="2"/>
  <c r="X312" i="2"/>
  <c r="AB312" i="2"/>
  <c r="Q312" i="2"/>
  <c r="Y312" i="2"/>
  <c r="T312" i="2"/>
  <c r="AC310" i="2"/>
  <c r="P248" i="2"/>
  <c r="T248" i="2"/>
  <c r="X248" i="2"/>
  <c r="AB248" i="2"/>
  <c r="N248" i="2"/>
  <c r="S248" i="2"/>
  <c r="Y248" i="2"/>
  <c r="Q248" i="2"/>
  <c r="W248" i="2"/>
  <c r="R248" i="2"/>
  <c r="Z248" i="2"/>
  <c r="O248" i="2"/>
  <c r="AC248" i="2"/>
  <c r="U248" i="2"/>
  <c r="V248" i="2"/>
  <c r="N239" i="2"/>
  <c r="R239" i="2"/>
  <c r="V239" i="2"/>
  <c r="Z239" i="2"/>
  <c r="Q239" i="2"/>
  <c r="W239" i="2"/>
  <c r="AB239" i="2"/>
  <c r="O239" i="2"/>
  <c r="U239" i="2"/>
  <c r="AC239" i="2"/>
  <c r="P239" i="2"/>
  <c r="X239" i="2"/>
  <c r="S239" i="2"/>
  <c r="Y239" i="2"/>
  <c r="T239" i="2"/>
  <c r="AA232" i="2"/>
  <c r="AA223" i="2"/>
  <c r="P192" i="2"/>
  <c r="T192" i="2"/>
  <c r="X192" i="2"/>
  <c r="AB192" i="2"/>
  <c r="N192" i="2"/>
  <c r="S192" i="2"/>
  <c r="Y192" i="2"/>
  <c r="O192" i="2"/>
  <c r="U192" i="2"/>
  <c r="Z192" i="2"/>
  <c r="R192" i="2"/>
  <c r="AC192" i="2"/>
  <c r="V192" i="2"/>
  <c r="Q192" i="2"/>
  <c r="W192" i="2"/>
  <c r="AA192" i="2"/>
  <c r="N182" i="2"/>
  <c r="R182" i="2"/>
  <c r="V182" i="2"/>
  <c r="Z182" i="2"/>
  <c r="Q182" i="2"/>
  <c r="W182" i="2"/>
  <c r="AB182" i="2"/>
  <c r="O182" i="2"/>
  <c r="U182" i="2"/>
  <c r="AC182" i="2"/>
  <c r="P182" i="2"/>
  <c r="X182" i="2"/>
  <c r="S182" i="2"/>
  <c r="T182" i="2"/>
  <c r="Y182" i="2"/>
  <c r="AA182" i="2"/>
  <c r="N158" i="2"/>
  <c r="R158" i="2"/>
  <c r="V158" i="2"/>
  <c r="Z158" i="2"/>
  <c r="Q158" i="2"/>
  <c r="W158" i="2"/>
  <c r="AB158" i="2"/>
  <c r="O158" i="2"/>
  <c r="U158" i="2"/>
  <c r="AC158" i="2"/>
  <c r="P158" i="2"/>
  <c r="X158" i="2"/>
  <c r="S158" i="2"/>
  <c r="T158" i="2"/>
  <c r="Y158" i="2"/>
  <c r="AA158" i="2"/>
  <c r="W306" i="2"/>
  <c r="P302" i="2"/>
  <c r="T302" i="2"/>
  <c r="X302" i="2"/>
  <c r="AB302" i="2"/>
  <c r="O302" i="2"/>
  <c r="U302" i="2"/>
  <c r="Z302" i="2"/>
  <c r="Q302" i="2"/>
  <c r="V302" i="2"/>
  <c r="AA302" i="2"/>
  <c r="W298" i="2"/>
  <c r="P294" i="2"/>
  <c r="T294" i="2"/>
  <c r="X294" i="2"/>
  <c r="AB294" i="2"/>
  <c r="O294" i="2"/>
  <c r="U294" i="2"/>
  <c r="Z294" i="2"/>
  <c r="Q294" i="2"/>
  <c r="V294" i="2"/>
  <c r="AA294" i="2"/>
  <c r="W290" i="2"/>
  <c r="P286" i="2"/>
  <c r="T286" i="2"/>
  <c r="X286" i="2"/>
  <c r="AB286" i="2"/>
  <c r="O286" i="2"/>
  <c r="U286" i="2"/>
  <c r="Z286" i="2"/>
  <c r="Q286" i="2"/>
  <c r="V286" i="2"/>
  <c r="AA286" i="2"/>
  <c r="P282" i="2"/>
  <c r="T282" i="2"/>
  <c r="X282" i="2"/>
  <c r="AB282" i="2"/>
  <c r="O282" i="2"/>
  <c r="U282" i="2"/>
  <c r="Z282" i="2"/>
  <c r="Q282" i="2"/>
  <c r="V282" i="2"/>
  <c r="AA282" i="2"/>
  <c r="P278" i="2"/>
  <c r="T278" i="2"/>
  <c r="X278" i="2"/>
  <c r="AB278" i="2"/>
  <c r="O278" i="2"/>
  <c r="U278" i="2"/>
  <c r="Z278" i="2"/>
  <c r="Q278" i="2"/>
  <c r="V278" i="2"/>
  <c r="AA278" i="2"/>
  <c r="W274" i="2"/>
  <c r="N267" i="2"/>
  <c r="R267" i="2"/>
  <c r="V267" i="2"/>
  <c r="Z267" i="2"/>
  <c r="Q267" i="2"/>
  <c r="W267" i="2"/>
  <c r="AB267" i="2"/>
  <c r="O267" i="2"/>
  <c r="U267" i="2"/>
  <c r="AC267" i="2"/>
  <c r="P267" i="2"/>
  <c r="X267" i="2"/>
  <c r="AA260" i="2"/>
  <c r="N251" i="2"/>
  <c r="R251" i="2"/>
  <c r="V251" i="2"/>
  <c r="Z251" i="2"/>
  <c r="Q251" i="2"/>
  <c r="W251" i="2"/>
  <c r="AB251" i="2"/>
  <c r="O251" i="2"/>
  <c r="U251" i="2"/>
  <c r="AC251" i="2"/>
  <c r="P251" i="2"/>
  <c r="X251" i="2"/>
  <c r="AA244" i="2"/>
  <c r="N235" i="2"/>
  <c r="R235" i="2"/>
  <c r="V235" i="2"/>
  <c r="Z235" i="2"/>
  <c r="Q235" i="2"/>
  <c r="W235" i="2"/>
  <c r="AB235" i="2"/>
  <c r="O235" i="2"/>
  <c r="U235" i="2"/>
  <c r="AC235" i="2"/>
  <c r="P235" i="2"/>
  <c r="X235" i="2"/>
  <c r="AA228" i="2"/>
  <c r="N219" i="2"/>
  <c r="R219" i="2"/>
  <c r="V219" i="2"/>
  <c r="Z219" i="2"/>
  <c r="Q219" i="2"/>
  <c r="W219" i="2"/>
  <c r="AB219" i="2"/>
  <c r="O219" i="2"/>
  <c r="U219" i="2"/>
  <c r="AC219" i="2"/>
  <c r="P219" i="2"/>
  <c r="X219" i="2"/>
  <c r="AA212" i="2"/>
  <c r="N203" i="2"/>
  <c r="R203" i="2"/>
  <c r="V203" i="2"/>
  <c r="Z203" i="2"/>
  <c r="Q203" i="2"/>
  <c r="W203" i="2"/>
  <c r="AB203" i="2"/>
  <c r="O203" i="2"/>
  <c r="U203" i="2"/>
  <c r="AC203" i="2"/>
  <c r="P203" i="2"/>
  <c r="X203" i="2"/>
  <c r="N174" i="2"/>
  <c r="R174" i="2"/>
  <c r="V174" i="2"/>
  <c r="Z174" i="2"/>
  <c r="Q174" i="2"/>
  <c r="W174" i="2"/>
  <c r="AB174" i="2"/>
  <c r="O174" i="2"/>
  <c r="U174" i="2"/>
  <c r="AC174" i="2"/>
  <c r="P174" i="2"/>
  <c r="X174" i="2"/>
  <c r="S174" i="2"/>
  <c r="T174" i="2"/>
  <c r="AC552" i="2"/>
  <c r="Y552" i="2"/>
  <c r="U552" i="2"/>
  <c r="Q552" i="2"/>
  <c r="AC550" i="2"/>
  <c r="Y550" i="2"/>
  <c r="U550" i="2"/>
  <c r="Q550" i="2"/>
  <c r="AC542" i="2"/>
  <c r="Y542" i="2"/>
  <c r="U542" i="2"/>
  <c r="Q542" i="2"/>
  <c r="AC538" i="2"/>
  <c r="Y538" i="2"/>
  <c r="U538" i="2"/>
  <c r="Q538" i="2"/>
  <c r="AC534" i="2"/>
  <c r="Y534" i="2"/>
  <c r="U534" i="2"/>
  <c r="Q534" i="2"/>
  <c r="AC530" i="2"/>
  <c r="Y530" i="2"/>
  <c r="U530" i="2"/>
  <c r="Q530" i="2"/>
  <c r="AC526" i="2"/>
  <c r="Y526" i="2"/>
  <c r="U526" i="2"/>
  <c r="Q526" i="2"/>
  <c r="AC522" i="2"/>
  <c r="Y522" i="2"/>
  <c r="U522" i="2"/>
  <c r="Q522" i="2"/>
  <c r="AC518" i="2"/>
  <c r="Y518" i="2"/>
  <c r="U518" i="2"/>
  <c r="Q518" i="2"/>
  <c r="AC514" i="2"/>
  <c r="Y514" i="2"/>
  <c r="U514" i="2"/>
  <c r="Q514" i="2"/>
  <c r="AC510" i="2"/>
  <c r="Y510" i="2"/>
  <c r="U510" i="2"/>
  <c r="Q510" i="2"/>
  <c r="AC506" i="2"/>
  <c r="Y506" i="2"/>
  <c r="U506" i="2"/>
  <c r="Q506" i="2"/>
  <c r="AC502" i="2"/>
  <c r="Y502" i="2"/>
  <c r="U502" i="2"/>
  <c r="Q502" i="2"/>
  <c r="AC498" i="2"/>
  <c r="Y498" i="2"/>
  <c r="U498" i="2"/>
  <c r="Q498" i="2"/>
  <c r="AC494" i="2"/>
  <c r="Y494" i="2"/>
  <c r="U494" i="2"/>
  <c r="Q494" i="2"/>
  <c r="AC490" i="2"/>
  <c r="Y490" i="2"/>
  <c r="U490" i="2"/>
  <c r="Q490" i="2"/>
  <c r="AC486" i="2"/>
  <c r="Y486" i="2"/>
  <c r="U486" i="2"/>
  <c r="Q486" i="2"/>
  <c r="AC482" i="2"/>
  <c r="Y482" i="2"/>
  <c r="U482" i="2"/>
  <c r="Q482" i="2"/>
  <c r="AC478" i="2"/>
  <c r="Y478" i="2"/>
  <c r="U478" i="2"/>
  <c r="Q478" i="2"/>
  <c r="AC474" i="2"/>
  <c r="Y474" i="2"/>
  <c r="U474" i="2"/>
  <c r="Q474" i="2"/>
  <c r="AC470" i="2"/>
  <c r="Y470" i="2"/>
  <c r="U470" i="2"/>
  <c r="Q470" i="2"/>
  <c r="AC466" i="2"/>
  <c r="Y466" i="2"/>
  <c r="U466" i="2"/>
  <c r="Q466" i="2"/>
  <c r="AC462" i="2"/>
  <c r="Y462" i="2"/>
  <c r="U462" i="2"/>
  <c r="Q462" i="2"/>
  <c r="AC456" i="2"/>
  <c r="Y456" i="2"/>
  <c r="U456" i="2"/>
  <c r="Q456" i="2"/>
  <c r="AC454" i="2"/>
  <c r="Y454" i="2"/>
  <c r="U454" i="2"/>
  <c r="Q454" i="2"/>
  <c r="AC450" i="2"/>
  <c r="Y450" i="2"/>
  <c r="U450" i="2"/>
  <c r="Q450" i="2"/>
  <c r="AC446" i="2"/>
  <c r="Y446" i="2"/>
  <c r="U446" i="2"/>
  <c r="Q446" i="2"/>
  <c r="AC442" i="2"/>
  <c r="Y442" i="2"/>
  <c r="U442" i="2"/>
  <c r="Q442" i="2"/>
  <c r="AC438" i="2"/>
  <c r="Y438" i="2"/>
  <c r="U438" i="2"/>
  <c r="Q438" i="2"/>
  <c r="AC432" i="2"/>
  <c r="Y432" i="2"/>
  <c r="U432" i="2"/>
  <c r="Q432" i="2"/>
  <c r="AC428" i="2"/>
  <c r="Y428" i="2"/>
  <c r="U428" i="2"/>
  <c r="Q428" i="2"/>
  <c r="AA421" i="2"/>
  <c r="W421" i="2"/>
  <c r="P419" i="2"/>
  <c r="T419" i="2"/>
  <c r="X419" i="2"/>
  <c r="AB419" i="2"/>
  <c r="AC417" i="2"/>
  <c r="W417" i="2"/>
  <c r="P415" i="2"/>
  <c r="T415" i="2"/>
  <c r="X415" i="2"/>
  <c r="AB415" i="2"/>
  <c r="AC413" i="2"/>
  <c r="W413" i="2"/>
  <c r="P411" i="2"/>
  <c r="T411" i="2"/>
  <c r="X411" i="2"/>
  <c r="AB411" i="2"/>
  <c r="AC409" i="2"/>
  <c r="W409" i="2"/>
  <c r="P407" i="2"/>
  <c r="T407" i="2"/>
  <c r="X407" i="2"/>
  <c r="AB407" i="2"/>
  <c r="AC405" i="2"/>
  <c r="W405" i="2"/>
  <c r="P403" i="2"/>
  <c r="T403" i="2"/>
  <c r="X403" i="2"/>
  <c r="AB403" i="2"/>
  <c r="AC401" i="2"/>
  <c r="W401" i="2"/>
  <c r="P399" i="2"/>
  <c r="T399" i="2"/>
  <c r="X399" i="2"/>
  <c r="AB399" i="2"/>
  <c r="AC397" i="2"/>
  <c r="W397" i="2"/>
  <c r="P395" i="2"/>
  <c r="T395" i="2"/>
  <c r="X395" i="2"/>
  <c r="AB395" i="2"/>
  <c r="AC393" i="2"/>
  <c r="W393" i="2"/>
  <c r="P391" i="2"/>
  <c r="T391" i="2"/>
  <c r="X391" i="2"/>
  <c r="AB391" i="2"/>
  <c r="AC389" i="2"/>
  <c r="W389" i="2"/>
  <c r="P387" i="2"/>
  <c r="T387" i="2"/>
  <c r="X387" i="2"/>
  <c r="AB387" i="2"/>
  <c r="AC385" i="2"/>
  <c r="W385" i="2"/>
  <c r="P383" i="2"/>
  <c r="T383" i="2"/>
  <c r="X383" i="2"/>
  <c r="AB383" i="2"/>
  <c r="AC381" i="2"/>
  <c r="W381" i="2"/>
  <c r="P379" i="2"/>
  <c r="T379" i="2"/>
  <c r="X379" i="2"/>
  <c r="AB379" i="2"/>
  <c r="AC377" i="2"/>
  <c r="W377" i="2"/>
  <c r="P375" i="2"/>
  <c r="T375" i="2"/>
  <c r="X375" i="2"/>
  <c r="AB375" i="2"/>
  <c r="AC373" i="2"/>
  <c r="W373" i="2"/>
  <c r="P371" i="2"/>
  <c r="T371" i="2"/>
  <c r="X371" i="2"/>
  <c r="AB371" i="2"/>
  <c r="AC369" i="2"/>
  <c r="W369" i="2"/>
  <c r="P367" i="2"/>
  <c r="T367" i="2"/>
  <c r="X367" i="2"/>
  <c r="AB367" i="2"/>
  <c r="AC365" i="2"/>
  <c r="W365" i="2"/>
  <c r="W363" i="2"/>
  <c r="P361" i="2"/>
  <c r="T361" i="2"/>
  <c r="X361" i="2"/>
  <c r="AB361" i="2"/>
  <c r="AC359" i="2"/>
  <c r="W359" i="2"/>
  <c r="P357" i="2"/>
  <c r="T357" i="2"/>
  <c r="X357" i="2"/>
  <c r="AB357" i="2"/>
  <c r="AC355" i="2"/>
  <c r="W355" i="2"/>
  <c r="P353" i="2"/>
  <c r="T353" i="2"/>
  <c r="X353" i="2"/>
  <c r="AB353" i="2"/>
  <c r="AC351" i="2"/>
  <c r="W351" i="2"/>
  <c r="P349" i="2"/>
  <c r="T349" i="2"/>
  <c r="X349" i="2"/>
  <c r="AB349" i="2"/>
  <c r="P347" i="2"/>
  <c r="T347" i="2"/>
  <c r="X347" i="2"/>
  <c r="AB347" i="2"/>
  <c r="P345" i="2"/>
  <c r="T345" i="2"/>
  <c r="X345" i="2"/>
  <c r="AB345" i="2"/>
  <c r="P343" i="2"/>
  <c r="T343" i="2"/>
  <c r="X343" i="2"/>
  <c r="AB343" i="2"/>
  <c r="P341" i="2"/>
  <c r="T341" i="2"/>
  <c r="X341" i="2"/>
  <c r="AB341" i="2"/>
  <c r="P339" i="2"/>
  <c r="T339" i="2"/>
  <c r="X339" i="2"/>
  <c r="AB339" i="2"/>
  <c r="P337" i="2"/>
  <c r="T337" i="2"/>
  <c r="X337" i="2"/>
  <c r="AB337" i="2"/>
  <c r="P335" i="2"/>
  <c r="T335" i="2"/>
  <c r="X335" i="2"/>
  <c r="AB335" i="2"/>
  <c r="P333" i="2"/>
  <c r="T333" i="2"/>
  <c r="X333" i="2"/>
  <c r="AB333" i="2"/>
  <c r="P331" i="2"/>
  <c r="T331" i="2"/>
  <c r="X331" i="2"/>
  <c r="AB331" i="2"/>
  <c r="P329" i="2"/>
  <c r="T329" i="2"/>
  <c r="X329" i="2"/>
  <c r="AB329" i="2"/>
  <c r="P327" i="2"/>
  <c r="T327" i="2"/>
  <c r="X327" i="2"/>
  <c r="AB327" i="2"/>
  <c r="P325" i="2"/>
  <c r="T325" i="2"/>
  <c r="X325" i="2"/>
  <c r="AB325" i="2"/>
  <c r="P323" i="2"/>
  <c r="T323" i="2"/>
  <c r="X323" i="2"/>
  <c r="AB323" i="2"/>
  <c r="P321" i="2"/>
  <c r="T321" i="2"/>
  <c r="X321" i="2"/>
  <c r="AB321" i="2"/>
  <c r="P319" i="2"/>
  <c r="T319" i="2"/>
  <c r="X319" i="2"/>
  <c r="AB319" i="2"/>
  <c r="P317" i="2"/>
  <c r="T317" i="2"/>
  <c r="X317" i="2"/>
  <c r="AB317" i="2"/>
  <c r="P315" i="2"/>
  <c r="T315" i="2"/>
  <c r="X315" i="2"/>
  <c r="AB315" i="2"/>
  <c r="Y308" i="2"/>
  <c r="Y304" i="2"/>
  <c r="S302" i="2"/>
  <c r="Y300" i="2"/>
  <c r="S294" i="2"/>
  <c r="S286" i="2"/>
  <c r="S282" i="2"/>
  <c r="S278" i="2"/>
  <c r="P272" i="2"/>
  <c r="T272" i="2"/>
  <c r="X272" i="2"/>
  <c r="AB272" i="2"/>
  <c r="N272" i="2"/>
  <c r="S272" i="2"/>
  <c r="Y272" i="2"/>
  <c r="Q272" i="2"/>
  <c r="W272" i="2"/>
  <c r="R272" i="2"/>
  <c r="Z272" i="2"/>
  <c r="Y267" i="2"/>
  <c r="N263" i="2"/>
  <c r="R263" i="2"/>
  <c r="V263" i="2"/>
  <c r="Z263" i="2"/>
  <c r="Q263" i="2"/>
  <c r="W263" i="2"/>
  <c r="AB263" i="2"/>
  <c r="O263" i="2"/>
  <c r="U263" i="2"/>
  <c r="AC263" i="2"/>
  <c r="P263" i="2"/>
  <c r="X263" i="2"/>
  <c r="P256" i="2"/>
  <c r="T256" i="2"/>
  <c r="X256" i="2"/>
  <c r="AB256" i="2"/>
  <c r="N256" i="2"/>
  <c r="S256" i="2"/>
  <c r="Y256" i="2"/>
  <c r="Q256" i="2"/>
  <c r="W256" i="2"/>
  <c r="R256" i="2"/>
  <c r="Z256" i="2"/>
  <c r="Y251" i="2"/>
  <c r="N247" i="2"/>
  <c r="R247" i="2"/>
  <c r="V247" i="2"/>
  <c r="Z247" i="2"/>
  <c r="Q247" i="2"/>
  <c r="W247" i="2"/>
  <c r="AB247" i="2"/>
  <c r="O247" i="2"/>
  <c r="U247" i="2"/>
  <c r="AC247" i="2"/>
  <c r="P247" i="2"/>
  <c r="X247" i="2"/>
  <c r="P240" i="2"/>
  <c r="T240" i="2"/>
  <c r="X240" i="2"/>
  <c r="AB240" i="2"/>
  <c r="N240" i="2"/>
  <c r="S240" i="2"/>
  <c r="Y240" i="2"/>
  <c r="Q240" i="2"/>
  <c r="W240" i="2"/>
  <c r="R240" i="2"/>
  <c r="Z240" i="2"/>
  <c r="Y235" i="2"/>
  <c r="N231" i="2"/>
  <c r="R231" i="2"/>
  <c r="V231" i="2"/>
  <c r="Z231" i="2"/>
  <c r="Q231" i="2"/>
  <c r="W231" i="2"/>
  <c r="AB231" i="2"/>
  <c r="O231" i="2"/>
  <c r="U231" i="2"/>
  <c r="AC231" i="2"/>
  <c r="P231" i="2"/>
  <c r="X231" i="2"/>
  <c r="P224" i="2"/>
  <c r="T224" i="2"/>
  <c r="X224" i="2"/>
  <c r="AB224" i="2"/>
  <c r="N224" i="2"/>
  <c r="S224" i="2"/>
  <c r="Y224" i="2"/>
  <c r="Q224" i="2"/>
  <c r="W224" i="2"/>
  <c r="R224" i="2"/>
  <c r="Z224" i="2"/>
  <c r="Y219" i="2"/>
  <c r="N215" i="2"/>
  <c r="R215" i="2"/>
  <c r="V215" i="2"/>
  <c r="Z215" i="2"/>
  <c r="Q215" i="2"/>
  <c r="W215" i="2"/>
  <c r="AB215" i="2"/>
  <c r="O215" i="2"/>
  <c r="U215" i="2"/>
  <c r="AC215" i="2"/>
  <c r="P215" i="2"/>
  <c r="X215" i="2"/>
  <c r="P208" i="2"/>
  <c r="T208" i="2"/>
  <c r="X208" i="2"/>
  <c r="AB208" i="2"/>
  <c r="N208" i="2"/>
  <c r="S208" i="2"/>
  <c r="Y208" i="2"/>
  <c r="Q208" i="2"/>
  <c r="W208" i="2"/>
  <c r="R208" i="2"/>
  <c r="Z208" i="2"/>
  <c r="Y203" i="2"/>
  <c r="P171" i="2"/>
  <c r="T171" i="2"/>
  <c r="X171" i="2"/>
  <c r="AB171" i="2"/>
  <c r="N171" i="2"/>
  <c r="S171" i="2"/>
  <c r="Y171" i="2"/>
  <c r="Q171" i="2"/>
  <c r="W171" i="2"/>
  <c r="R171" i="2"/>
  <c r="Z171" i="2"/>
  <c r="O171" i="2"/>
  <c r="AC171" i="2"/>
  <c r="U171" i="2"/>
  <c r="N166" i="2"/>
  <c r="R166" i="2"/>
  <c r="V166" i="2"/>
  <c r="Z166" i="2"/>
  <c r="Q166" i="2"/>
  <c r="W166" i="2"/>
  <c r="AB166" i="2"/>
  <c r="O166" i="2"/>
  <c r="U166" i="2"/>
  <c r="AC166" i="2"/>
  <c r="P166" i="2"/>
  <c r="X166" i="2"/>
  <c r="S166" i="2"/>
  <c r="T166" i="2"/>
  <c r="N150" i="2"/>
  <c r="R150" i="2"/>
  <c r="V150" i="2"/>
  <c r="Z150" i="2"/>
  <c r="Q150" i="2"/>
  <c r="W150" i="2"/>
  <c r="AB150" i="2"/>
  <c r="O150" i="2"/>
  <c r="U150" i="2"/>
  <c r="AC150" i="2"/>
  <c r="P150" i="2"/>
  <c r="X150" i="2"/>
  <c r="S150" i="2"/>
  <c r="T150" i="2"/>
  <c r="N138" i="2"/>
  <c r="R138" i="2"/>
  <c r="V138" i="2"/>
  <c r="Z138" i="2"/>
  <c r="Q138" i="2"/>
  <c r="W138" i="2"/>
  <c r="AB138" i="2"/>
  <c r="O138" i="2"/>
  <c r="U138" i="2"/>
  <c r="AC138" i="2"/>
  <c r="P138" i="2"/>
  <c r="X138" i="2"/>
  <c r="S138" i="2"/>
  <c r="T138" i="2"/>
  <c r="P108" i="2"/>
  <c r="T108" i="2"/>
  <c r="X108" i="2"/>
  <c r="AB108" i="2"/>
  <c r="N108" i="2"/>
  <c r="S108" i="2"/>
  <c r="Y108" i="2"/>
  <c r="O108" i="2"/>
  <c r="U108" i="2"/>
  <c r="Z108" i="2"/>
  <c r="Q108" i="2"/>
  <c r="AA108" i="2"/>
  <c r="R108" i="2"/>
  <c r="AC108" i="2"/>
  <c r="W108" i="2"/>
  <c r="P306" i="2"/>
  <c r="T306" i="2"/>
  <c r="X306" i="2"/>
  <c r="AB306" i="2"/>
  <c r="O306" i="2"/>
  <c r="U306" i="2"/>
  <c r="Z306" i="2"/>
  <c r="Q306" i="2"/>
  <c r="V306" i="2"/>
  <c r="AA306" i="2"/>
  <c r="W302" i="2"/>
  <c r="P298" i="2"/>
  <c r="T298" i="2"/>
  <c r="X298" i="2"/>
  <c r="AB298" i="2"/>
  <c r="O298" i="2"/>
  <c r="U298" i="2"/>
  <c r="Z298" i="2"/>
  <c r="Q298" i="2"/>
  <c r="V298" i="2"/>
  <c r="AA298" i="2"/>
  <c r="W294" i="2"/>
  <c r="P290" i="2"/>
  <c r="T290" i="2"/>
  <c r="X290" i="2"/>
  <c r="AB290" i="2"/>
  <c r="O290" i="2"/>
  <c r="U290" i="2"/>
  <c r="Z290" i="2"/>
  <c r="Q290" i="2"/>
  <c r="V290" i="2"/>
  <c r="AA290" i="2"/>
  <c r="W286" i="2"/>
  <c r="P274" i="2"/>
  <c r="T274" i="2"/>
  <c r="X274" i="2"/>
  <c r="AB274" i="2"/>
  <c r="O274" i="2"/>
  <c r="U274" i="2"/>
  <c r="Z274" i="2"/>
  <c r="Q274" i="2"/>
  <c r="V274" i="2"/>
  <c r="AA274" i="2"/>
  <c r="AA267" i="2"/>
  <c r="P260" i="2"/>
  <c r="T260" i="2"/>
  <c r="X260" i="2"/>
  <c r="AB260" i="2"/>
  <c r="N260" i="2"/>
  <c r="S260" i="2"/>
  <c r="Y260" i="2"/>
  <c r="Q260" i="2"/>
  <c r="W260" i="2"/>
  <c r="R260" i="2"/>
  <c r="Z260" i="2"/>
  <c r="AA251" i="2"/>
  <c r="P244" i="2"/>
  <c r="T244" i="2"/>
  <c r="X244" i="2"/>
  <c r="AB244" i="2"/>
  <c r="N244" i="2"/>
  <c r="S244" i="2"/>
  <c r="Y244" i="2"/>
  <c r="Q244" i="2"/>
  <c r="W244" i="2"/>
  <c r="R244" i="2"/>
  <c r="Z244" i="2"/>
  <c r="AA235" i="2"/>
  <c r="P228" i="2"/>
  <c r="T228" i="2"/>
  <c r="X228" i="2"/>
  <c r="AB228" i="2"/>
  <c r="N228" i="2"/>
  <c r="S228" i="2"/>
  <c r="Y228" i="2"/>
  <c r="Q228" i="2"/>
  <c r="W228" i="2"/>
  <c r="R228" i="2"/>
  <c r="Z228" i="2"/>
  <c r="AA219" i="2"/>
  <c r="P212" i="2"/>
  <c r="T212" i="2"/>
  <c r="X212" i="2"/>
  <c r="AB212" i="2"/>
  <c r="N212" i="2"/>
  <c r="S212" i="2"/>
  <c r="Y212" i="2"/>
  <c r="Q212" i="2"/>
  <c r="W212" i="2"/>
  <c r="R212" i="2"/>
  <c r="Z212" i="2"/>
  <c r="AA203" i="2"/>
  <c r="P179" i="2"/>
  <c r="T179" i="2"/>
  <c r="X179" i="2"/>
  <c r="AB179" i="2"/>
  <c r="N179" i="2"/>
  <c r="S179" i="2"/>
  <c r="Y179" i="2"/>
  <c r="Q179" i="2"/>
  <c r="W179" i="2"/>
  <c r="R179" i="2"/>
  <c r="Z179" i="2"/>
  <c r="O179" i="2"/>
  <c r="AC179" i="2"/>
  <c r="U179" i="2"/>
  <c r="N154" i="2"/>
  <c r="R154" i="2"/>
  <c r="V154" i="2"/>
  <c r="Z154" i="2"/>
  <c r="Q154" i="2"/>
  <c r="W154" i="2"/>
  <c r="AB154" i="2"/>
  <c r="O154" i="2"/>
  <c r="U154" i="2"/>
  <c r="AC154" i="2"/>
  <c r="P154" i="2"/>
  <c r="X154" i="2"/>
  <c r="S154" i="2"/>
  <c r="T154" i="2"/>
  <c r="P13" i="2"/>
  <c r="T13" i="2"/>
  <c r="X13" i="2"/>
  <c r="AB13" i="2"/>
  <c r="O13" i="2"/>
  <c r="U13" i="2"/>
  <c r="Z13" i="2"/>
  <c r="Q13" i="2"/>
  <c r="V13" i="2"/>
  <c r="AA13" i="2"/>
  <c r="R13" i="2"/>
  <c r="AC13" i="2"/>
  <c r="S13" i="2"/>
  <c r="N13" i="2"/>
  <c r="W13" i="2"/>
  <c r="AC548" i="2"/>
  <c r="Y548" i="2"/>
  <c r="U548" i="2"/>
  <c r="Q548" i="2"/>
  <c r="AC544" i="2"/>
  <c r="Y544" i="2"/>
  <c r="U544" i="2"/>
  <c r="Q544" i="2"/>
  <c r="AC540" i="2"/>
  <c r="Y540" i="2"/>
  <c r="U540" i="2"/>
  <c r="Q540" i="2"/>
  <c r="AC536" i="2"/>
  <c r="Y536" i="2"/>
  <c r="U536" i="2"/>
  <c r="Q536" i="2"/>
  <c r="AC532" i="2"/>
  <c r="Y532" i="2"/>
  <c r="U532" i="2"/>
  <c r="Q532" i="2"/>
  <c r="AC528" i="2"/>
  <c r="Y528" i="2"/>
  <c r="U528" i="2"/>
  <c r="Q528" i="2"/>
  <c r="AC524" i="2"/>
  <c r="Y524" i="2"/>
  <c r="U524" i="2"/>
  <c r="Q524" i="2"/>
  <c r="AC520" i="2"/>
  <c r="Y520" i="2"/>
  <c r="U520" i="2"/>
  <c r="Q520" i="2"/>
  <c r="AC516" i="2"/>
  <c r="Y516" i="2"/>
  <c r="U516" i="2"/>
  <c r="Q516" i="2"/>
  <c r="AC512" i="2"/>
  <c r="Y512" i="2"/>
  <c r="U512" i="2"/>
  <c r="Q512" i="2"/>
  <c r="AC508" i="2"/>
  <c r="Y508" i="2"/>
  <c r="U508" i="2"/>
  <c r="Q508" i="2"/>
  <c r="AC504" i="2"/>
  <c r="Y504" i="2"/>
  <c r="U504" i="2"/>
  <c r="Q504" i="2"/>
  <c r="AC500" i="2"/>
  <c r="Y500" i="2"/>
  <c r="U500" i="2"/>
  <c r="Q500" i="2"/>
  <c r="AC496" i="2"/>
  <c r="Y496" i="2"/>
  <c r="U496" i="2"/>
  <c r="Q496" i="2"/>
  <c r="AC492" i="2"/>
  <c r="Y492" i="2"/>
  <c r="U492" i="2"/>
  <c r="Q492" i="2"/>
  <c r="AC488" i="2"/>
  <c r="Y488" i="2"/>
  <c r="U488" i="2"/>
  <c r="Q488" i="2"/>
  <c r="AC484" i="2"/>
  <c r="Y484" i="2"/>
  <c r="U484" i="2"/>
  <c r="Q484" i="2"/>
  <c r="AC480" i="2"/>
  <c r="Y480" i="2"/>
  <c r="U480" i="2"/>
  <c r="Q480" i="2"/>
  <c r="AC476" i="2"/>
  <c r="Y476" i="2"/>
  <c r="U476" i="2"/>
  <c r="Q476" i="2"/>
  <c r="AC472" i="2"/>
  <c r="Y472" i="2"/>
  <c r="U472" i="2"/>
  <c r="Q472" i="2"/>
  <c r="AC468" i="2"/>
  <c r="Y468" i="2"/>
  <c r="U468" i="2"/>
  <c r="Q468" i="2"/>
  <c r="AC464" i="2"/>
  <c r="Y464" i="2"/>
  <c r="U464" i="2"/>
  <c r="Q464" i="2"/>
  <c r="AC460" i="2"/>
  <c r="Y460" i="2"/>
  <c r="U460" i="2"/>
  <c r="Q460" i="2"/>
  <c r="Q458" i="2"/>
  <c r="AC452" i="2"/>
  <c r="Y452" i="2"/>
  <c r="U452" i="2"/>
  <c r="Q452" i="2"/>
  <c r="AC448" i="2"/>
  <c r="Y448" i="2"/>
  <c r="U448" i="2"/>
  <c r="Q448" i="2"/>
  <c r="AC444" i="2"/>
  <c r="Y444" i="2"/>
  <c r="U444" i="2"/>
  <c r="Q444" i="2"/>
  <c r="AC440" i="2"/>
  <c r="Y440" i="2"/>
  <c r="U440" i="2"/>
  <c r="Q440" i="2"/>
  <c r="AC436" i="2"/>
  <c r="Y436" i="2"/>
  <c r="U436" i="2"/>
  <c r="Q436" i="2"/>
  <c r="AC434" i="2"/>
  <c r="Y434" i="2"/>
  <c r="U434" i="2"/>
  <c r="Q434" i="2"/>
  <c r="AC430" i="2"/>
  <c r="Y430" i="2"/>
  <c r="U430" i="2"/>
  <c r="Q430" i="2"/>
  <c r="AC426" i="2"/>
  <c r="Y426" i="2"/>
  <c r="U426" i="2"/>
  <c r="Q426" i="2"/>
  <c r="P421" i="2"/>
  <c r="T421" i="2"/>
  <c r="AC419" i="2"/>
  <c r="W419" i="2"/>
  <c r="R419" i="2"/>
  <c r="P417" i="2"/>
  <c r="T417" i="2"/>
  <c r="X417" i="2"/>
  <c r="AB417" i="2"/>
  <c r="AC415" i="2"/>
  <c r="W415" i="2"/>
  <c r="R415" i="2"/>
  <c r="P413" i="2"/>
  <c r="T413" i="2"/>
  <c r="X413" i="2"/>
  <c r="AB413" i="2"/>
  <c r="AC411" i="2"/>
  <c r="W411" i="2"/>
  <c r="R411" i="2"/>
  <c r="P409" i="2"/>
  <c r="T409" i="2"/>
  <c r="X409" i="2"/>
  <c r="AB409" i="2"/>
  <c r="AC407" i="2"/>
  <c r="W407" i="2"/>
  <c r="R407" i="2"/>
  <c r="P405" i="2"/>
  <c r="T405" i="2"/>
  <c r="X405" i="2"/>
  <c r="AB405" i="2"/>
  <c r="AC403" i="2"/>
  <c r="W403" i="2"/>
  <c r="R403" i="2"/>
  <c r="P401" i="2"/>
  <c r="T401" i="2"/>
  <c r="X401" i="2"/>
  <c r="AB401" i="2"/>
  <c r="AC399" i="2"/>
  <c r="W399" i="2"/>
  <c r="R399" i="2"/>
  <c r="P397" i="2"/>
  <c r="T397" i="2"/>
  <c r="X397" i="2"/>
  <c r="AB397" i="2"/>
  <c r="AC395" i="2"/>
  <c r="W395" i="2"/>
  <c r="R395" i="2"/>
  <c r="P393" i="2"/>
  <c r="T393" i="2"/>
  <c r="X393" i="2"/>
  <c r="AB393" i="2"/>
  <c r="AC391" i="2"/>
  <c r="W391" i="2"/>
  <c r="R391" i="2"/>
  <c r="P389" i="2"/>
  <c r="T389" i="2"/>
  <c r="X389" i="2"/>
  <c r="AB389" i="2"/>
  <c r="AC387" i="2"/>
  <c r="W387" i="2"/>
  <c r="R387" i="2"/>
  <c r="P385" i="2"/>
  <c r="T385" i="2"/>
  <c r="X385" i="2"/>
  <c r="AB385" i="2"/>
  <c r="AC383" i="2"/>
  <c r="W383" i="2"/>
  <c r="R383" i="2"/>
  <c r="P381" i="2"/>
  <c r="T381" i="2"/>
  <c r="X381" i="2"/>
  <c r="AB381" i="2"/>
  <c r="AC379" i="2"/>
  <c r="W379" i="2"/>
  <c r="R379" i="2"/>
  <c r="P377" i="2"/>
  <c r="T377" i="2"/>
  <c r="X377" i="2"/>
  <c r="AB377" i="2"/>
  <c r="AC375" i="2"/>
  <c r="W375" i="2"/>
  <c r="R375" i="2"/>
  <c r="P373" i="2"/>
  <c r="T373" i="2"/>
  <c r="X373" i="2"/>
  <c r="AB373" i="2"/>
  <c r="AC371" i="2"/>
  <c r="W371" i="2"/>
  <c r="R371" i="2"/>
  <c r="P369" i="2"/>
  <c r="T369" i="2"/>
  <c r="X369" i="2"/>
  <c r="AB369" i="2"/>
  <c r="AC367" i="2"/>
  <c r="W367" i="2"/>
  <c r="R367" i="2"/>
  <c r="P365" i="2"/>
  <c r="T365" i="2"/>
  <c r="X365" i="2"/>
  <c r="AB365" i="2"/>
  <c r="P363" i="2"/>
  <c r="T363" i="2"/>
  <c r="X363" i="2"/>
  <c r="AB363" i="2"/>
  <c r="AC361" i="2"/>
  <c r="W361" i="2"/>
  <c r="R361" i="2"/>
  <c r="P359" i="2"/>
  <c r="T359" i="2"/>
  <c r="X359" i="2"/>
  <c r="AB359" i="2"/>
  <c r="AC357" i="2"/>
  <c r="W357" i="2"/>
  <c r="R357" i="2"/>
  <c r="P355" i="2"/>
  <c r="T355" i="2"/>
  <c r="X355" i="2"/>
  <c r="AB355" i="2"/>
  <c r="AC353" i="2"/>
  <c r="W353" i="2"/>
  <c r="R353" i="2"/>
  <c r="P351" i="2"/>
  <c r="T351" i="2"/>
  <c r="X351" i="2"/>
  <c r="AB351" i="2"/>
  <c r="AC349" i="2"/>
  <c r="W349" i="2"/>
  <c r="R349" i="2"/>
  <c r="AB554" i="2"/>
  <c r="X554" i="2"/>
  <c r="T554" i="2"/>
  <c r="AB552" i="2"/>
  <c r="X552" i="2"/>
  <c r="T552" i="2"/>
  <c r="AB550" i="2"/>
  <c r="X550" i="2"/>
  <c r="T550" i="2"/>
  <c r="AB548" i="2"/>
  <c r="X548" i="2"/>
  <c r="T548" i="2"/>
  <c r="AB546" i="2"/>
  <c r="X546" i="2"/>
  <c r="T546" i="2"/>
  <c r="AB544" i="2"/>
  <c r="X544" i="2"/>
  <c r="T544" i="2"/>
  <c r="AB542" i="2"/>
  <c r="X542" i="2"/>
  <c r="T542" i="2"/>
  <c r="AB540" i="2"/>
  <c r="X540" i="2"/>
  <c r="T540" i="2"/>
  <c r="AB538" i="2"/>
  <c r="X538" i="2"/>
  <c r="T538" i="2"/>
  <c r="AB536" i="2"/>
  <c r="X536" i="2"/>
  <c r="T536" i="2"/>
  <c r="AB534" i="2"/>
  <c r="X534" i="2"/>
  <c r="T534" i="2"/>
  <c r="AB532" i="2"/>
  <c r="X532" i="2"/>
  <c r="T532" i="2"/>
  <c r="AB530" i="2"/>
  <c r="X530" i="2"/>
  <c r="T530" i="2"/>
  <c r="AB528" i="2"/>
  <c r="X528" i="2"/>
  <c r="T528" i="2"/>
  <c r="AB526" i="2"/>
  <c r="X526" i="2"/>
  <c r="T526" i="2"/>
  <c r="AB524" i="2"/>
  <c r="X524" i="2"/>
  <c r="T524" i="2"/>
  <c r="AB522" i="2"/>
  <c r="X522" i="2"/>
  <c r="T522" i="2"/>
  <c r="AB520" i="2"/>
  <c r="X520" i="2"/>
  <c r="T520" i="2"/>
  <c r="AB518" i="2"/>
  <c r="X518" i="2"/>
  <c r="T518" i="2"/>
  <c r="AB516" i="2"/>
  <c r="X516" i="2"/>
  <c r="T516" i="2"/>
  <c r="AB514" i="2"/>
  <c r="X514" i="2"/>
  <c r="T514" i="2"/>
  <c r="AB512" i="2"/>
  <c r="X512" i="2"/>
  <c r="T512" i="2"/>
  <c r="AB510" i="2"/>
  <c r="X510" i="2"/>
  <c r="T510" i="2"/>
  <c r="AB508" i="2"/>
  <c r="X508" i="2"/>
  <c r="T508" i="2"/>
  <c r="AB506" i="2"/>
  <c r="X506" i="2"/>
  <c r="T506" i="2"/>
  <c r="AB504" i="2"/>
  <c r="X504" i="2"/>
  <c r="T504" i="2"/>
  <c r="AB502" i="2"/>
  <c r="X502" i="2"/>
  <c r="T502" i="2"/>
  <c r="AB500" i="2"/>
  <c r="X500" i="2"/>
  <c r="T500" i="2"/>
  <c r="AB498" i="2"/>
  <c r="X498" i="2"/>
  <c r="T498" i="2"/>
  <c r="AB496" i="2"/>
  <c r="X496" i="2"/>
  <c r="T496" i="2"/>
  <c r="AB494" i="2"/>
  <c r="X494" i="2"/>
  <c r="T494" i="2"/>
  <c r="AB492" i="2"/>
  <c r="X492" i="2"/>
  <c r="T492" i="2"/>
  <c r="AB490" i="2"/>
  <c r="X490" i="2"/>
  <c r="T490" i="2"/>
  <c r="AB488" i="2"/>
  <c r="X488" i="2"/>
  <c r="T488" i="2"/>
  <c r="AB486" i="2"/>
  <c r="X486" i="2"/>
  <c r="T486" i="2"/>
  <c r="AB484" i="2"/>
  <c r="X484" i="2"/>
  <c r="T484" i="2"/>
  <c r="AB482" i="2"/>
  <c r="X482" i="2"/>
  <c r="T482" i="2"/>
  <c r="AB480" i="2"/>
  <c r="X480" i="2"/>
  <c r="T480" i="2"/>
  <c r="AB478" i="2"/>
  <c r="X478" i="2"/>
  <c r="T478" i="2"/>
  <c r="AB476" i="2"/>
  <c r="X476" i="2"/>
  <c r="T476" i="2"/>
  <c r="AB474" i="2"/>
  <c r="X474" i="2"/>
  <c r="T474" i="2"/>
  <c r="AB472" i="2"/>
  <c r="X472" i="2"/>
  <c r="T472" i="2"/>
  <c r="AB470" i="2"/>
  <c r="X470" i="2"/>
  <c r="T470" i="2"/>
  <c r="AB468" i="2"/>
  <c r="X468" i="2"/>
  <c r="T468" i="2"/>
  <c r="AB466" i="2"/>
  <c r="X466" i="2"/>
  <c r="T466" i="2"/>
  <c r="AB464" i="2"/>
  <c r="X464" i="2"/>
  <c r="T464" i="2"/>
  <c r="AB462" i="2"/>
  <c r="X462" i="2"/>
  <c r="T462" i="2"/>
  <c r="AB460" i="2"/>
  <c r="X460" i="2"/>
  <c r="T460" i="2"/>
  <c r="AB458" i="2"/>
  <c r="X458" i="2"/>
  <c r="T458" i="2"/>
  <c r="AB456" i="2"/>
  <c r="X456" i="2"/>
  <c r="T456" i="2"/>
  <c r="AB454" i="2"/>
  <c r="X454" i="2"/>
  <c r="T454" i="2"/>
  <c r="AB452" i="2"/>
  <c r="X452" i="2"/>
  <c r="T452" i="2"/>
  <c r="AB450" i="2"/>
  <c r="X450" i="2"/>
  <c r="T450" i="2"/>
  <c r="AB448" i="2"/>
  <c r="X448" i="2"/>
  <c r="T448" i="2"/>
  <c r="AB446" i="2"/>
  <c r="X446" i="2"/>
  <c r="T446" i="2"/>
  <c r="AB444" i="2"/>
  <c r="X444" i="2"/>
  <c r="T444" i="2"/>
  <c r="AB442" i="2"/>
  <c r="X442" i="2"/>
  <c r="T442" i="2"/>
  <c r="AB440" i="2"/>
  <c r="X440" i="2"/>
  <c r="T440" i="2"/>
  <c r="AB438" i="2"/>
  <c r="X438" i="2"/>
  <c r="T438" i="2"/>
  <c r="AB436" i="2"/>
  <c r="X436" i="2"/>
  <c r="T436" i="2"/>
  <c r="AB434" i="2"/>
  <c r="X434" i="2"/>
  <c r="T434" i="2"/>
  <c r="AB432" i="2"/>
  <c r="X432" i="2"/>
  <c r="T432" i="2"/>
  <c r="AB430" i="2"/>
  <c r="X430" i="2"/>
  <c r="T430" i="2"/>
  <c r="AB428" i="2"/>
  <c r="X428" i="2"/>
  <c r="T428" i="2"/>
  <c r="AB426" i="2"/>
  <c r="X426" i="2"/>
  <c r="T426" i="2"/>
  <c r="AB424" i="2"/>
  <c r="X424" i="2"/>
  <c r="T424" i="2"/>
  <c r="AB422" i="2"/>
  <c r="X422" i="2"/>
  <c r="T422" i="2"/>
  <c r="Z421" i="2"/>
  <c r="V421" i="2"/>
  <c r="Q421" i="2"/>
  <c r="AA419" i="2"/>
  <c r="V419" i="2"/>
  <c r="Q419" i="2"/>
  <c r="AA417" i="2"/>
  <c r="V417" i="2"/>
  <c r="Q417" i="2"/>
  <c r="AA415" i="2"/>
  <c r="V415" i="2"/>
  <c r="Q415" i="2"/>
  <c r="AA413" i="2"/>
  <c r="V413" i="2"/>
  <c r="Q413" i="2"/>
  <c r="AA411" i="2"/>
  <c r="V411" i="2"/>
  <c r="Q411" i="2"/>
  <c r="AA409" i="2"/>
  <c r="V409" i="2"/>
  <c r="Q409" i="2"/>
  <c r="AA407" i="2"/>
  <c r="V407" i="2"/>
  <c r="Q407" i="2"/>
  <c r="AA405" i="2"/>
  <c r="V405" i="2"/>
  <c r="Q405" i="2"/>
  <c r="AA403" i="2"/>
  <c r="V403" i="2"/>
  <c r="Q403" i="2"/>
  <c r="AA401" i="2"/>
  <c r="V401" i="2"/>
  <c r="Q401" i="2"/>
  <c r="AA399" i="2"/>
  <c r="V399" i="2"/>
  <c r="Q399" i="2"/>
  <c r="AA397" i="2"/>
  <c r="V397" i="2"/>
  <c r="Q397" i="2"/>
  <c r="AA395" i="2"/>
  <c r="V395" i="2"/>
  <c r="Q395" i="2"/>
  <c r="AA393" i="2"/>
  <c r="V393" i="2"/>
  <c r="Q393" i="2"/>
  <c r="AA391" i="2"/>
  <c r="V391" i="2"/>
  <c r="Q391" i="2"/>
  <c r="AA389" i="2"/>
  <c r="V389" i="2"/>
  <c r="Q389" i="2"/>
  <c r="AA387" i="2"/>
  <c r="V387" i="2"/>
  <c r="Q387" i="2"/>
  <c r="AA385" i="2"/>
  <c r="V385" i="2"/>
  <c r="Q385" i="2"/>
  <c r="AA383" i="2"/>
  <c r="V383" i="2"/>
  <c r="Q383" i="2"/>
  <c r="AA381" i="2"/>
  <c r="V381" i="2"/>
  <c r="Q381" i="2"/>
  <c r="AA379" i="2"/>
  <c r="V379" i="2"/>
  <c r="Q379" i="2"/>
  <c r="AA377" i="2"/>
  <c r="V377" i="2"/>
  <c r="Q377" i="2"/>
  <c r="AA375" i="2"/>
  <c r="V375" i="2"/>
  <c r="Q375" i="2"/>
  <c r="AA373" i="2"/>
  <c r="V373" i="2"/>
  <c r="Q373" i="2"/>
  <c r="AA371" i="2"/>
  <c r="V371" i="2"/>
  <c r="Q371" i="2"/>
  <c r="AA369" i="2"/>
  <c r="V369" i="2"/>
  <c r="Q369" i="2"/>
  <c r="AA367" i="2"/>
  <c r="V367" i="2"/>
  <c r="Q367" i="2"/>
  <c r="AA365" i="2"/>
  <c r="V365" i="2"/>
  <c r="Q365" i="2"/>
  <c r="AA363" i="2"/>
  <c r="V363" i="2"/>
  <c r="Q363" i="2"/>
  <c r="AA361" i="2"/>
  <c r="V361" i="2"/>
  <c r="Q361" i="2"/>
  <c r="AA359" i="2"/>
  <c r="V359" i="2"/>
  <c r="Q359" i="2"/>
  <c r="AA357" i="2"/>
  <c r="V357" i="2"/>
  <c r="Q357" i="2"/>
  <c r="AA355" i="2"/>
  <c r="V355" i="2"/>
  <c r="Q355" i="2"/>
  <c r="AA353" i="2"/>
  <c r="V353" i="2"/>
  <c r="Q353" i="2"/>
  <c r="AA351" i="2"/>
  <c r="V351" i="2"/>
  <c r="Q351" i="2"/>
  <c r="AA349" i="2"/>
  <c r="V349" i="2"/>
  <c r="Q349" i="2"/>
  <c r="AA347" i="2"/>
  <c r="V347" i="2"/>
  <c r="Q347" i="2"/>
  <c r="AA345" i="2"/>
  <c r="V345" i="2"/>
  <c r="Q345" i="2"/>
  <c r="AA343" i="2"/>
  <c r="V343" i="2"/>
  <c r="Q343" i="2"/>
  <c r="AA341" i="2"/>
  <c r="V341" i="2"/>
  <c r="Q341" i="2"/>
  <c r="AA339" i="2"/>
  <c r="V339" i="2"/>
  <c r="Q339" i="2"/>
  <c r="AA337" i="2"/>
  <c r="V337" i="2"/>
  <c r="Q337" i="2"/>
  <c r="AA335" i="2"/>
  <c r="V335" i="2"/>
  <c r="Q335" i="2"/>
  <c r="AA333" i="2"/>
  <c r="V333" i="2"/>
  <c r="Q333" i="2"/>
  <c r="AA331" i="2"/>
  <c r="V331" i="2"/>
  <c r="Q331" i="2"/>
  <c r="AA329" i="2"/>
  <c r="V329" i="2"/>
  <c r="Q329" i="2"/>
  <c r="AA327" i="2"/>
  <c r="V327" i="2"/>
  <c r="Q327" i="2"/>
  <c r="AA325" i="2"/>
  <c r="V325" i="2"/>
  <c r="Q325" i="2"/>
  <c r="AA323" i="2"/>
  <c r="V323" i="2"/>
  <c r="Q323" i="2"/>
  <c r="AA321" i="2"/>
  <c r="V321" i="2"/>
  <c r="Q321" i="2"/>
  <c r="AA319" i="2"/>
  <c r="V319" i="2"/>
  <c r="Q319" i="2"/>
  <c r="AA317" i="2"/>
  <c r="V317" i="2"/>
  <c r="Q317" i="2"/>
  <c r="P308" i="2"/>
  <c r="T308" i="2"/>
  <c r="X308" i="2"/>
  <c r="O308" i="2"/>
  <c r="U308" i="2"/>
  <c r="Z308" i="2"/>
  <c r="Q308" i="2"/>
  <c r="V308" i="2"/>
  <c r="AA308" i="2"/>
  <c r="AC306" i="2"/>
  <c r="R306" i="2"/>
  <c r="P304" i="2"/>
  <c r="T304" i="2"/>
  <c r="X304" i="2"/>
  <c r="AB304" i="2"/>
  <c r="O304" i="2"/>
  <c r="U304" i="2"/>
  <c r="Z304" i="2"/>
  <c r="Q304" i="2"/>
  <c r="V304" i="2"/>
  <c r="AA304" i="2"/>
  <c r="AC302" i="2"/>
  <c r="R302" i="2"/>
  <c r="P300" i="2"/>
  <c r="T300" i="2"/>
  <c r="X300" i="2"/>
  <c r="AB300" i="2"/>
  <c r="O300" i="2"/>
  <c r="U300" i="2"/>
  <c r="Z300" i="2"/>
  <c r="Q300" i="2"/>
  <c r="V300" i="2"/>
  <c r="AA300" i="2"/>
  <c r="AC298" i="2"/>
  <c r="R298" i="2"/>
  <c r="P296" i="2"/>
  <c r="T296" i="2"/>
  <c r="X296" i="2"/>
  <c r="AB296" i="2"/>
  <c r="O296" i="2"/>
  <c r="U296" i="2"/>
  <c r="Z296" i="2"/>
  <c r="Q296" i="2"/>
  <c r="V296" i="2"/>
  <c r="AA296" i="2"/>
  <c r="AC294" i="2"/>
  <c r="R294" i="2"/>
  <c r="P292" i="2"/>
  <c r="T292" i="2"/>
  <c r="X292" i="2"/>
  <c r="AB292" i="2"/>
  <c r="O292" i="2"/>
  <c r="U292" i="2"/>
  <c r="Z292" i="2"/>
  <c r="Q292" i="2"/>
  <c r="V292" i="2"/>
  <c r="AA292" i="2"/>
  <c r="AC290" i="2"/>
  <c r="R290" i="2"/>
  <c r="P288" i="2"/>
  <c r="T288" i="2"/>
  <c r="X288" i="2"/>
  <c r="AB288" i="2"/>
  <c r="O288" i="2"/>
  <c r="U288" i="2"/>
  <c r="Z288" i="2"/>
  <c r="Q288" i="2"/>
  <c r="V288" i="2"/>
  <c r="AA288" i="2"/>
  <c r="AC286" i="2"/>
  <c r="R286" i="2"/>
  <c r="P284" i="2"/>
  <c r="T284" i="2"/>
  <c r="X284" i="2"/>
  <c r="AB284" i="2"/>
  <c r="O284" i="2"/>
  <c r="U284" i="2"/>
  <c r="Z284" i="2"/>
  <c r="Q284" i="2"/>
  <c r="V284" i="2"/>
  <c r="AA284" i="2"/>
  <c r="AC282" i="2"/>
  <c r="R282" i="2"/>
  <c r="P280" i="2"/>
  <c r="T280" i="2"/>
  <c r="X280" i="2"/>
  <c r="AB280" i="2"/>
  <c r="O280" i="2"/>
  <c r="U280" i="2"/>
  <c r="Z280" i="2"/>
  <c r="Q280" i="2"/>
  <c r="V280" i="2"/>
  <c r="AA280" i="2"/>
  <c r="AC278" i="2"/>
  <c r="R278" i="2"/>
  <c r="P276" i="2"/>
  <c r="T276" i="2"/>
  <c r="X276" i="2"/>
  <c r="AB276" i="2"/>
  <c r="O276" i="2"/>
  <c r="U276" i="2"/>
  <c r="Z276" i="2"/>
  <c r="Q276" i="2"/>
  <c r="V276" i="2"/>
  <c r="AA276" i="2"/>
  <c r="AC274" i="2"/>
  <c r="R274" i="2"/>
  <c r="V272" i="2"/>
  <c r="P268" i="2"/>
  <c r="T268" i="2"/>
  <c r="X268" i="2"/>
  <c r="AB268" i="2"/>
  <c r="N268" i="2"/>
  <c r="S268" i="2"/>
  <c r="Y268" i="2"/>
  <c r="Q268" i="2"/>
  <c r="W268" i="2"/>
  <c r="R268" i="2"/>
  <c r="Z268" i="2"/>
  <c r="T267" i="2"/>
  <c r="Y263" i="2"/>
  <c r="U260" i="2"/>
  <c r="N259" i="2"/>
  <c r="R259" i="2"/>
  <c r="V259" i="2"/>
  <c r="Z259" i="2"/>
  <c r="Q259" i="2"/>
  <c r="W259" i="2"/>
  <c r="AB259" i="2"/>
  <c r="O259" i="2"/>
  <c r="U259" i="2"/>
  <c r="AC259" i="2"/>
  <c r="P259" i="2"/>
  <c r="X259" i="2"/>
  <c r="V256" i="2"/>
  <c r="P252" i="2"/>
  <c r="T252" i="2"/>
  <c r="X252" i="2"/>
  <c r="AB252" i="2"/>
  <c r="N252" i="2"/>
  <c r="S252" i="2"/>
  <c r="Y252" i="2"/>
  <c r="Q252" i="2"/>
  <c r="W252" i="2"/>
  <c r="R252" i="2"/>
  <c r="Z252" i="2"/>
  <c r="T251" i="2"/>
  <c r="Y247" i="2"/>
  <c r="U244" i="2"/>
  <c r="N243" i="2"/>
  <c r="R243" i="2"/>
  <c r="V243" i="2"/>
  <c r="Z243" i="2"/>
  <c r="Q243" i="2"/>
  <c r="W243" i="2"/>
  <c r="AB243" i="2"/>
  <c r="O243" i="2"/>
  <c r="U243" i="2"/>
  <c r="AC243" i="2"/>
  <c r="P243" i="2"/>
  <c r="X243" i="2"/>
  <c r="V240" i="2"/>
  <c r="P236" i="2"/>
  <c r="T236" i="2"/>
  <c r="X236" i="2"/>
  <c r="AB236" i="2"/>
  <c r="N236" i="2"/>
  <c r="S236" i="2"/>
  <c r="Y236" i="2"/>
  <c r="Q236" i="2"/>
  <c r="W236" i="2"/>
  <c r="R236" i="2"/>
  <c r="Z236" i="2"/>
  <c r="T235" i="2"/>
  <c r="Y231" i="2"/>
  <c r="U228" i="2"/>
  <c r="N227" i="2"/>
  <c r="R227" i="2"/>
  <c r="V227" i="2"/>
  <c r="Z227" i="2"/>
  <c r="Q227" i="2"/>
  <c r="W227" i="2"/>
  <c r="AB227" i="2"/>
  <c r="O227" i="2"/>
  <c r="U227" i="2"/>
  <c r="AC227" i="2"/>
  <c r="P227" i="2"/>
  <c r="X227" i="2"/>
  <c r="V224" i="2"/>
  <c r="P220" i="2"/>
  <c r="T220" i="2"/>
  <c r="X220" i="2"/>
  <c r="AB220" i="2"/>
  <c r="N220" i="2"/>
  <c r="S220" i="2"/>
  <c r="Y220" i="2"/>
  <c r="Q220" i="2"/>
  <c r="W220" i="2"/>
  <c r="R220" i="2"/>
  <c r="Z220" i="2"/>
  <c r="T219" i="2"/>
  <c r="Y215" i="2"/>
  <c r="U212" i="2"/>
  <c r="N211" i="2"/>
  <c r="R211" i="2"/>
  <c r="V211" i="2"/>
  <c r="Z211" i="2"/>
  <c r="Q211" i="2"/>
  <c r="W211" i="2"/>
  <c r="AB211" i="2"/>
  <c r="O211" i="2"/>
  <c r="U211" i="2"/>
  <c r="AC211" i="2"/>
  <c r="P211" i="2"/>
  <c r="X211" i="2"/>
  <c r="V208" i="2"/>
  <c r="P204" i="2"/>
  <c r="T204" i="2"/>
  <c r="X204" i="2"/>
  <c r="AB204" i="2"/>
  <c r="N204" i="2"/>
  <c r="S204" i="2"/>
  <c r="Y204" i="2"/>
  <c r="Q204" i="2"/>
  <c r="W204" i="2"/>
  <c r="R204" i="2"/>
  <c r="Z204" i="2"/>
  <c r="T203" i="2"/>
  <c r="P198" i="2"/>
  <c r="T198" i="2"/>
  <c r="X198" i="2"/>
  <c r="AB198" i="2"/>
  <c r="N198" i="2"/>
  <c r="S198" i="2"/>
  <c r="Y198" i="2"/>
  <c r="O198" i="2"/>
  <c r="U198" i="2"/>
  <c r="Z198" i="2"/>
  <c r="Q198" i="2"/>
  <c r="AA198" i="2"/>
  <c r="R198" i="2"/>
  <c r="AC198" i="2"/>
  <c r="P190" i="2"/>
  <c r="T190" i="2"/>
  <c r="X190" i="2"/>
  <c r="AB190" i="2"/>
  <c r="N190" i="2"/>
  <c r="S190" i="2"/>
  <c r="Y190" i="2"/>
  <c r="O190" i="2"/>
  <c r="U190" i="2"/>
  <c r="Z190" i="2"/>
  <c r="Q190" i="2"/>
  <c r="AA190" i="2"/>
  <c r="R190" i="2"/>
  <c r="AC190" i="2"/>
  <c r="AA179" i="2"/>
  <c r="AA174" i="2"/>
  <c r="N162" i="2"/>
  <c r="R162" i="2"/>
  <c r="V162" i="2"/>
  <c r="Z162" i="2"/>
  <c r="Q162" i="2"/>
  <c r="W162" i="2"/>
  <c r="AB162" i="2"/>
  <c r="O162" i="2"/>
  <c r="U162" i="2"/>
  <c r="AC162" i="2"/>
  <c r="P162" i="2"/>
  <c r="X162" i="2"/>
  <c r="S162" i="2"/>
  <c r="T162" i="2"/>
  <c r="AA154" i="2"/>
  <c r="N146" i="2"/>
  <c r="R146" i="2"/>
  <c r="V146" i="2"/>
  <c r="Z146" i="2"/>
  <c r="Q146" i="2"/>
  <c r="W146" i="2"/>
  <c r="AB146" i="2"/>
  <c r="O146" i="2"/>
  <c r="U146" i="2"/>
  <c r="AC146" i="2"/>
  <c r="P146" i="2"/>
  <c r="X146" i="2"/>
  <c r="S146" i="2"/>
  <c r="T146" i="2"/>
  <c r="N273" i="2"/>
  <c r="R273" i="2"/>
  <c r="V273" i="2"/>
  <c r="Z273" i="2"/>
  <c r="Q273" i="2"/>
  <c r="N269" i="2"/>
  <c r="R269" i="2"/>
  <c r="V269" i="2"/>
  <c r="Z269" i="2"/>
  <c r="Q269" i="2"/>
  <c r="W269" i="2"/>
  <c r="AB269" i="2"/>
  <c r="N265" i="2"/>
  <c r="R265" i="2"/>
  <c r="V265" i="2"/>
  <c r="Z265" i="2"/>
  <c r="Q265" i="2"/>
  <c r="W265" i="2"/>
  <c r="AB265" i="2"/>
  <c r="N261" i="2"/>
  <c r="R261" i="2"/>
  <c r="V261" i="2"/>
  <c r="Z261" i="2"/>
  <c r="Q261" i="2"/>
  <c r="W261" i="2"/>
  <c r="AB261" i="2"/>
  <c r="N257" i="2"/>
  <c r="R257" i="2"/>
  <c r="V257" i="2"/>
  <c r="Z257" i="2"/>
  <c r="Q257" i="2"/>
  <c r="W257" i="2"/>
  <c r="AB257" i="2"/>
  <c r="N253" i="2"/>
  <c r="R253" i="2"/>
  <c r="V253" i="2"/>
  <c r="Z253" i="2"/>
  <c r="Q253" i="2"/>
  <c r="W253" i="2"/>
  <c r="AB253" i="2"/>
  <c r="N249" i="2"/>
  <c r="R249" i="2"/>
  <c r="V249" i="2"/>
  <c r="Z249" i="2"/>
  <c r="Q249" i="2"/>
  <c r="W249" i="2"/>
  <c r="AB249" i="2"/>
  <c r="N245" i="2"/>
  <c r="R245" i="2"/>
  <c r="V245" i="2"/>
  <c r="Z245" i="2"/>
  <c r="Q245" i="2"/>
  <c r="W245" i="2"/>
  <c r="AB245" i="2"/>
  <c r="N241" i="2"/>
  <c r="R241" i="2"/>
  <c r="V241" i="2"/>
  <c r="Z241" i="2"/>
  <c r="Q241" i="2"/>
  <c r="W241" i="2"/>
  <c r="AB241" i="2"/>
  <c r="N237" i="2"/>
  <c r="R237" i="2"/>
  <c r="V237" i="2"/>
  <c r="Z237" i="2"/>
  <c r="Q237" i="2"/>
  <c r="W237" i="2"/>
  <c r="AB237" i="2"/>
  <c r="N233" i="2"/>
  <c r="R233" i="2"/>
  <c r="V233" i="2"/>
  <c r="Z233" i="2"/>
  <c r="Q233" i="2"/>
  <c r="W233" i="2"/>
  <c r="AB233" i="2"/>
  <c r="N229" i="2"/>
  <c r="R229" i="2"/>
  <c r="V229" i="2"/>
  <c r="Z229" i="2"/>
  <c r="Q229" i="2"/>
  <c r="W229" i="2"/>
  <c r="AB229" i="2"/>
  <c r="N225" i="2"/>
  <c r="R225" i="2"/>
  <c r="V225" i="2"/>
  <c r="Z225" i="2"/>
  <c r="Q225" i="2"/>
  <c r="W225" i="2"/>
  <c r="AB225" i="2"/>
  <c r="N221" i="2"/>
  <c r="R221" i="2"/>
  <c r="V221" i="2"/>
  <c r="Z221" i="2"/>
  <c r="Q221" i="2"/>
  <c r="W221" i="2"/>
  <c r="AB221" i="2"/>
  <c r="N217" i="2"/>
  <c r="R217" i="2"/>
  <c r="V217" i="2"/>
  <c r="Z217" i="2"/>
  <c r="Q217" i="2"/>
  <c r="W217" i="2"/>
  <c r="AB217" i="2"/>
  <c r="N213" i="2"/>
  <c r="R213" i="2"/>
  <c r="V213" i="2"/>
  <c r="Z213" i="2"/>
  <c r="Q213" i="2"/>
  <c r="W213" i="2"/>
  <c r="AB213" i="2"/>
  <c r="N209" i="2"/>
  <c r="R209" i="2"/>
  <c r="V209" i="2"/>
  <c r="Z209" i="2"/>
  <c r="Q209" i="2"/>
  <c r="W209" i="2"/>
  <c r="AB209" i="2"/>
  <c r="N205" i="2"/>
  <c r="R205" i="2"/>
  <c r="V205" i="2"/>
  <c r="Z205" i="2"/>
  <c r="Q205" i="2"/>
  <c r="W205" i="2"/>
  <c r="AB205" i="2"/>
  <c r="N201" i="2"/>
  <c r="R201" i="2"/>
  <c r="V201" i="2"/>
  <c r="Z201" i="2"/>
  <c r="Q201" i="2"/>
  <c r="W201" i="2"/>
  <c r="AB201" i="2"/>
  <c r="P194" i="2"/>
  <c r="T194" i="2"/>
  <c r="X194" i="2"/>
  <c r="AB194" i="2"/>
  <c r="N194" i="2"/>
  <c r="S194" i="2"/>
  <c r="Y194" i="2"/>
  <c r="O194" i="2"/>
  <c r="U194" i="2"/>
  <c r="Z194" i="2"/>
  <c r="N186" i="2"/>
  <c r="R186" i="2"/>
  <c r="V186" i="2"/>
  <c r="Z186" i="2"/>
  <c r="Q186" i="2"/>
  <c r="W186" i="2"/>
  <c r="AB186" i="2"/>
  <c r="O186" i="2"/>
  <c r="U186" i="2"/>
  <c r="AC186" i="2"/>
  <c r="P186" i="2"/>
  <c r="X186" i="2"/>
  <c r="P183" i="2"/>
  <c r="T183" i="2"/>
  <c r="X183" i="2"/>
  <c r="AB183" i="2"/>
  <c r="N183" i="2"/>
  <c r="S183" i="2"/>
  <c r="Y183" i="2"/>
  <c r="Q183" i="2"/>
  <c r="W183" i="2"/>
  <c r="R183" i="2"/>
  <c r="Z183" i="2"/>
  <c r="N178" i="2"/>
  <c r="R178" i="2"/>
  <c r="V178" i="2"/>
  <c r="Z178" i="2"/>
  <c r="Q178" i="2"/>
  <c r="W178" i="2"/>
  <c r="AB178" i="2"/>
  <c r="O178" i="2"/>
  <c r="U178" i="2"/>
  <c r="AC178" i="2"/>
  <c r="P178" i="2"/>
  <c r="X178" i="2"/>
  <c r="P175" i="2"/>
  <c r="T175" i="2"/>
  <c r="X175" i="2"/>
  <c r="AB175" i="2"/>
  <c r="N175" i="2"/>
  <c r="S175" i="2"/>
  <c r="Y175" i="2"/>
  <c r="Q175" i="2"/>
  <c r="W175" i="2"/>
  <c r="R175" i="2"/>
  <c r="Z175" i="2"/>
  <c r="N170" i="2"/>
  <c r="R170" i="2"/>
  <c r="V170" i="2"/>
  <c r="Z170" i="2"/>
  <c r="Q170" i="2"/>
  <c r="W170" i="2"/>
  <c r="AB170" i="2"/>
  <c r="O170" i="2"/>
  <c r="U170" i="2"/>
  <c r="AC170" i="2"/>
  <c r="P170" i="2"/>
  <c r="X170" i="2"/>
  <c r="P167" i="2"/>
  <c r="T167" i="2"/>
  <c r="X167" i="2"/>
  <c r="AB167" i="2"/>
  <c r="N167" i="2"/>
  <c r="S167" i="2"/>
  <c r="Y167" i="2"/>
  <c r="Q167" i="2"/>
  <c r="W167" i="2"/>
  <c r="R167" i="2"/>
  <c r="Z167" i="2"/>
  <c r="P163" i="2"/>
  <c r="T163" i="2"/>
  <c r="X163" i="2"/>
  <c r="AB163" i="2"/>
  <c r="N163" i="2"/>
  <c r="S163" i="2"/>
  <c r="Y163" i="2"/>
  <c r="Q163" i="2"/>
  <c r="W163" i="2"/>
  <c r="R163" i="2"/>
  <c r="Z163" i="2"/>
  <c r="P159" i="2"/>
  <c r="T159" i="2"/>
  <c r="X159" i="2"/>
  <c r="AB159" i="2"/>
  <c r="N159" i="2"/>
  <c r="S159" i="2"/>
  <c r="Y159" i="2"/>
  <c r="Q159" i="2"/>
  <c r="W159" i="2"/>
  <c r="R159" i="2"/>
  <c r="Z159" i="2"/>
  <c r="P155" i="2"/>
  <c r="T155" i="2"/>
  <c r="X155" i="2"/>
  <c r="AB155" i="2"/>
  <c r="N155" i="2"/>
  <c r="S155" i="2"/>
  <c r="Y155" i="2"/>
  <c r="Q155" i="2"/>
  <c r="W155" i="2"/>
  <c r="R155" i="2"/>
  <c r="Z155" i="2"/>
  <c r="P151" i="2"/>
  <c r="T151" i="2"/>
  <c r="X151" i="2"/>
  <c r="AB151" i="2"/>
  <c r="N151" i="2"/>
  <c r="S151" i="2"/>
  <c r="Y151" i="2"/>
  <c r="Q151" i="2"/>
  <c r="W151" i="2"/>
  <c r="R151" i="2"/>
  <c r="Z151" i="2"/>
  <c r="P147" i="2"/>
  <c r="T147" i="2"/>
  <c r="X147" i="2"/>
  <c r="AB147" i="2"/>
  <c r="N147" i="2"/>
  <c r="S147" i="2"/>
  <c r="Y147" i="2"/>
  <c r="Q147" i="2"/>
  <c r="W147" i="2"/>
  <c r="R147" i="2"/>
  <c r="Z147" i="2"/>
  <c r="P143" i="2"/>
  <c r="T143" i="2"/>
  <c r="X143" i="2"/>
  <c r="AB143" i="2"/>
  <c r="N143" i="2"/>
  <c r="S143" i="2"/>
  <c r="Y143" i="2"/>
  <c r="Q143" i="2"/>
  <c r="W143" i="2"/>
  <c r="R143" i="2"/>
  <c r="Z143" i="2"/>
  <c r="P139" i="2"/>
  <c r="T139" i="2"/>
  <c r="X139" i="2"/>
  <c r="AB139" i="2"/>
  <c r="N139" i="2"/>
  <c r="S139" i="2"/>
  <c r="Y139" i="2"/>
  <c r="Q139" i="2"/>
  <c r="W139" i="2"/>
  <c r="R139" i="2"/>
  <c r="Z139" i="2"/>
  <c r="AB313" i="2"/>
  <c r="X313" i="2"/>
  <c r="T313" i="2"/>
  <c r="AB311" i="2"/>
  <c r="X311" i="2"/>
  <c r="T311" i="2"/>
  <c r="AB309" i="2"/>
  <c r="X309" i="2"/>
  <c r="T309" i="2"/>
  <c r="N307" i="2"/>
  <c r="R307" i="2"/>
  <c r="V307" i="2"/>
  <c r="Z307" i="2"/>
  <c r="N305" i="2"/>
  <c r="R305" i="2"/>
  <c r="V305" i="2"/>
  <c r="Z305" i="2"/>
  <c r="N303" i="2"/>
  <c r="R303" i="2"/>
  <c r="V303" i="2"/>
  <c r="Z303" i="2"/>
  <c r="N301" i="2"/>
  <c r="R301" i="2"/>
  <c r="V301" i="2"/>
  <c r="Z301" i="2"/>
  <c r="N299" i="2"/>
  <c r="R299" i="2"/>
  <c r="V299" i="2"/>
  <c r="Z299" i="2"/>
  <c r="N297" i="2"/>
  <c r="R297" i="2"/>
  <c r="V297" i="2"/>
  <c r="Z297" i="2"/>
  <c r="N295" i="2"/>
  <c r="R295" i="2"/>
  <c r="V295" i="2"/>
  <c r="Z295" i="2"/>
  <c r="N293" i="2"/>
  <c r="R293" i="2"/>
  <c r="V293" i="2"/>
  <c r="Z293" i="2"/>
  <c r="N291" i="2"/>
  <c r="R291" i="2"/>
  <c r="V291" i="2"/>
  <c r="Z291" i="2"/>
  <c r="N289" i="2"/>
  <c r="R289" i="2"/>
  <c r="V289" i="2"/>
  <c r="Z289" i="2"/>
  <c r="N287" i="2"/>
  <c r="R287" i="2"/>
  <c r="V287" i="2"/>
  <c r="Z287" i="2"/>
  <c r="N285" i="2"/>
  <c r="R285" i="2"/>
  <c r="V285" i="2"/>
  <c r="Z285" i="2"/>
  <c r="N283" i="2"/>
  <c r="R283" i="2"/>
  <c r="V283" i="2"/>
  <c r="Z283" i="2"/>
  <c r="N281" i="2"/>
  <c r="R281" i="2"/>
  <c r="V281" i="2"/>
  <c r="Z281" i="2"/>
  <c r="N279" i="2"/>
  <c r="R279" i="2"/>
  <c r="V279" i="2"/>
  <c r="Z279" i="2"/>
  <c r="N277" i="2"/>
  <c r="R277" i="2"/>
  <c r="V277" i="2"/>
  <c r="Z277" i="2"/>
  <c r="N275" i="2"/>
  <c r="R275" i="2"/>
  <c r="V275" i="2"/>
  <c r="Z275" i="2"/>
  <c r="AC273" i="2"/>
  <c r="X273" i="2"/>
  <c r="S273" i="2"/>
  <c r="P270" i="2"/>
  <c r="T270" i="2"/>
  <c r="X270" i="2"/>
  <c r="AB270" i="2"/>
  <c r="N270" i="2"/>
  <c r="S270" i="2"/>
  <c r="Y270" i="2"/>
  <c r="Y269" i="2"/>
  <c r="S269" i="2"/>
  <c r="P266" i="2"/>
  <c r="T266" i="2"/>
  <c r="X266" i="2"/>
  <c r="AB266" i="2"/>
  <c r="N266" i="2"/>
  <c r="S266" i="2"/>
  <c r="Y266" i="2"/>
  <c r="Y265" i="2"/>
  <c r="S265" i="2"/>
  <c r="P262" i="2"/>
  <c r="T262" i="2"/>
  <c r="X262" i="2"/>
  <c r="AB262" i="2"/>
  <c r="N262" i="2"/>
  <c r="S262" i="2"/>
  <c r="Y262" i="2"/>
  <c r="Y261" i="2"/>
  <c r="S261" i="2"/>
  <c r="P258" i="2"/>
  <c r="T258" i="2"/>
  <c r="X258" i="2"/>
  <c r="AB258" i="2"/>
  <c r="N258" i="2"/>
  <c r="S258" i="2"/>
  <c r="Y258" i="2"/>
  <c r="Y257" i="2"/>
  <c r="S257" i="2"/>
  <c r="P254" i="2"/>
  <c r="T254" i="2"/>
  <c r="X254" i="2"/>
  <c r="AB254" i="2"/>
  <c r="N254" i="2"/>
  <c r="S254" i="2"/>
  <c r="Y254" i="2"/>
  <c r="Y253" i="2"/>
  <c r="S253" i="2"/>
  <c r="P250" i="2"/>
  <c r="T250" i="2"/>
  <c r="X250" i="2"/>
  <c r="AB250" i="2"/>
  <c r="N250" i="2"/>
  <c r="S250" i="2"/>
  <c r="Y250" i="2"/>
  <c r="Y249" i="2"/>
  <c r="S249" i="2"/>
  <c r="P246" i="2"/>
  <c r="T246" i="2"/>
  <c r="X246" i="2"/>
  <c r="AB246" i="2"/>
  <c r="N246" i="2"/>
  <c r="S246" i="2"/>
  <c r="Y246" i="2"/>
  <c r="Y245" i="2"/>
  <c r="S245" i="2"/>
  <c r="P242" i="2"/>
  <c r="T242" i="2"/>
  <c r="X242" i="2"/>
  <c r="AB242" i="2"/>
  <c r="N242" i="2"/>
  <c r="S242" i="2"/>
  <c r="Y242" i="2"/>
  <c r="Y241" i="2"/>
  <c r="S241" i="2"/>
  <c r="P238" i="2"/>
  <c r="T238" i="2"/>
  <c r="X238" i="2"/>
  <c r="AB238" i="2"/>
  <c r="N238" i="2"/>
  <c r="S238" i="2"/>
  <c r="Y238" i="2"/>
  <c r="Y237" i="2"/>
  <c r="S237" i="2"/>
  <c r="P234" i="2"/>
  <c r="T234" i="2"/>
  <c r="X234" i="2"/>
  <c r="AB234" i="2"/>
  <c r="N234" i="2"/>
  <c r="S234" i="2"/>
  <c r="Y234" i="2"/>
  <c r="Y233" i="2"/>
  <c r="S233" i="2"/>
  <c r="P230" i="2"/>
  <c r="T230" i="2"/>
  <c r="X230" i="2"/>
  <c r="AB230" i="2"/>
  <c r="N230" i="2"/>
  <c r="S230" i="2"/>
  <c r="Y230" i="2"/>
  <c r="Y229" i="2"/>
  <c r="S229" i="2"/>
  <c r="P226" i="2"/>
  <c r="T226" i="2"/>
  <c r="X226" i="2"/>
  <c r="AB226" i="2"/>
  <c r="N226" i="2"/>
  <c r="S226" i="2"/>
  <c r="Y226" i="2"/>
  <c r="Y225" i="2"/>
  <c r="S225" i="2"/>
  <c r="P222" i="2"/>
  <c r="T222" i="2"/>
  <c r="X222" i="2"/>
  <c r="AB222" i="2"/>
  <c r="N222" i="2"/>
  <c r="S222" i="2"/>
  <c r="Y222" i="2"/>
  <c r="Y221" i="2"/>
  <c r="S221" i="2"/>
  <c r="P218" i="2"/>
  <c r="T218" i="2"/>
  <c r="X218" i="2"/>
  <c r="AB218" i="2"/>
  <c r="N218" i="2"/>
  <c r="S218" i="2"/>
  <c r="Y218" i="2"/>
  <c r="Y217" i="2"/>
  <c r="S217" i="2"/>
  <c r="P214" i="2"/>
  <c r="T214" i="2"/>
  <c r="X214" i="2"/>
  <c r="AB214" i="2"/>
  <c r="N214" i="2"/>
  <c r="S214" i="2"/>
  <c r="Y214" i="2"/>
  <c r="Y213" i="2"/>
  <c r="S213" i="2"/>
  <c r="P210" i="2"/>
  <c r="T210" i="2"/>
  <c r="X210" i="2"/>
  <c r="AB210" i="2"/>
  <c r="N210" i="2"/>
  <c r="S210" i="2"/>
  <c r="Y210" i="2"/>
  <c r="Y209" i="2"/>
  <c r="S209" i="2"/>
  <c r="P206" i="2"/>
  <c r="T206" i="2"/>
  <c r="X206" i="2"/>
  <c r="AB206" i="2"/>
  <c r="N206" i="2"/>
  <c r="S206" i="2"/>
  <c r="Y206" i="2"/>
  <c r="Y205" i="2"/>
  <c r="S205" i="2"/>
  <c r="P202" i="2"/>
  <c r="T202" i="2"/>
  <c r="X202" i="2"/>
  <c r="AB202" i="2"/>
  <c r="N202" i="2"/>
  <c r="S202" i="2"/>
  <c r="Y202" i="2"/>
  <c r="Y201" i="2"/>
  <c r="S201" i="2"/>
  <c r="P196" i="2"/>
  <c r="T196" i="2"/>
  <c r="X196" i="2"/>
  <c r="AB196" i="2"/>
  <c r="N196" i="2"/>
  <c r="S196" i="2"/>
  <c r="Y196" i="2"/>
  <c r="O196" i="2"/>
  <c r="U196" i="2"/>
  <c r="Z196" i="2"/>
  <c r="V194" i="2"/>
  <c r="Y186" i="2"/>
  <c r="V183" i="2"/>
  <c r="Y178" i="2"/>
  <c r="V175" i="2"/>
  <c r="Y170" i="2"/>
  <c r="V167" i="2"/>
  <c r="V163" i="2"/>
  <c r="V159" i="2"/>
  <c r="V155" i="2"/>
  <c r="V151" i="2"/>
  <c r="V147" i="2"/>
  <c r="V143" i="2"/>
  <c r="O135" i="2"/>
  <c r="S135" i="2"/>
  <c r="W135" i="2"/>
  <c r="AA135" i="2"/>
  <c r="P135" i="2"/>
  <c r="T135" i="2"/>
  <c r="X135" i="2"/>
  <c r="AB135" i="2"/>
  <c r="N135" i="2"/>
  <c r="V135" i="2"/>
  <c r="R135" i="2"/>
  <c r="AC135" i="2"/>
  <c r="U135" i="2"/>
  <c r="P102" i="2"/>
  <c r="T102" i="2"/>
  <c r="X102" i="2"/>
  <c r="AB102" i="2"/>
  <c r="N102" i="2"/>
  <c r="S102" i="2"/>
  <c r="Y102" i="2"/>
  <c r="O102" i="2"/>
  <c r="U102" i="2"/>
  <c r="Z102" i="2"/>
  <c r="R102" i="2"/>
  <c r="AC102" i="2"/>
  <c r="V102" i="2"/>
  <c r="W102" i="2"/>
  <c r="AA102" i="2"/>
  <c r="N199" i="2"/>
  <c r="R199" i="2"/>
  <c r="V199" i="2"/>
  <c r="Z199" i="2"/>
  <c r="N197" i="2"/>
  <c r="R197" i="2"/>
  <c r="V197" i="2"/>
  <c r="Z197" i="2"/>
  <c r="N195" i="2"/>
  <c r="R195" i="2"/>
  <c r="V195" i="2"/>
  <c r="Z195" i="2"/>
  <c r="N193" i="2"/>
  <c r="R193" i="2"/>
  <c r="V193" i="2"/>
  <c r="Z193" i="2"/>
  <c r="N191" i="2"/>
  <c r="R191" i="2"/>
  <c r="V191" i="2"/>
  <c r="Z191" i="2"/>
  <c r="AC189" i="2"/>
  <c r="V189" i="2"/>
  <c r="N188" i="2"/>
  <c r="R188" i="2"/>
  <c r="V188" i="2"/>
  <c r="Z188" i="2"/>
  <c r="Q188" i="2"/>
  <c r="W188" i="2"/>
  <c r="AB188" i="2"/>
  <c r="AC185" i="2"/>
  <c r="V185" i="2"/>
  <c r="N184" i="2"/>
  <c r="R184" i="2"/>
  <c r="V184" i="2"/>
  <c r="Z184" i="2"/>
  <c r="Q184" i="2"/>
  <c r="W184" i="2"/>
  <c r="AB184" i="2"/>
  <c r="AC181" i="2"/>
  <c r="V181" i="2"/>
  <c r="N180" i="2"/>
  <c r="R180" i="2"/>
  <c r="V180" i="2"/>
  <c r="Z180" i="2"/>
  <c r="Q180" i="2"/>
  <c r="W180" i="2"/>
  <c r="AB180" i="2"/>
  <c r="AC177" i="2"/>
  <c r="V177" i="2"/>
  <c r="N176" i="2"/>
  <c r="R176" i="2"/>
  <c r="V176" i="2"/>
  <c r="Z176" i="2"/>
  <c r="Q176" i="2"/>
  <c r="W176" i="2"/>
  <c r="AB176" i="2"/>
  <c r="AC173" i="2"/>
  <c r="V173" i="2"/>
  <c r="N172" i="2"/>
  <c r="R172" i="2"/>
  <c r="V172" i="2"/>
  <c r="Z172" i="2"/>
  <c r="Q172" i="2"/>
  <c r="W172" i="2"/>
  <c r="AB172" i="2"/>
  <c r="AC169" i="2"/>
  <c r="V169" i="2"/>
  <c r="N168" i="2"/>
  <c r="R168" i="2"/>
  <c r="V168" i="2"/>
  <c r="Z168" i="2"/>
  <c r="Q168" i="2"/>
  <c r="W168" i="2"/>
  <c r="AB168" i="2"/>
  <c r="AC165" i="2"/>
  <c r="V165" i="2"/>
  <c r="N164" i="2"/>
  <c r="R164" i="2"/>
  <c r="V164" i="2"/>
  <c r="Z164" i="2"/>
  <c r="Q164" i="2"/>
  <c r="W164" i="2"/>
  <c r="AB164" i="2"/>
  <c r="AC161" i="2"/>
  <c r="V161" i="2"/>
  <c r="N160" i="2"/>
  <c r="R160" i="2"/>
  <c r="V160" i="2"/>
  <c r="Z160" i="2"/>
  <c r="Q160" i="2"/>
  <c r="W160" i="2"/>
  <c r="AB160" i="2"/>
  <c r="AC157" i="2"/>
  <c r="V157" i="2"/>
  <c r="N156" i="2"/>
  <c r="R156" i="2"/>
  <c r="V156" i="2"/>
  <c r="Z156" i="2"/>
  <c r="Q156" i="2"/>
  <c r="W156" i="2"/>
  <c r="AB156" i="2"/>
  <c r="AC153" i="2"/>
  <c r="V153" i="2"/>
  <c r="N152" i="2"/>
  <c r="R152" i="2"/>
  <c r="V152" i="2"/>
  <c r="Z152" i="2"/>
  <c r="Q152" i="2"/>
  <c r="W152" i="2"/>
  <c r="AB152" i="2"/>
  <c r="AC149" i="2"/>
  <c r="V149" i="2"/>
  <c r="N148" i="2"/>
  <c r="R148" i="2"/>
  <c r="V148" i="2"/>
  <c r="Z148" i="2"/>
  <c r="Q148" i="2"/>
  <c r="W148" i="2"/>
  <c r="AB148" i="2"/>
  <c r="AC145" i="2"/>
  <c r="V145" i="2"/>
  <c r="N144" i="2"/>
  <c r="R144" i="2"/>
  <c r="V144" i="2"/>
  <c r="Z144" i="2"/>
  <c r="Q144" i="2"/>
  <c r="W144" i="2"/>
  <c r="AB144" i="2"/>
  <c r="AC141" i="2"/>
  <c r="V141" i="2"/>
  <c r="N140" i="2"/>
  <c r="R140" i="2"/>
  <c r="V140" i="2"/>
  <c r="Z140" i="2"/>
  <c r="Q140" i="2"/>
  <c r="W140" i="2"/>
  <c r="AB140" i="2"/>
  <c r="AC137" i="2"/>
  <c r="V137" i="2"/>
  <c r="P110" i="2"/>
  <c r="T110" i="2"/>
  <c r="X110" i="2"/>
  <c r="AB110" i="2"/>
  <c r="N110" i="2"/>
  <c r="S110" i="2"/>
  <c r="Y110" i="2"/>
  <c r="O110" i="2"/>
  <c r="U110" i="2"/>
  <c r="Z110" i="2"/>
  <c r="R110" i="2"/>
  <c r="AC110" i="2"/>
  <c r="V110" i="2"/>
  <c r="N90" i="2"/>
  <c r="R90" i="2"/>
  <c r="V90" i="2"/>
  <c r="Z90" i="2"/>
  <c r="Q90" i="2"/>
  <c r="W90" i="2"/>
  <c r="AB90" i="2"/>
  <c r="P90" i="2"/>
  <c r="X90" i="2"/>
  <c r="S90" i="2"/>
  <c r="Y90" i="2"/>
  <c r="T90" i="2"/>
  <c r="U90" i="2"/>
  <c r="P85" i="2"/>
  <c r="T85" i="2"/>
  <c r="X85" i="2"/>
  <c r="AB85" i="2"/>
  <c r="N85" i="2"/>
  <c r="S85" i="2"/>
  <c r="Y85" i="2"/>
  <c r="O85" i="2"/>
  <c r="V85" i="2"/>
  <c r="AC85" i="2"/>
  <c r="Q85" i="2"/>
  <c r="W85" i="2"/>
  <c r="R85" i="2"/>
  <c r="U85" i="2"/>
  <c r="N74" i="2"/>
  <c r="R74" i="2"/>
  <c r="V74" i="2"/>
  <c r="Z74" i="2"/>
  <c r="Q74" i="2"/>
  <c r="W74" i="2"/>
  <c r="AB74" i="2"/>
  <c r="P74" i="2"/>
  <c r="X74" i="2"/>
  <c r="S74" i="2"/>
  <c r="Y74" i="2"/>
  <c r="T74" i="2"/>
  <c r="U74" i="2"/>
  <c r="P69" i="2"/>
  <c r="T69" i="2"/>
  <c r="X69" i="2"/>
  <c r="AB69" i="2"/>
  <c r="N69" i="2"/>
  <c r="S69" i="2"/>
  <c r="Y69" i="2"/>
  <c r="O69" i="2"/>
  <c r="V69" i="2"/>
  <c r="AC69" i="2"/>
  <c r="Q69" i="2"/>
  <c r="W69" i="2"/>
  <c r="R69" i="2"/>
  <c r="U69" i="2"/>
  <c r="AB199" i="2"/>
  <c r="W199" i="2"/>
  <c r="Q199" i="2"/>
  <c r="AB197" i="2"/>
  <c r="W197" i="2"/>
  <c r="Q197" i="2"/>
  <c r="AB195" i="2"/>
  <c r="W195" i="2"/>
  <c r="Q195" i="2"/>
  <c r="AB193" i="2"/>
  <c r="W193" i="2"/>
  <c r="Q193" i="2"/>
  <c r="AB191" i="2"/>
  <c r="W191" i="2"/>
  <c r="Q191" i="2"/>
  <c r="P189" i="2"/>
  <c r="T189" i="2"/>
  <c r="X189" i="2"/>
  <c r="AB189" i="2"/>
  <c r="N189" i="2"/>
  <c r="S189" i="2"/>
  <c r="Y189" i="2"/>
  <c r="Y188" i="2"/>
  <c r="S188" i="2"/>
  <c r="P185" i="2"/>
  <c r="T185" i="2"/>
  <c r="X185" i="2"/>
  <c r="AB185" i="2"/>
  <c r="N185" i="2"/>
  <c r="S185" i="2"/>
  <c r="Y185" i="2"/>
  <c r="Y184" i="2"/>
  <c r="S184" i="2"/>
  <c r="P181" i="2"/>
  <c r="T181" i="2"/>
  <c r="X181" i="2"/>
  <c r="AB181" i="2"/>
  <c r="N181" i="2"/>
  <c r="S181" i="2"/>
  <c r="Y181" i="2"/>
  <c r="Y180" i="2"/>
  <c r="S180" i="2"/>
  <c r="P177" i="2"/>
  <c r="T177" i="2"/>
  <c r="X177" i="2"/>
  <c r="AB177" i="2"/>
  <c r="N177" i="2"/>
  <c r="S177" i="2"/>
  <c r="Y177" i="2"/>
  <c r="Y176" i="2"/>
  <c r="S176" i="2"/>
  <c r="P173" i="2"/>
  <c r="T173" i="2"/>
  <c r="X173" i="2"/>
  <c r="AB173" i="2"/>
  <c r="N173" i="2"/>
  <c r="S173" i="2"/>
  <c r="Y173" i="2"/>
  <c r="Y172" i="2"/>
  <c r="S172" i="2"/>
  <c r="P169" i="2"/>
  <c r="T169" i="2"/>
  <c r="X169" i="2"/>
  <c r="AB169" i="2"/>
  <c r="N169" i="2"/>
  <c r="S169" i="2"/>
  <c r="Y169" i="2"/>
  <c r="Y168" i="2"/>
  <c r="S168" i="2"/>
  <c r="P165" i="2"/>
  <c r="T165" i="2"/>
  <c r="X165" i="2"/>
  <c r="AB165" i="2"/>
  <c r="N165" i="2"/>
  <c r="S165" i="2"/>
  <c r="Y165" i="2"/>
  <c r="P161" i="2"/>
  <c r="T161" i="2"/>
  <c r="X161" i="2"/>
  <c r="AB161" i="2"/>
  <c r="N161" i="2"/>
  <c r="S161" i="2"/>
  <c r="Y161" i="2"/>
  <c r="P157" i="2"/>
  <c r="T157" i="2"/>
  <c r="X157" i="2"/>
  <c r="AB157" i="2"/>
  <c r="N157" i="2"/>
  <c r="S157" i="2"/>
  <c r="Y157" i="2"/>
  <c r="P153" i="2"/>
  <c r="T153" i="2"/>
  <c r="X153" i="2"/>
  <c r="AB153" i="2"/>
  <c r="N153" i="2"/>
  <c r="S153" i="2"/>
  <c r="Y153" i="2"/>
  <c r="P149" i="2"/>
  <c r="T149" i="2"/>
  <c r="X149" i="2"/>
  <c r="AB149" i="2"/>
  <c r="N149" i="2"/>
  <c r="S149" i="2"/>
  <c r="Y149" i="2"/>
  <c r="P145" i="2"/>
  <c r="T145" i="2"/>
  <c r="X145" i="2"/>
  <c r="AB145" i="2"/>
  <c r="N145" i="2"/>
  <c r="S145" i="2"/>
  <c r="Y145" i="2"/>
  <c r="P141" i="2"/>
  <c r="T141" i="2"/>
  <c r="X141" i="2"/>
  <c r="AB141" i="2"/>
  <c r="N141" i="2"/>
  <c r="S141" i="2"/>
  <c r="Y141" i="2"/>
  <c r="P137" i="2"/>
  <c r="T137" i="2"/>
  <c r="X137" i="2"/>
  <c r="AB137" i="2"/>
  <c r="N137" i="2"/>
  <c r="S137" i="2"/>
  <c r="Y137" i="2"/>
  <c r="AA110" i="2"/>
  <c r="N94" i="2"/>
  <c r="R94" i="2"/>
  <c r="V94" i="2"/>
  <c r="Z94" i="2"/>
  <c r="Q94" i="2"/>
  <c r="W94" i="2"/>
  <c r="AB94" i="2"/>
  <c r="P94" i="2"/>
  <c r="X94" i="2"/>
  <c r="S94" i="2"/>
  <c r="Y94" i="2"/>
  <c r="O94" i="2"/>
  <c r="AC94" i="2"/>
  <c r="T94" i="2"/>
  <c r="AC90" i="2"/>
  <c r="P81" i="2"/>
  <c r="T81" i="2"/>
  <c r="X81" i="2"/>
  <c r="AB81" i="2"/>
  <c r="N81" i="2"/>
  <c r="S81" i="2"/>
  <c r="Y81" i="2"/>
  <c r="O81" i="2"/>
  <c r="V81" i="2"/>
  <c r="AC81" i="2"/>
  <c r="Q81" i="2"/>
  <c r="W81" i="2"/>
  <c r="U81" i="2"/>
  <c r="Z81" i="2"/>
  <c r="N78" i="2"/>
  <c r="R78" i="2"/>
  <c r="V78" i="2"/>
  <c r="Z78" i="2"/>
  <c r="Q78" i="2"/>
  <c r="W78" i="2"/>
  <c r="AB78" i="2"/>
  <c r="P78" i="2"/>
  <c r="X78" i="2"/>
  <c r="S78" i="2"/>
  <c r="Y78" i="2"/>
  <c r="O78" i="2"/>
  <c r="AC78" i="2"/>
  <c r="T78" i="2"/>
  <c r="AC74" i="2"/>
  <c r="V133" i="2"/>
  <c r="V131" i="2"/>
  <c r="V129" i="2"/>
  <c r="V127" i="2"/>
  <c r="V125" i="2"/>
  <c r="V123" i="2"/>
  <c r="V121" i="2"/>
  <c r="V119" i="2"/>
  <c r="V117" i="2"/>
  <c r="V115" i="2"/>
  <c r="V113" i="2"/>
  <c r="AA106" i="2"/>
  <c r="P104" i="2"/>
  <c r="T104" i="2"/>
  <c r="X104" i="2"/>
  <c r="AB104" i="2"/>
  <c r="N104" i="2"/>
  <c r="S104" i="2"/>
  <c r="Y104" i="2"/>
  <c r="O104" i="2"/>
  <c r="U104" i="2"/>
  <c r="Z104" i="2"/>
  <c r="AA98" i="2"/>
  <c r="P96" i="2"/>
  <c r="T96" i="2"/>
  <c r="X96" i="2"/>
  <c r="AB96" i="2"/>
  <c r="N96" i="2"/>
  <c r="S96" i="2"/>
  <c r="Y96" i="2"/>
  <c r="O96" i="2"/>
  <c r="U96" i="2"/>
  <c r="Z96" i="2"/>
  <c r="P93" i="2"/>
  <c r="T93" i="2"/>
  <c r="X93" i="2"/>
  <c r="AB93" i="2"/>
  <c r="N93" i="2"/>
  <c r="S93" i="2"/>
  <c r="Y93" i="2"/>
  <c r="O93" i="2"/>
  <c r="V93" i="2"/>
  <c r="AC93" i="2"/>
  <c r="Q93" i="2"/>
  <c r="W93" i="2"/>
  <c r="N86" i="2"/>
  <c r="R86" i="2"/>
  <c r="V86" i="2"/>
  <c r="Z86" i="2"/>
  <c r="Q86" i="2"/>
  <c r="W86" i="2"/>
  <c r="AB86" i="2"/>
  <c r="P86" i="2"/>
  <c r="X86" i="2"/>
  <c r="S86" i="2"/>
  <c r="Y86" i="2"/>
  <c r="AC82" i="2"/>
  <c r="P77" i="2"/>
  <c r="T77" i="2"/>
  <c r="X77" i="2"/>
  <c r="AB77" i="2"/>
  <c r="N77" i="2"/>
  <c r="S77" i="2"/>
  <c r="Y77" i="2"/>
  <c r="O77" i="2"/>
  <c r="V77" i="2"/>
  <c r="AC77" i="2"/>
  <c r="Q77" i="2"/>
  <c r="W77" i="2"/>
  <c r="N70" i="2"/>
  <c r="R70" i="2"/>
  <c r="V70" i="2"/>
  <c r="Z70" i="2"/>
  <c r="Q70" i="2"/>
  <c r="W70" i="2"/>
  <c r="AB70" i="2"/>
  <c r="P70" i="2"/>
  <c r="X70" i="2"/>
  <c r="S70" i="2"/>
  <c r="Y70" i="2"/>
  <c r="O133" i="2"/>
  <c r="S133" i="2"/>
  <c r="W133" i="2"/>
  <c r="AA133" i="2"/>
  <c r="P133" i="2"/>
  <c r="T133" i="2"/>
  <c r="X133" i="2"/>
  <c r="AB133" i="2"/>
  <c r="O131" i="2"/>
  <c r="S131" i="2"/>
  <c r="W131" i="2"/>
  <c r="AA131" i="2"/>
  <c r="P131" i="2"/>
  <c r="T131" i="2"/>
  <c r="X131" i="2"/>
  <c r="AB131" i="2"/>
  <c r="O129" i="2"/>
  <c r="S129" i="2"/>
  <c r="W129" i="2"/>
  <c r="AA129" i="2"/>
  <c r="P129" i="2"/>
  <c r="T129" i="2"/>
  <c r="X129" i="2"/>
  <c r="AB129" i="2"/>
  <c r="O127" i="2"/>
  <c r="S127" i="2"/>
  <c r="W127" i="2"/>
  <c r="AA127" i="2"/>
  <c r="P127" i="2"/>
  <c r="T127" i="2"/>
  <c r="X127" i="2"/>
  <c r="AB127" i="2"/>
  <c r="O125" i="2"/>
  <c r="S125" i="2"/>
  <c r="W125" i="2"/>
  <c r="AA125" i="2"/>
  <c r="P125" i="2"/>
  <c r="T125" i="2"/>
  <c r="X125" i="2"/>
  <c r="AB125" i="2"/>
  <c r="O123" i="2"/>
  <c r="S123" i="2"/>
  <c r="W123" i="2"/>
  <c r="AA123" i="2"/>
  <c r="P123" i="2"/>
  <c r="T123" i="2"/>
  <c r="X123" i="2"/>
  <c r="AB123" i="2"/>
  <c r="O121" i="2"/>
  <c r="S121" i="2"/>
  <c r="W121" i="2"/>
  <c r="AA121" i="2"/>
  <c r="P121" i="2"/>
  <c r="T121" i="2"/>
  <c r="X121" i="2"/>
  <c r="AB121" i="2"/>
  <c r="O119" i="2"/>
  <c r="S119" i="2"/>
  <c r="W119" i="2"/>
  <c r="AA119" i="2"/>
  <c r="P119" i="2"/>
  <c r="T119" i="2"/>
  <c r="X119" i="2"/>
  <c r="AB119" i="2"/>
  <c r="O117" i="2"/>
  <c r="S117" i="2"/>
  <c r="W117" i="2"/>
  <c r="AA117" i="2"/>
  <c r="P117" i="2"/>
  <c r="T117" i="2"/>
  <c r="X117" i="2"/>
  <c r="AB117" i="2"/>
  <c r="O115" i="2"/>
  <c r="S115" i="2"/>
  <c r="W115" i="2"/>
  <c r="AA115" i="2"/>
  <c r="P115" i="2"/>
  <c r="T115" i="2"/>
  <c r="X115" i="2"/>
  <c r="AB115" i="2"/>
  <c r="O113" i="2"/>
  <c r="S113" i="2"/>
  <c r="W113" i="2"/>
  <c r="AA113" i="2"/>
  <c r="P113" i="2"/>
  <c r="T113" i="2"/>
  <c r="X113" i="2"/>
  <c r="AB113" i="2"/>
  <c r="P106" i="2"/>
  <c r="T106" i="2"/>
  <c r="X106" i="2"/>
  <c r="AB106" i="2"/>
  <c r="N106" i="2"/>
  <c r="S106" i="2"/>
  <c r="Y106" i="2"/>
  <c r="O106" i="2"/>
  <c r="U106" i="2"/>
  <c r="Z106" i="2"/>
  <c r="P98" i="2"/>
  <c r="T98" i="2"/>
  <c r="X98" i="2"/>
  <c r="AB98" i="2"/>
  <c r="N98" i="2"/>
  <c r="S98" i="2"/>
  <c r="Y98" i="2"/>
  <c r="O98" i="2"/>
  <c r="U98" i="2"/>
  <c r="Z98" i="2"/>
  <c r="P89" i="2"/>
  <c r="T89" i="2"/>
  <c r="X89" i="2"/>
  <c r="AB89" i="2"/>
  <c r="N89" i="2"/>
  <c r="S89" i="2"/>
  <c r="Y89" i="2"/>
  <c r="O89" i="2"/>
  <c r="V89" i="2"/>
  <c r="AC89" i="2"/>
  <c r="Q89" i="2"/>
  <c r="W89" i="2"/>
  <c r="N82" i="2"/>
  <c r="R82" i="2"/>
  <c r="V82" i="2"/>
  <c r="Z82" i="2"/>
  <c r="Q82" i="2"/>
  <c r="W82" i="2"/>
  <c r="AB82" i="2"/>
  <c r="P82" i="2"/>
  <c r="X82" i="2"/>
  <c r="S82" i="2"/>
  <c r="Y82" i="2"/>
  <c r="P73" i="2"/>
  <c r="T73" i="2"/>
  <c r="X73" i="2"/>
  <c r="AB73" i="2"/>
  <c r="N73" i="2"/>
  <c r="S73" i="2"/>
  <c r="Y73" i="2"/>
  <c r="O73" i="2"/>
  <c r="V73" i="2"/>
  <c r="AC73" i="2"/>
  <c r="Q73" i="2"/>
  <c r="W73" i="2"/>
  <c r="O56" i="2"/>
  <c r="S56" i="2"/>
  <c r="W56" i="2"/>
  <c r="AA56" i="2"/>
  <c r="N56" i="2"/>
  <c r="T56" i="2"/>
  <c r="Y56" i="2"/>
  <c r="P56" i="2"/>
  <c r="U56" i="2"/>
  <c r="Z56" i="2"/>
  <c r="R56" i="2"/>
  <c r="AC56" i="2"/>
  <c r="V56" i="2"/>
  <c r="X56" i="2"/>
  <c r="AB56" i="2"/>
  <c r="Z136" i="2"/>
  <c r="V136" i="2"/>
  <c r="R136" i="2"/>
  <c r="Z134" i="2"/>
  <c r="V134" i="2"/>
  <c r="R134" i="2"/>
  <c r="Z132" i="2"/>
  <c r="V132" i="2"/>
  <c r="R132" i="2"/>
  <c r="Z130" i="2"/>
  <c r="V130" i="2"/>
  <c r="R130" i="2"/>
  <c r="Z128" i="2"/>
  <c r="V128" i="2"/>
  <c r="R128" i="2"/>
  <c r="N111" i="2"/>
  <c r="R111" i="2"/>
  <c r="V111" i="2"/>
  <c r="N109" i="2"/>
  <c r="R109" i="2"/>
  <c r="V109" i="2"/>
  <c r="Z109" i="2"/>
  <c r="N107" i="2"/>
  <c r="R107" i="2"/>
  <c r="V107" i="2"/>
  <c r="Z107" i="2"/>
  <c r="N105" i="2"/>
  <c r="R105" i="2"/>
  <c r="V105" i="2"/>
  <c r="Z105" i="2"/>
  <c r="N103" i="2"/>
  <c r="R103" i="2"/>
  <c r="V103" i="2"/>
  <c r="Z103" i="2"/>
  <c r="N101" i="2"/>
  <c r="R101" i="2"/>
  <c r="V101" i="2"/>
  <c r="Z101" i="2"/>
  <c r="N99" i="2"/>
  <c r="R99" i="2"/>
  <c r="V99" i="2"/>
  <c r="Z99" i="2"/>
  <c r="N97" i="2"/>
  <c r="R97" i="2"/>
  <c r="V97" i="2"/>
  <c r="Z97" i="2"/>
  <c r="N95" i="2"/>
  <c r="R95" i="2"/>
  <c r="V95" i="2"/>
  <c r="Z95" i="2"/>
  <c r="P91" i="2"/>
  <c r="T91" i="2"/>
  <c r="X91" i="2"/>
  <c r="AB91" i="2"/>
  <c r="N91" i="2"/>
  <c r="S91" i="2"/>
  <c r="Y91" i="2"/>
  <c r="P87" i="2"/>
  <c r="T87" i="2"/>
  <c r="X87" i="2"/>
  <c r="AB87" i="2"/>
  <c r="N87" i="2"/>
  <c r="S87" i="2"/>
  <c r="Y87" i="2"/>
  <c r="P83" i="2"/>
  <c r="T83" i="2"/>
  <c r="X83" i="2"/>
  <c r="AB83" i="2"/>
  <c r="N83" i="2"/>
  <c r="S83" i="2"/>
  <c r="Y83" i="2"/>
  <c r="P79" i="2"/>
  <c r="T79" i="2"/>
  <c r="X79" i="2"/>
  <c r="AB79" i="2"/>
  <c r="N79" i="2"/>
  <c r="S79" i="2"/>
  <c r="Y79" i="2"/>
  <c r="P75" i="2"/>
  <c r="T75" i="2"/>
  <c r="X75" i="2"/>
  <c r="AB75" i="2"/>
  <c r="N75" i="2"/>
  <c r="S75" i="2"/>
  <c r="Y75" i="2"/>
  <c r="P71" i="2"/>
  <c r="T71" i="2"/>
  <c r="X71" i="2"/>
  <c r="AB71" i="2"/>
  <c r="N71" i="2"/>
  <c r="S71" i="2"/>
  <c r="Y71" i="2"/>
  <c r="N66" i="2"/>
  <c r="R66" i="2"/>
  <c r="V66" i="2"/>
  <c r="Z66" i="2"/>
  <c r="P66" i="2"/>
  <c r="U66" i="2"/>
  <c r="AA66" i="2"/>
  <c r="Q66" i="2"/>
  <c r="W66" i="2"/>
  <c r="AB66" i="2"/>
  <c r="N64" i="2"/>
  <c r="R64" i="2"/>
  <c r="V64" i="2"/>
  <c r="Z64" i="2"/>
  <c r="O64" i="2"/>
  <c r="S64" i="2"/>
  <c r="W64" i="2"/>
  <c r="AA64" i="2"/>
  <c r="Q64" i="2"/>
  <c r="Y64" i="2"/>
  <c r="T64" i="2"/>
  <c r="AB64" i="2"/>
  <c r="N62" i="2"/>
  <c r="R62" i="2"/>
  <c r="V62" i="2"/>
  <c r="Z62" i="2"/>
  <c r="O62" i="2"/>
  <c r="S62" i="2"/>
  <c r="W62" i="2"/>
  <c r="AA62" i="2"/>
  <c r="Q62" i="2"/>
  <c r="Y62" i="2"/>
  <c r="T62" i="2"/>
  <c r="AB62" i="2"/>
  <c r="N60" i="2"/>
  <c r="R60" i="2"/>
  <c r="V60" i="2"/>
  <c r="Z60" i="2"/>
  <c r="O60" i="2"/>
  <c r="S60" i="2"/>
  <c r="W60" i="2"/>
  <c r="AA60" i="2"/>
  <c r="Q60" i="2"/>
  <c r="Y60" i="2"/>
  <c r="T60" i="2"/>
  <c r="AB60" i="2"/>
  <c r="P21" i="2"/>
  <c r="T21" i="2"/>
  <c r="X21" i="2"/>
  <c r="AB21" i="2"/>
  <c r="O21" i="2"/>
  <c r="U21" i="2"/>
  <c r="Z21" i="2"/>
  <c r="Q21" i="2"/>
  <c r="V21" i="2"/>
  <c r="AA21" i="2"/>
  <c r="R21" i="2"/>
  <c r="AC21" i="2"/>
  <c r="S21" i="2"/>
  <c r="W21" i="2"/>
  <c r="Y21" i="2"/>
  <c r="AA111" i="2"/>
  <c r="W111" i="2"/>
  <c r="Q111" i="2"/>
  <c r="AB109" i="2"/>
  <c r="W109" i="2"/>
  <c r="Q109" i="2"/>
  <c r="AB107" i="2"/>
  <c r="W107" i="2"/>
  <c r="Q107" i="2"/>
  <c r="AB105" i="2"/>
  <c r="W105" i="2"/>
  <c r="Q105" i="2"/>
  <c r="AB103" i="2"/>
  <c r="W103" i="2"/>
  <c r="Q103" i="2"/>
  <c r="AB101" i="2"/>
  <c r="W101" i="2"/>
  <c r="Q101" i="2"/>
  <c r="AB99" i="2"/>
  <c r="W99" i="2"/>
  <c r="Q99" i="2"/>
  <c r="AB97" i="2"/>
  <c r="W97" i="2"/>
  <c r="Q97" i="2"/>
  <c r="AB95" i="2"/>
  <c r="W95" i="2"/>
  <c r="Q95" i="2"/>
  <c r="N92" i="2"/>
  <c r="R92" i="2"/>
  <c r="V92" i="2"/>
  <c r="Z92" i="2"/>
  <c r="Q92" i="2"/>
  <c r="W92" i="2"/>
  <c r="AB92" i="2"/>
  <c r="Z91" i="2"/>
  <c r="R91" i="2"/>
  <c r="N88" i="2"/>
  <c r="R88" i="2"/>
  <c r="V88" i="2"/>
  <c r="Z88" i="2"/>
  <c r="Q88" i="2"/>
  <c r="W88" i="2"/>
  <c r="AB88" i="2"/>
  <c r="Z87" i="2"/>
  <c r="R87" i="2"/>
  <c r="N84" i="2"/>
  <c r="R84" i="2"/>
  <c r="V84" i="2"/>
  <c r="Z84" i="2"/>
  <c r="Q84" i="2"/>
  <c r="W84" i="2"/>
  <c r="AB84" i="2"/>
  <c r="Z83" i="2"/>
  <c r="R83" i="2"/>
  <c r="N80" i="2"/>
  <c r="R80" i="2"/>
  <c r="V80" i="2"/>
  <c r="Z80" i="2"/>
  <c r="Q80" i="2"/>
  <c r="W80" i="2"/>
  <c r="AB80" i="2"/>
  <c r="Z79" i="2"/>
  <c r="R79" i="2"/>
  <c r="N76" i="2"/>
  <c r="R76" i="2"/>
  <c r="V76" i="2"/>
  <c r="Z76" i="2"/>
  <c r="Q76" i="2"/>
  <c r="W76" i="2"/>
  <c r="AB76" i="2"/>
  <c r="Z75" i="2"/>
  <c r="R75" i="2"/>
  <c r="N72" i="2"/>
  <c r="R72" i="2"/>
  <c r="V72" i="2"/>
  <c r="Z72" i="2"/>
  <c r="Q72" i="2"/>
  <c r="W72" i="2"/>
  <c r="AB72" i="2"/>
  <c r="Z71" i="2"/>
  <c r="R71" i="2"/>
  <c r="N68" i="2"/>
  <c r="R68" i="2"/>
  <c r="V68" i="2"/>
  <c r="Z68" i="2"/>
  <c r="Q68" i="2"/>
  <c r="W68" i="2"/>
  <c r="AB68" i="2"/>
  <c r="T66" i="2"/>
  <c r="X64" i="2"/>
  <c r="X62" i="2"/>
  <c r="X60" i="2"/>
  <c r="P19" i="2"/>
  <c r="T19" i="2"/>
  <c r="X19" i="2"/>
  <c r="AB19" i="2"/>
  <c r="O19" i="2"/>
  <c r="U19" i="2"/>
  <c r="Z19" i="2"/>
  <c r="Q19" i="2"/>
  <c r="V19" i="2"/>
  <c r="AA19" i="2"/>
  <c r="N19" i="2"/>
  <c r="Y19" i="2"/>
  <c r="R19" i="2"/>
  <c r="AC19" i="2"/>
  <c r="S19" i="2"/>
  <c r="W19" i="2"/>
  <c r="Y67" i="2"/>
  <c r="S67" i="2"/>
  <c r="AB58" i="2"/>
  <c r="AB54" i="2"/>
  <c r="P67" i="2"/>
  <c r="T67" i="2"/>
  <c r="X67" i="2"/>
  <c r="AB67" i="2"/>
  <c r="O58" i="2"/>
  <c r="S58" i="2"/>
  <c r="W58" i="2"/>
  <c r="AA58" i="2"/>
  <c r="N58" i="2"/>
  <c r="T58" i="2"/>
  <c r="Y58" i="2"/>
  <c r="P58" i="2"/>
  <c r="U58" i="2"/>
  <c r="Z58" i="2"/>
  <c r="O54" i="2"/>
  <c r="S54" i="2"/>
  <c r="W54" i="2"/>
  <c r="AA54" i="2"/>
  <c r="N54" i="2"/>
  <c r="T54" i="2"/>
  <c r="Y54" i="2"/>
  <c r="P54" i="2"/>
  <c r="U54" i="2"/>
  <c r="Z54" i="2"/>
  <c r="P11" i="2"/>
  <c r="T11" i="2"/>
  <c r="X11" i="2"/>
  <c r="AB11" i="2"/>
  <c r="O11" i="2"/>
  <c r="U11" i="2"/>
  <c r="Z11" i="2"/>
  <c r="Q11" i="2"/>
  <c r="V11" i="2"/>
  <c r="AA11" i="2"/>
  <c r="N11" i="2"/>
  <c r="Y11" i="2"/>
  <c r="R11" i="2"/>
  <c r="AC11" i="2"/>
  <c r="N50" i="2"/>
  <c r="R50" i="2"/>
  <c r="O50" i="2"/>
  <c r="S50" i="2"/>
  <c r="W50" i="2"/>
  <c r="AA50" i="2"/>
  <c r="N48" i="2"/>
  <c r="R48" i="2"/>
  <c r="V48" i="2"/>
  <c r="Z48" i="2"/>
  <c r="O48" i="2"/>
  <c r="S48" i="2"/>
  <c r="W48" i="2"/>
  <c r="AA48" i="2"/>
  <c r="N46" i="2"/>
  <c r="R46" i="2"/>
  <c r="V46" i="2"/>
  <c r="Z46" i="2"/>
  <c r="O46" i="2"/>
  <c r="S46" i="2"/>
  <c r="W46" i="2"/>
  <c r="AA46" i="2"/>
  <c r="N44" i="2"/>
  <c r="R44" i="2"/>
  <c r="V44" i="2"/>
  <c r="Z44" i="2"/>
  <c r="O44" i="2"/>
  <c r="S44" i="2"/>
  <c r="W44" i="2"/>
  <c r="AA44" i="2"/>
  <c r="N42" i="2"/>
  <c r="R42" i="2"/>
  <c r="V42" i="2"/>
  <c r="Z42" i="2"/>
  <c r="O42" i="2"/>
  <c r="S42" i="2"/>
  <c r="W42" i="2"/>
  <c r="AA42" i="2"/>
  <c r="N40" i="2"/>
  <c r="R40" i="2"/>
  <c r="V40" i="2"/>
  <c r="Z40" i="2"/>
  <c r="O40" i="2"/>
  <c r="S40" i="2"/>
  <c r="W40" i="2"/>
  <c r="AA40" i="2"/>
  <c r="N38" i="2"/>
  <c r="R38" i="2"/>
  <c r="V38" i="2"/>
  <c r="Z38" i="2"/>
  <c r="O38" i="2"/>
  <c r="S38" i="2"/>
  <c r="W38" i="2"/>
  <c r="AA38" i="2"/>
  <c r="N36" i="2"/>
  <c r="R36" i="2"/>
  <c r="V36" i="2"/>
  <c r="Z36" i="2"/>
  <c r="O36" i="2"/>
  <c r="S36" i="2"/>
  <c r="W36" i="2"/>
  <c r="AA36" i="2"/>
  <c r="N34" i="2"/>
  <c r="R34" i="2"/>
  <c r="V34" i="2"/>
  <c r="Z34" i="2"/>
  <c r="O34" i="2"/>
  <c r="S34" i="2"/>
  <c r="W34" i="2"/>
  <c r="AA34" i="2"/>
  <c r="N32" i="2"/>
  <c r="R32" i="2"/>
  <c r="V32" i="2"/>
  <c r="Z32" i="2"/>
  <c r="O32" i="2"/>
  <c r="S32" i="2"/>
  <c r="W32" i="2"/>
  <c r="AA32" i="2"/>
  <c r="N30" i="2"/>
  <c r="R30" i="2"/>
  <c r="V30" i="2"/>
  <c r="Z30" i="2"/>
  <c r="O30" i="2"/>
  <c r="S30" i="2"/>
  <c r="W30" i="2"/>
  <c r="AA30" i="2"/>
  <c r="N28" i="2"/>
  <c r="R28" i="2"/>
  <c r="V28" i="2"/>
  <c r="Z28" i="2"/>
  <c r="O28" i="2"/>
  <c r="S28" i="2"/>
  <c r="W28" i="2"/>
  <c r="AA28" i="2"/>
  <c r="N26" i="2"/>
  <c r="R26" i="2"/>
  <c r="V26" i="2"/>
  <c r="Z26" i="2"/>
  <c r="O26" i="2"/>
  <c r="S26" i="2"/>
  <c r="W26" i="2"/>
  <c r="AA26" i="2"/>
  <c r="W25" i="2"/>
  <c r="P23" i="2"/>
  <c r="T23" i="2"/>
  <c r="X23" i="2"/>
  <c r="AB23" i="2"/>
  <c r="O23" i="2"/>
  <c r="U23" i="2"/>
  <c r="Z23" i="2"/>
  <c r="Q23" i="2"/>
  <c r="V23" i="2"/>
  <c r="AA23" i="2"/>
  <c r="Y17" i="2"/>
  <c r="P15" i="2"/>
  <c r="T15" i="2"/>
  <c r="X15" i="2"/>
  <c r="AB15" i="2"/>
  <c r="O15" i="2"/>
  <c r="U15" i="2"/>
  <c r="Z15" i="2"/>
  <c r="Q15" i="2"/>
  <c r="V15" i="2"/>
  <c r="AA15" i="2"/>
  <c r="Y9" i="2"/>
  <c r="P7" i="2"/>
  <c r="T7" i="2"/>
  <c r="X7" i="2"/>
  <c r="AB7" i="2"/>
  <c r="O7" i="2"/>
  <c r="U7" i="2"/>
  <c r="Z7" i="2"/>
  <c r="Q7" i="2"/>
  <c r="V7" i="2"/>
  <c r="AA7" i="2"/>
  <c r="AB65" i="2"/>
  <c r="X65" i="2"/>
  <c r="T65" i="2"/>
  <c r="AB63" i="2"/>
  <c r="X63" i="2"/>
  <c r="T63" i="2"/>
  <c r="AB61" i="2"/>
  <c r="X61" i="2"/>
  <c r="T61" i="2"/>
  <c r="Y50" i="2"/>
  <c r="T50" i="2"/>
  <c r="AB48" i="2"/>
  <c r="T48" i="2"/>
  <c r="AB46" i="2"/>
  <c r="T46" i="2"/>
  <c r="AB44" i="2"/>
  <c r="T44" i="2"/>
  <c r="P25" i="2"/>
  <c r="O25" i="2"/>
  <c r="T25" i="2"/>
  <c r="X25" i="2"/>
  <c r="AB25" i="2"/>
  <c r="Q25" i="2"/>
  <c r="U25" i="2"/>
  <c r="Y25" i="2"/>
  <c r="AC25" i="2"/>
  <c r="P17" i="2"/>
  <c r="T17" i="2"/>
  <c r="X17" i="2"/>
  <c r="AB17" i="2"/>
  <c r="O17" i="2"/>
  <c r="U17" i="2"/>
  <c r="Z17" i="2"/>
  <c r="Q17" i="2"/>
  <c r="V17" i="2"/>
  <c r="AA17" i="2"/>
  <c r="P9" i="2"/>
  <c r="T9" i="2"/>
  <c r="X9" i="2"/>
  <c r="AB9" i="2"/>
  <c r="O9" i="2"/>
  <c r="U9" i="2"/>
  <c r="Z9" i="2"/>
  <c r="Q9" i="2"/>
  <c r="V9" i="2"/>
  <c r="AA9" i="2"/>
  <c r="S7" i="2"/>
  <c r="Y24" i="2"/>
  <c r="T24" i="2"/>
  <c r="Y22" i="2"/>
  <c r="T22" i="2"/>
  <c r="Y20" i="2"/>
  <c r="T20" i="2"/>
  <c r="Y18" i="2"/>
  <c r="T18" i="2"/>
  <c r="Y16" i="2"/>
  <c r="T16" i="2"/>
  <c r="Y14" i="2"/>
  <c r="T14" i="2"/>
  <c r="Y12" i="2"/>
  <c r="T12" i="2"/>
  <c r="Y10" i="2"/>
  <c r="T10" i="2"/>
  <c r="Y8" i="2"/>
  <c r="T8" i="2"/>
  <c r="Y6" i="2"/>
  <c r="T6" i="2"/>
  <c r="X4" i="2"/>
  <c r="N24" i="2"/>
  <c r="R24" i="2"/>
  <c r="V24" i="2"/>
  <c r="Z24" i="2"/>
  <c r="N22" i="2"/>
  <c r="R22" i="2"/>
  <c r="V22" i="2"/>
  <c r="Z22" i="2"/>
  <c r="N20" i="2"/>
  <c r="R20" i="2"/>
  <c r="V20" i="2"/>
  <c r="Z20" i="2"/>
  <c r="N18" i="2"/>
  <c r="R18" i="2"/>
  <c r="V18" i="2"/>
  <c r="Z18" i="2"/>
  <c r="N16" i="2"/>
  <c r="R16" i="2"/>
  <c r="V16" i="2"/>
  <c r="Z16" i="2"/>
  <c r="N14" i="2"/>
  <c r="R14" i="2"/>
  <c r="V14" i="2"/>
  <c r="Z14" i="2"/>
  <c r="N12" i="2"/>
  <c r="R12" i="2"/>
  <c r="V12" i="2"/>
  <c r="Z12" i="2"/>
  <c r="N10" i="2"/>
  <c r="R10" i="2"/>
  <c r="V10" i="2"/>
  <c r="Z10" i="2"/>
  <c r="N8" i="2"/>
  <c r="R8" i="2"/>
  <c r="V8" i="2"/>
  <c r="Z8" i="2"/>
  <c r="N6" i="2"/>
  <c r="R6" i="2"/>
  <c r="V6" i="2"/>
  <c r="Z6" i="2"/>
  <c r="N4" i="2"/>
  <c r="R4" i="2"/>
  <c r="V4" i="2"/>
  <c r="Z4" i="2"/>
  <c r="O4" i="2"/>
  <c r="S4" i="2"/>
  <c r="W4" i="2"/>
  <c r="AA4" i="2"/>
  <c r="AB5" i="2"/>
  <c r="X5" i="2"/>
  <c r="T5" i="2"/>
  <c r="Z9" i="72" l="1" a="1"/>
  <c r="Z9" i="72" s="1"/>
  <c r="Z7" i="72" a="1"/>
  <c r="Z7" i="72" s="1"/>
  <c r="Z8" i="72" a="1"/>
  <c r="Z8" i="72" s="1"/>
  <c r="Z6" i="72" a="1"/>
  <c r="Z6" i="72" s="1"/>
  <c r="AF95" i="8"/>
  <c r="AF91" i="8"/>
  <c r="AF83" i="8"/>
  <c r="AA9" i="72" a="1"/>
  <c r="AA9" i="72" s="1"/>
  <c r="AA7" i="72" a="1"/>
  <c r="AA7" i="72" s="1"/>
  <c r="AA6" i="72" a="1"/>
  <c r="AA6" i="72" s="1"/>
  <c r="AA8" i="72" a="1"/>
  <c r="AA8" i="72" s="1"/>
  <c r="X10" i="72" a="1"/>
  <c r="X10" i="72" s="1"/>
  <c r="X8" i="72" a="1"/>
  <c r="X8" i="72" s="1"/>
  <c r="X6" i="72" a="1"/>
  <c r="X6" i="72" s="1"/>
  <c r="X13" i="72" a="1"/>
  <c r="X13" i="72" s="1"/>
  <c r="X12" i="72" a="1"/>
  <c r="X12" i="72" s="1"/>
  <c r="X9" i="72" a="1"/>
  <c r="X9" i="72" s="1"/>
  <c r="X7" i="72" a="1"/>
  <c r="X7" i="72" s="1"/>
  <c r="X11" i="72" a="1"/>
  <c r="X11" i="72" s="1"/>
  <c r="AF104" i="8"/>
  <c r="AF103" i="8"/>
  <c r="AF98" i="8"/>
  <c r="AF90" i="8"/>
  <c r="AF82" i="8"/>
  <c r="AB8" i="72" a="1"/>
  <c r="AB8" i="72" s="1"/>
  <c r="AB6" i="72" a="1"/>
  <c r="AB6" i="72" s="1"/>
  <c r="AB9" i="72" a="1"/>
  <c r="AB9" i="72" s="1"/>
  <c r="AB7" i="72" a="1"/>
  <c r="AB7" i="72" s="1"/>
  <c r="AF97" i="8"/>
  <c r="AF89" i="8"/>
  <c r="AF81" i="8"/>
  <c r="AF102" i="8"/>
  <c r="U6" i="72" a="1"/>
  <c r="U6" i="72" s="1"/>
  <c r="U9" i="72" a="1"/>
  <c r="U9" i="72" s="1"/>
  <c r="U8" i="72" a="1"/>
  <c r="U8" i="72" s="1"/>
  <c r="U7" i="72" a="1"/>
  <c r="U7" i="72" s="1"/>
  <c r="AF96" i="8"/>
  <c r="AF88" i="8"/>
  <c r="AF80" i="8"/>
  <c r="AF105" i="8"/>
  <c r="AF109" i="8"/>
  <c r="V9" i="72" a="1"/>
  <c r="V9" i="72" s="1"/>
  <c r="V7" i="72" a="1"/>
  <c r="V7" i="72" s="1"/>
  <c r="V8" i="72" a="1"/>
  <c r="V8" i="72" s="1"/>
  <c r="V6" i="72" a="1"/>
  <c r="V6" i="72" s="1"/>
  <c r="AF78" i="8"/>
  <c r="W9" i="72" a="1"/>
  <c r="W9" i="72" s="1"/>
  <c r="W8" i="72" a="1"/>
  <c r="W8" i="72" s="1"/>
  <c r="W7" i="72" a="1"/>
  <c r="W7" i="72" s="1"/>
  <c r="W6" i="72" a="1"/>
  <c r="W6" i="72" s="1"/>
  <c r="AF94" i="8"/>
  <c r="AF86" i="8"/>
  <c r="AF93" i="8"/>
  <c r="AF85" i="8"/>
  <c r="AF106" i="8"/>
  <c r="AC13" i="72" a="1"/>
  <c r="AC13" i="72" s="1"/>
  <c r="AC12" i="72" a="1"/>
  <c r="AC12" i="72" s="1"/>
  <c r="AC9" i="72" a="1"/>
  <c r="AC9" i="72" s="1"/>
  <c r="AC11" i="72" a="1"/>
  <c r="AC11" i="72" s="1"/>
  <c r="AC10" i="72" a="1"/>
  <c r="AC10" i="72" s="1"/>
  <c r="AC6" i="72" a="1"/>
  <c r="AC6" i="72" s="1"/>
  <c r="AC8" i="72" a="1"/>
  <c r="AC8" i="72" s="1"/>
  <c r="AC7" i="72" a="1"/>
  <c r="AC7" i="72" s="1"/>
  <c r="AF92" i="8"/>
  <c r="AF84" i="8"/>
  <c r="P84" i="163"/>
  <c r="AF107" i="8"/>
  <c r="AF99" i="8"/>
  <c r="AF87" i="8"/>
  <c r="AF79" i="8"/>
  <c r="AF100" i="8"/>
  <c r="AF108" i="8"/>
  <c r="P108" i="163"/>
  <c r="Y11" i="72" a="1"/>
  <c r="Y11" i="72" s="1"/>
  <c r="Y10" i="72" a="1"/>
  <c r="Y10" i="72" s="1"/>
  <c r="Y13" i="72" a="1"/>
  <c r="Y13" i="72" s="1"/>
  <c r="Y12" i="72" a="1"/>
  <c r="Y12" i="72" s="1"/>
  <c r="Y9" i="72" a="1"/>
  <c r="Y9" i="72" s="1"/>
  <c r="Y8" i="72" a="1"/>
  <c r="Y8" i="72" s="1"/>
  <c r="Y6" i="72" a="1"/>
  <c r="Y6" i="72" s="1"/>
  <c r="Y7" i="72" a="1"/>
  <c r="Y7" i="72" s="1"/>
  <c r="T84" i="163"/>
  <c r="AF101" i="8"/>
  <c r="P101" i="163"/>
  <c r="AE95" i="8"/>
  <c r="AE91" i="8"/>
  <c r="AE83" i="8"/>
  <c r="AE104" i="8"/>
  <c r="AE103" i="8"/>
  <c r="AE90" i="8"/>
  <c r="AE82" i="8"/>
  <c r="AE101" i="8"/>
  <c r="AE89" i="8"/>
  <c r="AE81" i="8"/>
  <c r="AE98" i="8"/>
  <c r="AE88" i="8"/>
  <c r="AE80" i="8"/>
  <c r="AE99" i="8"/>
  <c r="AE87" i="8"/>
  <c r="AE79" i="8"/>
  <c r="AE100" i="8"/>
  <c r="AE108" i="8"/>
  <c r="AE105" i="8"/>
  <c r="AE109" i="8"/>
  <c r="AE97" i="8"/>
  <c r="AE102" i="8"/>
  <c r="AE96" i="8"/>
  <c r="AE78" i="8"/>
  <c r="AE94" i="8"/>
  <c r="AE86" i="8"/>
  <c r="AE93" i="8"/>
  <c r="AE85" i="8"/>
  <c r="AE106" i="8"/>
  <c r="AE92" i="8"/>
  <c r="AE84" i="8"/>
  <c r="AE107" i="8"/>
  <c r="R2" i="72" a="1"/>
  <c r="R2" i="72" s="1"/>
  <c r="S2" i="72" a="1"/>
  <c r="S2" i="72" s="1"/>
  <c r="S3" i="72" a="1"/>
  <c r="S3" i="72" s="1"/>
  <c r="V3" i="72" a="1"/>
  <c r="V3" i="72" s="1"/>
  <c r="V10" i="72" s="1" a="1"/>
  <c r="V10" i="72" s="1"/>
  <c r="V2" i="72" a="1"/>
  <c r="V2" i="72" s="1"/>
  <c r="O83" i="163" s="1"/>
  <c r="W3" i="72" a="1"/>
  <c r="W3" i="72" s="1"/>
  <c r="W12" i="72" s="1" a="1"/>
  <c r="W12" i="72" s="1"/>
  <c r="W2" i="72" a="1"/>
  <c r="W2" i="72" s="1"/>
  <c r="Z3" i="72" a="1"/>
  <c r="Z3" i="72" s="1"/>
  <c r="Z13" i="72" s="1" a="1"/>
  <c r="Z13" i="72" s="1"/>
  <c r="Z2" i="72" a="1"/>
  <c r="Z2" i="72" s="1"/>
  <c r="AA2" i="72" a="1"/>
  <c r="AA2" i="72" s="1"/>
  <c r="T78" i="163" s="1"/>
  <c r="AA3" i="72" a="1"/>
  <c r="AA3" i="72" s="1"/>
  <c r="AA12" i="72" s="1" a="1"/>
  <c r="AA12" i="72" s="1"/>
  <c r="Q3" i="72" a="1"/>
  <c r="Q3" i="72" s="1"/>
  <c r="Q2" i="72" a="1"/>
  <c r="Q2" i="72" s="1"/>
  <c r="R3" i="72" a="1"/>
  <c r="R3" i="72" s="1"/>
  <c r="P2" i="72" a="1"/>
  <c r="P2" i="72" s="1"/>
  <c r="P3" i="72" a="1"/>
  <c r="P3" i="72" s="1"/>
  <c r="N3" i="72" a="1"/>
  <c r="N3" i="72" s="1"/>
  <c r="N2" i="72" a="1"/>
  <c r="N2" i="72" s="1"/>
  <c r="O3" i="72" a="1"/>
  <c r="O3" i="72" s="1"/>
  <c r="O2" i="72" a="1"/>
  <c r="O2" i="72" s="1"/>
  <c r="AB3" i="72" a="1"/>
  <c r="AB3" i="72" s="1"/>
  <c r="AB12" i="72" s="1" a="1"/>
  <c r="AB12" i="72" s="1"/>
  <c r="AB2" i="72" a="1"/>
  <c r="AB2" i="72" s="1"/>
  <c r="U104" i="163" s="1"/>
  <c r="U2" i="72" a="1"/>
  <c r="U2" i="72" s="1"/>
  <c r="U3" i="72" a="1"/>
  <c r="U3" i="72" s="1"/>
  <c r="U11" i="72" s="1" a="1"/>
  <c r="U11" i="72" s="1"/>
  <c r="S76" i="163" l="1"/>
  <c r="S72" i="163"/>
  <c r="S68" i="163"/>
  <c r="S64" i="163"/>
  <c r="S60" i="163"/>
  <c r="S56" i="163"/>
  <c r="S52" i="163"/>
  <c r="S48" i="163"/>
  <c r="S44" i="163"/>
  <c r="S40" i="163"/>
  <c r="S74" i="163"/>
  <c r="S67" i="163"/>
  <c r="S65" i="163"/>
  <c r="S58" i="163"/>
  <c r="S51" i="163"/>
  <c r="S49" i="163"/>
  <c r="S42" i="163"/>
  <c r="S36" i="163"/>
  <c r="S32" i="163"/>
  <c r="S28" i="163"/>
  <c r="S24" i="163"/>
  <c r="S20" i="163"/>
  <c r="S16" i="163"/>
  <c r="S12" i="163"/>
  <c r="S8" i="163"/>
  <c r="S4" i="163"/>
  <c r="S77" i="163"/>
  <c r="S70" i="163"/>
  <c r="S63" i="163"/>
  <c r="S61" i="163"/>
  <c r="S54" i="163"/>
  <c r="S47" i="163"/>
  <c r="S45" i="163"/>
  <c r="S37" i="163"/>
  <c r="S33" i="163"/>
  <c r="S29" i="163"/>
  <c r="S25" i="163"/>
  <c r="S21" i="163"/>
  <c r="S17" i="163"/>
  <c r="S13" i="163"/>
  <c r="S9" i="163"/>
  <c r="S5" i="163"/>
  <c r="S75" i="163"/>
  <c r="S57" i="163"/>
  <c r="S50" i="163"/>
  <c r="S43" i="163"/>
  <c r="S34" i="163"/>
  <c r="S26" i="163"/>
  <c r="S18" i="163"/>
  <c r="S10" i="163"/>
  <c r="S2" i="163"/>
  <c r="S73" i="163"/>
  <c r="S66" i="163"/>
  <c r="S59" i="163"/>
  <c r="S41" i="163"/>
  <c r="S38" i="163"/>
  <c r="S30" i="163"/>
  <c r="S22" i="163"/>
  <c r="S14" i="163"/>
  <c r="S6" i="163"/>
  <c r="S27" i="163"/>
  <c r="S11" i="163"/>
  <c r="S53" i="163"/>
  <c r="S23" i="163"/>
  <c r="S71" i="163"/>
  <c r="S31" i="163"/>
  <c r="S15" i="163"/>
  <c r="S69" i="163"/>
  <c r="S62" i="163"/>
  <c r="S55" i="163"/>
  <c r="S35" i="163"/>
  <c r="S19" i="163"/>
  <c r="S3" i="163"/>
  <c r="S46" i="163"/>
  <c r="S39" i="163"/>
  <c r="S7" i="163"/>
  <c r="AE12" i="72" a="1"/>
  <c r="AE12" i="72" s="1"/>
  <c r="AE9" i="72" a="1"/>
  <c r="AE9" i="72" s="1"/>
  <c r="AE8" i="72" a="1"/>
  <c r="AE8" i="72" s="1"/>
  <c r="AE7" i="72" a="1"/>
  <c r="AE7" i="72" s="1"/>
  <c r="AE6" i="72" a="1"/>
  <c r="AE6" i="72" s="1"/>
  <c r="X88" i="163"/>
  <c r="S101" i="163"/>
  <c r="N88" i="163"/>
  <c r="N81" i="163"/>
  <c r="U89" i="163"/>
  <c r="O107" i="163"/>
  <c r="U98" i="163"/>
  <c r="N90" i="163"/>
  <c r="S104" i="163"/>
  <c r="O95" i="163"/>
  <c r="O79" i="163"/>
  <c r="N109" i="163"/>
  <c r="P106" i="163"/>
  <c r="T105" i="163"/>
  <c r="S89" i="163"/>
  <c r="W13" i="72" a="1"/>
  <c r="W13" i="72" s="1"/>
  <c r="AF7" i="72" a="1"/>
  <c r="AF7" i="72" s="1"/>
  <c r="AF6" i="72" a="1"/>
  <c r="AF6" i="72" s="1"/>
  <c r="AF12" i="72" a="1"/>
  <c r="AF12" i="72" s="1"/>
  <c r="AF9" i="72" a="1"/>
  <c r="AF9" i="72" s="1"/>
  <c r="AF8" i="72" a="1"/>
  <c r="AF8" i="72" s="1"/>
  <c r="AF2" i="72" a="1"/>
  <c r="AF2" i="72" s="1"/>
  <c r="AF3" i="72" a="1"/>
  <c r="AF3" i="72" s="1"/>
  <c r="AF5" i="72" s="1"/>
  <c r="N79" i="163"/>
  <c r="U87" i="163"/>
  <c r="N99" i="163"/>
  <c r="S90" i="163"/>
  <c r="U95" i="163"/>
  <c r="P105" i="163"/>
  <c r="P80" i="163"/>
  <c r="P96" i="163"/>
  <c r="I2" i="165"/>
  <c r="U13" i="72" a="1"/>
  <c r="U13" i="72" s="1"/>
  <c r="P102" i="163"/>
  <c r="P89" i="163"/>
  <c r="S97" i="163"/>
  <c r="AB13" i="72" a="1"/>
  <c r="AB13" i="72" s="1"/>
  <c r="AB11" i="72" a="1"/>
  <c r="AB11" i="72" s="1"/>
  <c r="I7" i="165" s="1"/>
  <c r="T109" i="163"/>
  <c r="T101" i="163"/>
  <c r="O84" i="163"/>
  <c r="P90" i="163"/>
  <c r="S98" i="163"/>
  <c r="N104" i="163"/>
  <c r="T87" i="163"/>
  <c r="T99" i="163"/>
  <c r="S86" i="163"/>
  <c r="U99" i="163"/>
  <c r="S105" i="163"/>
  <c r="T88" i="163"/>
  <c r="U100" i="163"/>
  <c r="T89" i="163"/>
  <c r="O109" i="163"/>
  <c r="O101" i="163"/>
  <c r="S83" i="163"/>
  <c r="U86" i="163"/>
  <c r="T98" i="163"/>
  <c r="I12" i="165"/>
  <c r="I11" i="165" s="1"/>
  <c r="I13" i="165" s="1"/>
  <c r="AA13" i="72" a="1"/>
  <c r="AA13" i="72" s="1"/>
  <c r="K6" i="165" s="1"/>
  <c r="S100" i="163"/>
  <c r="Z10" i="72" a="1"/>
  <c r="Z10" i="72" s="1"/>
  <c r="Z12" i="72" a="1"/>
  <c r="Z12" i="72" s="1"/>
  <c r="J5" i="165" s="1"/>
  <c r="O91" i="163"/>
  <c r="N5" i="163"/>
  <c r="N9" i="163"/>
  <c r="N13" i="163"/>
  <c r="N17" i="163"/>
  <c r="N21" i="163"/>
  <c r="N25" i="163"/>
  <c r="N29" i="163"/>
  <c r="N33" i="163"/>
  <c r="N37" i="163"/>
  <c r="N41" i="163"/>
  <c r="N45" i="163"/>
  <c r="N49" i="163"/>
  <c r="N53" i="163"/>
  <c r="N57" i="163"/>
  <c r="N61" i="163"/>
  <c r="N65" i="163"/>
  <c r="N69" i="163"/>
  <c r="N73" i="163"/>
  <c r="N77" i="163"/>
  <c r="N7" i="163"/>
  <c r="N12" i="163"/>
  <c r="N18" i="163"/>
  <c r="N23" i="163"/>
  <c r="N28" i="163"/>
  <c r="N34" i="163"/>
  <c r="N39" i="163"/>
  <c r="N44" i="163"/>
  <c r="N50" i="163"/>
  <c r="N55" i="163"/>
  <c r="N60" i="163"/>
  <c r="N66" i="163"/>
  <c r="N71" i="163"/>
  <c r="N76" i="163"/>
  <c r="N36" i="163"/>
  <c r="N74" i="163"/>
  <c r="N11" i="163"/>
  <c r="N22" i="163"/>
  <c r="N32" i="163"/>
  <c r="N43" i="163"/>
  <c r="N59" i="163"/>
  <c r="N70" i="163"/>
  <c r="N3" i="163"/>
  <c r="N8" i="163"/>
  <c r="N14" i="163"/>
  <c r="N19" i="163"/>
  <c r="N24" i="163"/>
  <c r="N30" i="163"/>
  <c r="N35" i="163"/>
  <c r="N40" i="163"/>
  <c r="N46" i="163"/>
  <c r="N51" i="163"/>
  <c r="N56" i="163"/>
  <c r="N62" i="163"/>
  <c r="N67" i="163"/>
  <c r="N72" i="163"/>
  <c r="N2" i="163"/>
  <c r="N4" i="163"/>
  <c r="N10" i="163"/>
  <c r="N15" i="163"/>
  <c r="N20" i="163"/>
  <c r="N26" i="163"/>
  <c r="N31" i="163"/>
  <c r="N42" i="163"/>
  <c r="N47" i="163"/>
  <c r="N52" i="163"/>
  <c r="N58" i="163"/>
  <c r="N63" i="163"/>
  <c r="N68" i="163"/>
  <c r="N6" i="163"/>
  <c r="N16" i="163"/>
  <c r="N27" i="163"/>
  <c r="N38" i="163"/>
  <c r="N48" i="163"/>
  <c r="N54" i="163"/>
  <c r="N64" i="163"/>
  <c r="N75" i="163"/>
  <c r="P76" i="163"/>
  <c r="P74" i="163"/>
  <c r="P72" i="163"/>
  <c r="P70" i="163"/>
  <c r="P68" i="163"/>
  <c r="P66" i="163"/>
  <c r="P64" i="163"/>
  <c r="P62" i="163"/>
  <c r="P60" i="163"/>
  <c r="P58" i="163"/>
  <c r="P56" i="163"/>
  <c r="P54" i="163"/>
  <c r="P52" i="163"/>
  <c r="P50" i="163"/>
  <c r="P48" i="163"/>
  <c r="P46" i="163"/>
  <c r="P44" i="163"/>
  <c r="P42" i="163"/>
  <c r="P40" i="163"/>
  <c r="P38" i="163"/>
  <c r="P36" i="163"/>
  <c r="P34" i="163"/>
  <c r="P32" i="163"/>
  <c r="P30" i="163"/>
  <c r="P28" i="163"/>
  <c r="P26" i="163"/>
  <c r="P24" i="163"/>
  <c r="P22" i="163"/>
  <c r="P20" i="163"/>
  <c r="P18" i="163"/>
  <c r="P16" i="163"/>
  <c r="P14" i="163"/>
  <c r="P12" i="163"/>
  <c r="P10" i="163"/>
  <c r="P8" i="163"/>
  <c r="P6" i="163"/>
  <c r="P4" i="163"/>
  <c r="P2" i="163"/>
  <c r="P73" i="163"/>
  <c r="P65" i="163"/>
  <c r="P57" i="163"/>
  <c r="P49" i="163"/>
  <c r="P41" i="163"/>
  <c r="P77" i="163"/>
  <c r="P69" i="163"/>
  <c r="P55" i="163"/>
  <c r="P51" i="163"/>
  <c r="P37" i="163"/>
  <c r="P31" i="163"/>
  <c r="P23" i="163"/>
  <c r="P15" i="163"/>
  <c r="P7" i="163"/>
  <c r="P59" i="163"/>
  <c r="P75" i="163"/>
  <c r="P61" i="163"/>
  <c r="P47" i="163"/>
  <c r="P43" i="163"/>
  <c r="P33" i="163"/>
  <c r="P25" i="163"/>
  <c r="P17" i="163"/>
  <c r="P9" i="163"/>
  <c r="P71" i="163"/>
  <c r="P67" i="163"/>
  <c r="P53" i="163"/>
  <c r="P39" i="163"/>
  <c r="P35" i="163"/>
  <c r="P27" i="163"/>
  <c r="P19" i="163"/>
  <c r="P11" i="163"/>
  <c r="P3" i="163"/>
  <c r="P63" i="163"/>
  <c r="P45" i="163"/>
  <c r="P29" i="163"/>
  <c r="P21" i="163"/>
  <c r="P13" i="163"/>
  <c r="P5" i="163"/>
  <c r="X105" i="163"/>
  <c r="X83" i="163"/>
  <c r="N80" i="163"/>
  <c r="U88" i="163"/>
  <c r="U81" i="163"/>
  <c r="T93" i="163"/>
  <c r="O105" i="163"/>
  <c r="N82" i="163"/>
  <c r="U90" i="163"/>
  <c r="N102" i="163"/>
  <c r="P87" i="163"/>
  <c r="S99" i="163"/>
  <c r="S92" i="163"/>
  <c r="P107" i="163"/>
  <c r="P93" i="163"/>
  <c r="O104" i="163"/>
  <c r="S85" i="163"/>
  <c r="P94" i="163"/>
  <c r="W10" i="72" a="1"/>
  <c r="W10" i="72" s="1"/>
  <c r="H4" i="165" s="1"/>
  <c r="N108" i="163"/>
  <c r="U79" i="163"/>
  <c r="T91" i="163"/>
  <c r="O78" i="163"/>
  <c r="V13" i="72" a="1"/>
  <c r="V13" i="72" s="1"/>
  <c r="K3" i="165" s="1"/>
  <c r="V11" i="72" a="1"/>
  <c r="V11" i="72" s="1"/>
  <c r="I3" i="165" s="1"/>
  <c r="O85" i="163"/>
  <c r="S103" i="163"/>
  <c r="U12" i="72" a="1"/>
  <c r="U12" i="72" s="1"/>
  <c r="J2" i="165" s="1"/>
  <c r="U101" i="163"/>
  <c r="O108" i="163"/>
  <c r="O100" i="163"/>
  <c r="O80" i="163"/>
  <c r="U102" i="163"/>
  <c r="T79" i="163"/>
  <c r="N91" i="163"/>
  <c r="U96" i="163"/>
  <c r="O81" i="163"/>
  <c r="P103" i="163"/>
  <c r="T80" i="163"/>
  <c r="N92" i="163"/>
  <c r="T81" i="163"/>
  <c r="N93" i="163"/>
  <c r="O106" i="163"/>
  <c r="O97" i="163"/>
  <c r="S79" i="163"/>
  <c r="T90" i="163"/>
  <c r="K12" i="165"/>
  <c r="K11" i="165" s="1"/>
  <c r="K13" i="165" s="1"/>
  <c r="AA10" i="72" a="1"/>
  <c r="AA10" i="72" s="1"/>
  <c r="H6" i="165" s="1"/>
  <c r="P83" i="163"/>
  <c r="P95" i="163"/>
  <c r="H5" i="165"/>
  <c r="S88" i="163"/>
  <c r="U74" i="163"/>
  <c r="U70" i="163"/>
  <c r="U66" i="163"/>
  <c r="U62" i="163"/>
  <c r="U58" i="163"/>
  <c r="U54" i="163"/>
  <c r="U50" i="163"/>
  <c r="U46" i="163"/>
  <c r="U42" i="163"/>
  <c r="U77" i="163"/>
  <c r="U75" i="163"/>
  <c r="U68" i="163"/>
  <c r="U61" i="163"/>
  <c r="U59" i="163"/>
  <c r="U52" i="163"/>
  <c r="U45" i="163"/>
  <c r="U43" i="163"/>
  <c r="U38" i="163"/>
  <c r="U34" i="163"/>
  <c r="U30" i="163"/>
  <c r="U26" i="163"/>
  <c r="U22" i="163"/>
  <c r="U18" i="163"/>
  <c r="U14" i="163"/>
  <c r="U10" i="163"/>
  <c r="U6" i="163"/>
  <c r="U2" i="163"/>
  <c r="U73" i="163"/>
  <c r="U71" i="163"/>
  <c r="U64" i="163"/>
  <c r="U57" i="163"/>
  <c r="U55" i="163"/>
  <c r="U48" i="163"/>
  <c r="U41" i="163"/>
  <c r="U39" i="163"/>
  <c r="U35" i="163"/>
  <c r="U31" i="163"/>
  <c r="U27" i="163"/>
  <c r="U23" i="163"/>
  <c r="U19" i="163"/>
  <c r="U15" i="163"/>
  <c r="U11" i="163"/>
  <c r="U7" i="163"/>
  <c r="U3" i="163"/>
  <c r="U67" i="163"/>
  <c r="U60" i="163"/>
  <c r="U53" i="163"/>
  <c r="U36" i="163"/>
  <c r="U28" i="163"/>
  <c r="U20" i="163"/>
  <c r="U12" i="163"/>
  <c r="U4" i="163"/>
  <c r="U76" i="163"/>
  <c r="U69" i="163"/>
  <c r="U51" i="163"/>
  <c r="U44" i="163"/>
  <c r="U32" i="163"/>
  <c r="U24" i="163"/>
  <c r="U16" i="163"/>
  <c r="U8" i="163"/>
  <c r="U72" i="163"/>
  <c r="U65" i="163"/>
  <c r="U37" i="163"/>
  <c r="U21" i="163"/>
  <c r="U5" i="163"/>
  <c r="U33" i="163"/>
  <c r="U63" i="163"/>
  <c r="U56" i="163"/>
  <c r="U49" i="163"/>
  <c r="U25" i="163"/>
  <c r="U9" i="163"/>
  <c r="U47" i="163"/>
  <c r="U40" i="163"/>
  <c r="U29" i="163"/>
  <c r="U13" i="163"/>
  <c r="U17" i="163"/>
  <c r="T77" i="163"/>
  <c r="T73" i="163"/>
  <c r="T69" i="163"/>
  <c r="T65" i="163"/>
  <c r="T61" i="163"/>
  <c r="T57" i="163"/>
  <c r="T53" i="163"/>
  <c r="T49" i="163"/>
  <c r="T45" i="163"/>
  <c r="T41" i="163"/>
  <c r="T72" i="163"/>
  <c r="T70" i="163"/>
  <c r="T63" i="163"/>
  <c r="T56" i="163"/>
  <c r="T54" i="163"/>
  <c r="T47" i="163"/>
  <c r="T40" i="163"/>
  <c r="T37" i="163"/>
  <c r="T33" i="163"/>
  <c r="T29" i="163"/>
  <c r="T25" i="163"/>
  <c r="T21" i="163"/>
  <c r="T17" i="163"/>
  <c r="T13" i="163"/>
  <c r="T9" i="163"/>
  <c r="T5" i="163"/>
  <c r="T75" i="163"/>
  <c r="T68" i="163"/>
  <c r="T66" i="163"/>
  <c r="T59" i="163"/>
  <c r="T52" i="163"/>
  <c r="T50" i="163"/>
  <c r="T43" i="163"/>
  <c r="T38" i="163"/>
  <c r="T34" i="163"/>
  <c r="T30" i="163"/>
  <c r="T26" i="163"/>
  <c r="T22" i="163"/>
  <c r="T18" i="163"/>
  <c r="T14" i="163"/>
  <c r="T10" i="163"/>
  <c r="T6" i="163"/>
  <c r="T2" i="163"/>
  <c r="T71" i="163"/>
  <c r="T64" i="163"/>
  <c r="T46" i="163"/>
  <c r="T39" i="163"/>
  <c r="T31" i="163"/>
  <c r="T23" i="163"/>
  <c r="T15" i="163"/>
  <c r="T7" i="163"/>
  <c r="T62" i="163"/>
  <c r="T55" i="163"/>
  <c r="T48" i="163"/>
  <c r="T35" i="163"/>
  <c r="T27" i="163"/>
  <c r="T19" i="163"/>
  <c r="T11" i="163"/>
  <c r="T3" i="163"/>
  <c r="T58" i="163"/>
  <c r="T51" i="163"/>
  <c r="T44" i="163"/>
  <c r="T32" i="163"/>
  <c r="T16" i="163"/>
  <c r="T67" i="163"/>
  <c r="T12" i="163"/>
  <c r="T42" i="163"/>
  <c r="T36" i="163"/>
  <c r="T20" i="163"/>
  <c r="T4" i="163"/>
  <c r="T76" i="163"/>
  <c r="T24" i="163"/>
  <c r="T8" i="163"/>
  <c r="T74" i="163"/>
  <c r="T60" i="163"/>
  <c r="T28" i="163"/>
  <c r="X102" i="163"/>
  <c r="X90" i="163"/>
  <c r="N101" i="163"/>
  <c r="U80" i="163"/>
  <c r="T92" i="163"/>
  <c r="P100" i="163"/>
  <c r="T85" i="163"/>
  <c r="N97" i="163"/>
  <c r="O102" i="163"/>
  <c r="U82" i="163"/>
  <c r="T94" i="163"/>
  <c r="O96" i="163"/>
  <c r="U103" i="163"/>
  <c r="O87" i="163"/>
  <c r="S107" i="163"/>
  <c r="P92" i="163"/>
  <c r="O98" i="163"/>
  <c r="T102" i="163"/>
  <c r="S81" i="163"/>
  <c r="J4" i="165"/>
  <c r="W11" i="72" a="1"/>
  <c r="W11" i="72" s="1"/>
  <c r="I4" i="165" s="1"/>
  <c r="S102" i="163"/>
  <c r="T83" i="163"/>
  <c r="N95" i="163"/>
  <c r="V12" i="72" a="1"/>
  <c r="V12" i="72" s="1"/>
  <c r="J3" i="165" s="1"/>
  <c r="O99" i="163"/>
  <c r="S82" i="163"/>
  <c r="P109" i="163"/>
  <c r="U109" i="163"/>
  <c r="P88" i="163"/>
  <c r="S96" i="163"/>
  <c r="K2" i="165"/>
  <c r="U10" i="72" a="1"/>
  <c r="U10" i="72" s="1"/>
  <c r="H2" i="165" s="1"/>
  <c r="P81" i="163"/>
  <c r="P97" i="163"/>
  <c r="U105" i="163"/>
  <c r="K7" i="165"/>
  <c r="J7" i="165"/>
  <c r="T106" i="163"/>
  <c r="O92" i="163"/>
  <c r="P82" i="163"/>
  <c r="P98" i="163"/>
  <c r="U106" i="163"/>
  <c r="N83" i="163"/>
  <c r="U91" i="163"/>
  <c r="S94" i="163"/>
  <c r="N84" i="163"/>
  <c r="U92" i="163"/>
  <c r="U108" i="163"/>
  <c r="N85" i="163"/>
  <c r="U93" i="163"/>
  <c r="T104" i="163"/>
  <c r="S91" i="163"/>
  <c r="T82" i="163"/>
  <c r="N94" i="163"/>
  <c r="J12" i="165"/>
  <c r="J11" i="165" s="1"/>
  <c r="J13" i="165" s="1"/>
  <c r="J6" i="165"/>
  <c r="AA11" i="72" a="1"/>
  <c r="AA11" i="72" s="1"/>
  <c r="I6" i="165" s="1"/>
  <c r="S108" i="163"/>
  <c r="K5" i="165"/>
  <c r="O76" i="163"/>
  <c r="O71" i="163"/>
  <c r="O68" i="163"/>
  <c r="O63" i="163"/>
  <c r="O60" i="163"/>
  <c r="O55" i="163"/>
  <c r="O52" i="163"/>
  <c r="O47" i="163"/>
  <c r="O44" i="163"/>
  <c r="O39" i="163"/>
  <c r="O36" i="163"/>
  <c r="O77" i="163"/>
  <c r="O73" i="163"/>
  <c r="O66" i="163"/>
  <c r="O62" i="163"/>
  <c r="O59" i="163"/>
  <c r="O48" i="163"/>
  <c r="O45" i="163"/>
  <c r="O41" i="163"/>
  <c r="O34" i="163"/>
  <c r="O29" i="163"/>
  <c r="O26" i="163"/>
  <c r="O21" i="163"/>
  <c r="O18" i="163"/>
  <c r="O13" i="163"/>
  <c r="O10" i="163"/>
  <c r="O5" i="163"/>
  <c r="O2" i="163"/>
  <c r="O70" i="163"/>
  <c r="O53" i="163"/>
  <c r="O42" i="163"/>
  <c r="O35" i="163"/>
  <c r="O27" i="163"/>
  <c r="O19" i="163"/>
  <c r="O11" i="163"/>
  <c r="O3" i="163"/>
  <c r="O72" i="163"/>
  <c r="O69" i="163"/>
  <c r="O65" i="163"/>
  <c r="O58" i="163"/>
  <c r="O54" i="163"/>
  <c r="O51" i="163"/>
  <c r="O40" i="163"/>
  <c r="O37" i="163"/>
  <c r="O31" i="163"/>
  <c r="O28" i="163"/>
  <c r="O23" i="163"/>
  <c r="O20" i="163"/>
  <c r="O15" i="163"/>
  <c r="O12" i="163"/>
  <c r="O7" i="163"/>
  <c r="O4" i="163"/>
  <c r="O75" i="163"/>
  <c r="O64" i="163"/>
  <c r="O61" i="163"/>
  <c r="O57" i="163"/>
  <c r="O50" i="163"/>
  <c r="O46" i="163"/>
  <c r="O43" i="163"/>
  <c r="O33" i="163"/>
  <c r="O30" i="163"/>
  <c r="O25" i="163"/>
  <c r="O22" i="163"/>
  <c r="O17" i="163"/>
  <c r="O14" i="163"/>
  <c r="O9" i="163"/>
  <c r="O6" i="163"/>
  <c r="O74" i="163"/>
  <c r="O67" i="163"/>
  <c r="O56" i="163"/>
  <c r="O49" i="163"/>
  <c r="O38" i="163"/>
  <c r="O32" i="163"/>
  <c r="O24" i="163"/>
  <c r="O16" i="163"/>
  <c r="O8" i="163"/>
  <c r="O90" i="163"/>
  <c r="O82" i="163"/>
  <c r="O94" i="163"/>
  <c r="O86" i="163"/>
  <c r="X94" i="163"/>
  <c r="X89" i="163"/>
  <c r="S109" i="163"/>
  <c r="N96" i="163"/>
  <c r="N89" i="163"/>
  <c r="T108" i="163"/>
  <c r="T100" i="163"/>
  <c r="T86" i="163"/>
  <c r="N98" i="163"/>
  <c r="P79" i="163"/>
  <c r="P99" i="163"/>
  <c r="U107" i="163"/>
  <c r="S84" i="163"/>
  <c r="U97" i="163"/>
  <c r="N103" i="163"/>
  <c r="P85" i="163"/>
  <c r="T107" i="163"/>
  <c r="S93" i="163"/>
  <c r="P86" i="163"/>
  <c r="P78" i="163"/>
  <c r="K4" i="165"/>
  <c r="N100" i="163"/>
  <c r="N87" i="163"/>
  <c r="T95" i="163"/>
  <c r="H3" i="165"/>
  <c r="O93" i="163"/>
  <c r="N107" i="163"/>
  <c r="N78" i="163"/>
  <c r="U78" i="163"/>
  <c r="AB10" i="72" a="1"/>
  <c r="AB10" i="72" s="1"/>
  <c r="H7" i="165" s="1"/>
  <c r="T103" i="163"/>
  <c r="O88" i="163"/>
  <c r="S106" i="163"/>
  <c r="U83" i="163"/>
  <c r="S95" i="163"/>
  <c r="O89" i="163"/>
  <c r="N105" i="163"/>
  <c r="U84" i="163"/>
  <c r="T96" i="163"/>
  <c r="P104" i="163"/>
  <c r="U85" i="163"/>
  <c r="T97" i="163"/>
  <c r="O103" i="163"/>
  <c r="S87" i="163"/>
  <c r="N86" i="163"/>
  <c r="U94" i="163"/>
  <c r="H12" i="165"/>
  <c r="H11" i="165" s="1"/>
  <c r="H13" i="165" s="1"/>
  <c r="N106" i="163"/>
  <c r="P91" i="163"/>
  <c r="S78" i="163"/>
  <c r="Z11" i="72" a="1"/>
  <c r="Z11" i="72" s="1"/>
  <c r="I5" i="165" s="1"/>
  <c r="S80" i="163"/>
  <c r="AE2" i="72" a="1"/>
  <c r="AE2" i="72" s="1"/>
  <c r="X109" i="163" s="1"/>
  <c r="AE3" i="72" a="1"/>
  <c r="AE3" i="72" s="1"/>
  <c r="AE10" i="72" s="1" a="1"/>
  <c r="AE10" i="72" s="1"/>
  <c r="R5" i="72"/>
  <c r="U5" i="72"/>
  <c r="O4" i="72"/>
  <c r="P5" i="72"/>
  <c r="Q5" i="72"/>
  <c r="Z5" i="72"/>
  <c r="V5" i="72"/>
  <c r="AB4" i="72"/>
  <c r="N4" i="72"/>
  <c r="AA4" i="72"/>
  <c r="W5" i="72"/>
  <c r="S4" i="72"/>
  <c r="U4" i="72"/>
  <c r="O5" i="72"/>
  <c r="P4" i="72"/>
  <c r="AA5" i="72"/>
  <c r="W4" i="72"/>
  <c r="S5" i="72"/>
  <c r="AB5" i="72"/>
  <c r="N5" i="72"/>
  <c r="Q4" i="72"/>
  <c r="Z4" i="72"/>
  <c r="V4" i="72"/>
  <c r="R4" i="72"/>
  <c r="X80" i="163" l="1"/>
  <c r="X106" i="163"/>
  <c r="X81" i="163"/>
  <c r="X86" i="163"/>
  <c r="X82" i="163"/>
  <c r="X96" i="163"/>
  <c r="AF4" i="72"/>
  <c r="AF11" i="72" a="1"/>
  <c r="AF11" i="72" s="1"/>
  <c r="X79" i="163"/>
  <c r="J8" i="165"/>
  <c r="AE13" i="72" a="1"/>
  <c r="AE13" i="72" s="1"/>
  <c r="K8" i="165" s="1"/>
  <c r="X107" i="163"/>
  <c r="X95" i="163"/>
  <c r="X100" i="163"/>
  <c r="X99" i="163"/>
  <c r="X92" i="163"/>
  <c r="X98" i="163"/>
  <c r="X93" i="163"/>
  <c r="X104" i="163"/>
  <c r="AE11" i="72" a="1"/>
  <c r="AE11" i="72" s="1"/>
  <c r="I8" i="165" s="1"/>
  <c r="X85" i="163"/>
  <c r="X23" i="163"/>
  <c r="X71" i="163"/>
  <c r="X7" i="163"/>
  <c r="X66" i="163"/>
  <c r="X2" i="163"/>
  <c r="X55" i="163"/>
  <c r="X18" i="163"/>
  <c r="X29" i="163"/>
  <c r="X53" i="163"/>
  <c r="X17" i="163"/>
  <c r="X60" i="163"/>
  <c r="X28" i="163"/>
  <c r="X75" i="163"/>
  <c r="X51" i="163"/>
  <c r="X31" i="163"/>
  <c r="X11" i="163"/>
  <c r="X49" i="163"/>
  <c r="X72" i="163"/>
  <c r="X40" i="163"/>
  <c r="X4" i="163"/>
  <c r="X58" i="163"/>
  <c r="X38" i="163"/>
  <c r="X14" i="163"/>
  <c r="X39" i="163"/>
  <c r="X77" i="163"/>
  <c r="X13" i="163"/>
  <c r="X41" i="163"/>
  <c r="X5" i="163"/>
  <c r="X52" i="163"/>
  <c r="X20" i="163"/>
  <c r="X67" i="163"/>
  <c r="X47" i="163"/>
  <c r="X27" i="163"/>
  <c r="X3" i="163"/>
  <c r="X37" i="163"/>
  <c r="X64" i="163"/>
  <c r="X32" i="163"/>
  <c r="X74" i="163"/>
  <c r="X54" i="163"/>
  <c r="X30" i="163"/>
  <c r="X10" i="163"/>
  <c r="X50" i="163"/>
  <c r="X73" i="163"/>
  <c r="X76" i="163"/>
  <c r="X16" i="163"/>
  <c r="X43" i="163"/>
  <c r="X69" i="163"/>
  <c r="X56" i="163"/>
  <c r="X70" i="163"/>
  <c r="X26" i="163"/>
  <c r="X61" i="163"/>
  <c r="X44" i="163"/>
  <c r="X63" i="163"/>
  <c r="X19" i="163"/>
  <c r="X21" i="163"/>
  <c r="X24" i="163"/>
  <c r="X25" i="163"/>
  <c r="X42" i="163"/>
  <c r="X34" i="163"/>
  <c r="X65" i="163"/>
  <c r="X68" i="163"/>
  <c r="X8" i="163"/>
  <c r="X35" i="163"/>
  <c r="X57" i="163"/>
  <c r="X48" i="163"/>
  <c r="X62" i="163"/>
  <c r="X22" i="163"/>
  <c r="X33" i="163"/>
  <c r="X46" i="163"/>
  <c r="X6" i="163"/>
  <c r="X45" i="163"/>
  <c r="X36" i="163"/>
  <c r="X59" i="163"/>
  <c r="X15" i="163"/>
  <c r="X9" i="163"/>
  <c r="X12" i="163"/>
  <c r="X103" i="163"/>
  <c r="X97" i="163"/>
  <c r="X91" i="163"/>
  <c r="X108" i="163"/>
  <c r="X87" i="163"/>
  <c r="X84" i="163"/>
  <c r="AF10" i="72" a="1"/>
  <c r="AF10" i="72" s="1"/>
  <c r="AF13" i="72" a="1"/>
  <c r="AF13" i="72" s="1"/>
  <c r="X101" i="163"/>
  <c r="H8" i="165"/>
  <c r="X78" i="163"/>
  <c r="AE5" i="72"/>
  <c r="AE4" i="72"/>
</calcChain>
</file>

<file path=xl/sharedStrings.xml><?xml version="1.0" encoding="utf-8"?>
<sst xmlns="http://schemas.openxmlformats.org/spreadsheetml/2006/main" count="5532" uniqueCount="61">
  <si>
    <t>{</t>
  </si>
  <si>
    <t>}</t>
  </si>
  <si>
    <t>all</t>
  </si>
  <si>
    <t>(NonDominationOrder)</t>
  </si>
  <si>
    <t>nonDominatedDecFront</t>
  </si>
  <si>
    <t>nonDominatedFront</t>
  </si>
  <si>
    <t>$ALPHAVAR</t>
  </si>
  <si>
    <t>$HCVAR</t>
  </si>
  <si>
    <t>$PNUCLVAR</t>
  </si>
  <si>
    <t>$f1</t>
  </si>
  <si>
    <t>$f2</t>
  </si>
  <si>
    <t>$f3</t>
  </si>
  <si>
    <t>$ALPHA</t>
  </si>
  <si>
    <t>$HC</t>
  </si>
  <si>
    <t>$PNUCL</t>
  </si>
  <si>
    <t>MC</t>
  </si>
  <si>
    <t>E</t>
  </si>
  <si>
    <t>Tcycle</t>
  </si>
  <si>
    <t>id</t>
  </si>
  <si>
    <t>setName</t>
  </si>
  <si>
    <t>np</t>
  </si>
  <si>
    <t>no</t>
  </si>
  <si>
    <t>p1</t>
  </si>
  <si>
    <t>p2</t>
  </si>
  <si>
    <t>p3</t>
  </si>
  <si>
    <t>o1</t>
  </si>
  <si>
    <t>o2</t>
  </si>
  <si>
    <t>o3</t>
  </si>
  <si>
    <t>x</t>
  </si>
  <si>
    <t>couleur</t>
  </si>
  <si>
    <t>ALPHA</t>
  </si>
  <si>
    <t>HC</t>
  </si>
  <si>
    <t>PNUCL</t>
  </si>
  <si>
    <t>set1</t>
  </si>
  <si>
    <t>set2</t>
  </si>
  <si>
    <t>set3</t>
  </si>
  <si>
    <t>set4</t>
  </si>
  <si>
    <t>min</t>
  </si>
  <si>
    <t>max</t>
  </si>
  <si>
    <t>gmin</t>
  </si>
  <si>
    <t>gmax</t>
  </si>
  <si>
    <t>ALPHA (E1/E2)</t>
  </si>
  <si>
    <t>Emoy (%)</t>
  </si>
  <si>
    <t>Tcycle (j)</t>
  </si>
  <si>
    <t>Puiss. Nucl. (MWth)</t>
  </si>
  <si>
    <t>Masse coeur (t)</t>
  </si>
  <si>
    <t>Hauteur Coeur (cm)</t>
  </si>
  <si>
    <t>BurnUp (MWj/t)</t>
  </si>
  <si>
    <t>ColorId</t>
  </si>
  <si>
    <t>Color</t>
  </si>
  <si>
    <t>Set1</t>
  </si>
  <si>
    <t>Set2</t>
  </si>
  <si>
    <t>Set3</t>
  </si>
  <si>
    <t>Set4</t>
  </si>
  <si>
    <t>moy</t>
  </si>
  <si>
    <t>et (%)</t>
  </si>
  <si>
    <t>E1</t>
  </si>
  <si>
    <t>E2</t>
  </si>
  <si>
    <t>Emoy</t>
  </si>
  <si>
    <t>Tcycle (y)</t>
  </si>
  <si>
    <t>Puiss. Vol. (MWth/m3)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</si>
</sst>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CFF66"/>
      <name val="Calibri"/>
      <family val="2"/>
      <scheme val="minor"/>
    </font>
    <font>
      <b/>
      <sz val="11"/>
      <color rgb="FFFF00FF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11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Fill="1" applyBorder="1"/>
    <xf numFmtId="0" fontId="0" fillId="5" borderId="1" xfId="0" applyFill="1" applyBorder="1"/>
    <xf numFmtId="0" fontId="0" fillId="0" borderId="0" xfId="0" applyAlignment="1">
      <alignment horizontal="center"/>
    </xf>
    <xf numFmtId="9" fontId="0" fillId="0" borderId="0" xfId="0" applyNumberFormat="1"/>
    <xf numFmtId="0" fontId="1" fillId="5" borderId="0" xfId="0" applyFont="1" applyFill="1"/>
    <xf numFmtId="0" fontId="0" fillId="5" borderId="0" xfId="0" applyFill="1"/>
    <xf numFmtId="11" fontId="0" fillId="5" borderId="0" xfId="0" applyNumberFormat="1" applyFill="1"/>
    <xf numFmtId="0" fontId="1" fillId="0" borderId="1" xfId="0" applyFont="1" applyBorder="1"/>
    <xf numFmtId="164" fontId="0" fillId="0" borderId="1" xfId="0" applyNumberFormat="1" applyBorder="1"/>
    <xf numFmtId="1" fontId="0" fillId="0" borderId="1" xfId="0" applyNumberFormat="1" applyBorder="1"/>
    <xf numFmtId="9" fontId="0" fillId="0" borderId="1" xfId="0" applyNumberFormat="1" applyBorder="1"/>
    <xf numFmtId="164" fontId="0" fillId="0" borderId="1" xfId="0" applyNumberFormat="1" applyBorder="1" applyAlignment="1">
      <alignment horizontal="center" wrapText="1"/>
    </xf>
    <xf numFmtId="0" fontId="2" fillId="6" borderId="1" xfId="0" applyFont="1" applyFill="1" applyBorder="1"/>
    <xf numFmtId="0" fontId="2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6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66"/>
      <color rgb="FFFF00FF"/>
      <color rgb="FF00FF00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chartsheet" Target="chartsheets/sheet9.xml"/><Relationship Id="rId18" Type="http://schemas.openxmlformats.org/officeDocument/2006/relationships/chartsheet" Target="chartsheets/sheet14.xml"/><Relationship Id="rId26" Type="http://schemas.openxmlformats.org/officeDocument/2006/relationships/chartsheet" Target="chartsheets/sheet22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7.xml"/><Relationship Id="rId34" Type="http://schemas.openxmlformats.org/officeDocument/2006/relationships/worksheet" Target="worksheets/sheet6.xml"/><Relationship Id="rId7" Type="http://schemas.openxmlformats.org/officeDocument/2006/relationships/chartsheet" Target="chartsheets/sheet3.xml"/><Relationship Id="rId12" Type="http://schemas.openxmlformats.org/officeDocument/2006/relationships/chartsheet" Target="chartsheets/sheet8.xml"/><Relationship Id="rId17" Type="http://schemas.openxmlformats.org/officeDocument/2006/relationships/chartsheet" Target="chartsheets/sheet13.xml"/><Relationship Id="rId25" Type="http://schemas.openxmlformats.org/officeDocument/2006/relationships/chartsheet" Target="chartsheets/sheet21.xml"/><Relationship Id="rId33" Type="http://schemas.openxmlformats.org/officeDocument/2006/relationships/worksheet" Target="worksheets/sheet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2.xml"/><Relationship Id="rId20" Type="http://schemas.openxmlformats.org/officeDocument/2006/relationships/chartsheet" Target="chartsheets/sheet16.xml"/><Relationship Id="rId29" Type="http://schemas.openxmlformats.org/officeDocument/2006/relationships/chartsheet" Target="chartsheets/sheet2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7.xml"/><Relationship Id="rId24" Type="http://schemas.openxmlformats.org/officeDocument/2006/relationships/chartsheet" Target="chartsheets/sheet20.xml"/><Relationship Id="rId32" Type="http://schemas.openxmlformats.org/officeDocument/2006/relationships/chartsheet" Target="chartsheets/sheet28.xml"/><Relationship Id="rId37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5" Type="http://schemas.openxmlformats.org/officeDocument/2006/relationships/chartsheet" Target="chartsheets/sheet11.xml"/><Relationship Id="rId23" Type="http://schemas.openxmlformats.org/officeDocument/2006/relationships/chartsheet" Target="chartsheets/sheet19.xml"/><Relationship Id="rId28" Type="http://schemas.openxmlformats.org/officeDocument/2006/relationships/chartsheet" Target="chartsheets/sheet24.xml"/><Relationship Id="rId36" Type="http://schemas.openxmlformats.org/officeDocument/2006/relationships/styles" Target="styles.xml"/><Relationship Id="rId10" Type="http://schemas.openxmlformats.org/officeDocument/2006/relationships/chartsheet" Target="chartsheets/sheet6.xml"/><Relationship Id="rId19" Type="http://schemas.openxmlformats.org/officeDocument/2006/relationships/chartsheet" Target="chartsheets/sheet15.xml"/><Relationship Id="rId31" Type="http://schemas.openxmlformats.org/officeDocument/2006/relationships/chartsheet" Target="chartsheets/sheet2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10.xml"/><Relationship Id="rId22" Type="http://schemas.openxmlformats.org/officeDocument/2006/relationships/chartsheet" Target="chartsheets/sheet18.xml"/><Relationship Id="rId27" Type="http://schemas.openxmlformats.org/officeDocument/2006/relationships/chartsheet" Target="chartsheets/sheet23.xml"/><Relationship Id="rId30" Type="http://schemas.openxmlformats.org/officeDocument/2006/relationships/chartsheet" Target="chartsheets/sheet26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87104"/>
        <c:axId val="594688640"/>
      </c:scatterChart>
      <c:valAx>
        <c:axId val="594687104"/>
        <c:scaling>
          <c:orientation val="minMax"/>
          <c:max val="80470"/>
          <c:min val="27485"/>
        </c:scaling>
        <c:delete val="0"/>
        <c:axPos val="b"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94688640"/>
        <c:crosses val="autoZero"/>
        <c:crossBetween val="midCat"/>
      </c:valAx>
      <c:valAx>
        <c:axId val="594688640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94687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282112"/>
        <c:axId val="588283904"/>
      </c:scatterChart>
      <c:valAx>
        <c:axId val="588282112"/>
        <c:scaling>
          <c:orientation val="minMax"/>
          <c:max val="8357"/>
          <c:min val="997"/>
        </c:scaling>
        <c:delete val="0"/>
        <c:axPos val="b"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8283904"/>
        <c:crosses val="autoZero"/>
        <c:crossBetween val="midCat"/>
      </c:valAx>
      <c:valAx>
        <c:axId val="588283904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8282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041600"/>
        <c:axId val="582043136"/>
      </c:scatterChart>
      <c:valAx>
        <c:axId val="582041600"/>
        <c:scaling>
          <c:orientation val="minMax"/>
          <c:max val="8357"/>
          <c:min val="997"/>
        </c:scaling>
        <c:delete val="0"/>
        <c:axPos val="b"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2043136"/>
        <c:crosses val="autoZero"/>
        <c:crossBetween val="midCat"/>
      </c:valAx>
      <c:valAx>
        <c:axId val="582043136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20416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847808"/>
        <c:axId val="575853696"/>
      </c:scatterChart>
      <c:valAx>
        <c:axId val="575847808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5853696"/>
        <c:crosses val="autoZero"/>
        <c:crossBetween val="midCat"/>
      </c:valAx>
      <c:valAx>
        <c:axId val="575853696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5847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555584"/>
        <c:axId val="569573760"/>
      </c:scatterChart>
      <c:valAx>
        <c:axId val="569555584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9573760"/>
        <c:crosses val="autoZero"/>
        <c:crossBetween val="midCat"/>
      </c:valAx>
      <c:valAx>
        <c:axId val="569573760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9555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304704"/>
        <c:axId val="563306496"/>
      </c:scatterChart>
      <c:valAx>
        <c:axId val="563304704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3306496"/>
        <c:crosses val="autoZero"/>
        <c:crossBetween val="midCat"/>
      </c:valAx>
      <c:valAx>
        <c:axId val="563306496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33047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74688"/>
        <c:axId val="557080576"/>
      </c:scatterChart>
      <c:valAx>
        <c:axId val="557074688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57080576"/>
        <c:crosses val="autoZero"/>
        <c:crossBetween val="midCat"/>
      </c:valAx>
      <c:valAx>
        <c:axId val="557080576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57074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684928"/>
        <c:axId val="550686720"/>
      </c:scatterChart>
      <c:valAx>
        <c:axId val="550684928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50686720"/>
        <c:crosses val="autoZero"/>
        <c:crossBetween val="midCat"/>
      </c:valAx>
      <c:valAx>
        <c:axId val="550686720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5068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369280"/>
        <c:axId val="544379264"/>
      </c:scatterChart>
      <c:valAx>
        <c:axId val="544369280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44379264"/>
        <c:crosses val="autoZero"/>
        <c:crossBetween val="midCat"/>
      </c:valAx>
      <c:valAx>
        <c:axId val="544379264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44369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252416"/>
        <c:axId val="538253952"/>
      </c:scatterChart>
      <c:valAx>
        <c:axId val="538252416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38253952"/>
        <c:crosses val="autoZero"/>
        <c:crossBetween val="midCat"/>
      </c:valAx>
      <c:valAx>
        <c:axId val="538253952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382524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66368"/>
        <c:axId val="531867904"/>
      </c:scatterChart>
      <c:valAx>
        <c:axId val="531866368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31867904"/>
        <c:crosses val="autoZero"/>
        <c:crossBetween val="midCat"/>
      </c:valAx>
      <c:valAx>
        <c:axId val="531867904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3186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640064"/>
        <c:axId val="525641600"/>
      </c:scatterChart>
      <c:valAx>
        <c:axId val="525640064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25641600"/>
        <c:crosses val="autoZero"/>
        <c:crossBetween val="midCat"/>
      </c:valAx>
      <c:valAx>
        <c:axId val="525641600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25640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07648"/>
        <c:axId val="519309184"/>
      </c:scatterChart>
      <c:valAx>
        <c:axId val="519307648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9309184"/>
        <c:crosses val="autoZero"/>
        <c:crossBetween val="midCat"/>
      </c:valAx>
      <c:valAx>
        <c:axId val="519309184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93076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83264"/>
        <c:axId val="513084800"/>
      </c:scatterChart>
      <c:valAx>
        <c:axId val="513083264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3084800"/>
        <c:crosses val="autoZero"/>
        <c:crossBetween val="midCat"/>
      </c:valAx>
      <c:valAx>
        <c:axId val="513084800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3083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786176"/>
        <c:axId val="506787712"/>
      </c:scatterChart>
      <c:valAx>
        <c:axId val="506786176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6787712"/>
        <c:crosses val="autoZero"/>
        <c:crossBetween val="midCat"/>
      </c:valAx>
      <c:valAx>
        <c:axId val="506787712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67861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87520"/>
        <c:axId val="500589312"/>
      </c:scatterChart>
      <c:valAx>
        <c:axId val="500587520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0589312"/>
        <c:crosses val="autoZero"/>
        <c:crossBetween val="midCat"/>
      </c:valAx>
      <c:valAx>
        <c:axId val="500589312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0587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65856"/>
        <c:axId val="494267392"/>
      </c:scatterChart>
      <c:valAx>
        <c:axId val="494265856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94267392"/>
        <c:crosses val="autoZero"/>
        <c:crossBetween val="midCat"/>
      </c:valAx>
      <c:valAx>
        <c:axId val="494267392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942658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71552"/>
        <c:axId val="488073088"/>
      </c:scatterChart>
      <c:valAx>
        <c:axId val="488071552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8073088"/>
        <c:crosses val="autoZero"/>
        <c:crossBetween val="midCat"/>
      </c:valAx>
      <c:valAx>
        <c:axId val="488073088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8071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01344"/>
        <c:axId val="481802880"/>
      </c:scatterChart>
      <c:valAx>
        <c:axId val="481801344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1802880"/>
        <c:crosses val="autoZero"/>
        <c:crossBetween val="midCat"/>
      </c:valAx>
      <c:valAx>
        <c:axId val="481802880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1801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43808"/>
        <c:axId val="475545600"/>
      </c:scatterChart>
      <c:valAx>
        <c:axId val="475543808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545600"/>
        <c:crosses val="autoZero"/>
        <c:crossBetween val="midCat"/>
      </c:valAx>
      <c:valAx>
        <c:axId val="475545600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543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71520"/>
        <c:axId val="469373312"/>
      </c:scatterChart>
      <c:valAx>
        <c:axId val="469371520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9373312"/>
        <c:crosses val="autoZero"/>
        <c:crossBetween val="midCat"/>
      </c:valAx>
      <c:valAx>
        <c:axId val="469373312"/>
        <c:scaling>
          <c:orientation val="minMax"/>
          <c:max val="468"/>
          <c:min val="45"/>
        </c:scaling>
        <c:delete val="0"/>
        <c:axPos val="l"/>
        <c:majorGridlines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9371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32864"/>
        <c:axId val="463334400"/>
      </c:scatterChart>
      <c:valAx>
        <c:axId val="46333286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3334400"/>
        <c:crosses val="autoZero"/>
        <c:crossBetween val="midCat"/>
      </c:valAx>
      <c:valAx>
        <c:axId val="463334400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33328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232384"/>
        <c:axId val="457233920"/>
      </c:scatterChart>
      <c:valAx>
        <c:axId val="45723238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7233920"/>
        <c:crosses val="autoZero"/>
        <c:crossBetween val="midCat"/>
      </c:valAx>
      <c:valAx>
        <c:axId val="457233920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72323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81184"/>
        <c:axId val="451182976"/>
      </c:scatterChart>
      <c:valAx>
        <c:axId val="45118118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1182976"/>
        <c:crosses val="autoZero"/>
        <c:crossBetween val="midCat"/>
      </c:valAx>
      <c:valAx>
        <c:axId val="451182976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118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9824"/>
        <c:axId val="445399808"/>
      </c:scatterChart>
      <c:valAx>
        <c:axId val="44538982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45399808"/>
        <c:crosses val="autoZero"/>
        <c:crossBetween val="midCat"/>
      </c:valAx>
      <c:valAx>
        <c:axId val="445399808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453898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12672"/>
        <c:axId val="431614208"/>
      </c:scatterChart>
      <c:valAx>
        <c:axId val="431612672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1614208"/>
        <c:crosses val="autoZero"/>
        <c:crossBetween val="midCat"/>
      </c:valAx>
      <c:valAx>
        <c:axId val="431614208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1612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04224"/>
        <c:axId val="400005760"/>
      </c:scatterChart>
      <c:valAx>
        <c:axId val="40000422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00005760"/>
        <c:crosses val="autoZero"/>
        <c:crossBetween val="midCat"/>
      </c:valAx>
      <c:valAx>
        <c:axId val="400005760"/>
        <c:scaling>
          <c:orientation val="minMax"/>
          <c:max val="468"/>
          <c:min val="45"/>
        </c:scaling>
        <c:delete val="0"/>
        <c:axPos val="l"/>
        <c:majorGridlines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00004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67808"/>
        <c:axId val="264169344"/>
      </c:scatterChart>
      <c:valAx>
        <c:axId val="264167808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64169344"/>
        <c:crosses val="autoZero"/>
        <c:crossBetween val="midCat"/>
      </c:valAx>
      <c:valAx>
        <c:axId val="264169344"/>
        <c:scaling>
          <c:orientation val="minMax"/>
          <c:max val="289"/>
          <c:min val="80"/>
        </c:scaling>
        <c:delete val="0"/>
        <c:axPos val="l"/>
        <c:majorGridlines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64167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Répartition des SETs vis à vis des  paramètres/critères</a:t>
            </a:r>
          </a:p>
        </c:rich>
      </c:tx>
      <c:layout>
        <c:manualLayout>
          <c:xMode val="edge"/>
          <c:yMode val="edge"/>
          <c:x val="0.16537590523697626"/>
          <c:y val="2.21308298001211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65645655549601"/>
          <c:y val="0.16420365494062938"/>
          <c:w val="0.71199530032567915"/>
          <c:h val="0.75352488357702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'graph+_data'!$N$1</c:f>
              <c:strCache>
                <c:ptCount val="1"/>
                <c:pt idx="0">
                  <c:v>ALPHA (E1/E2)
[ 0,3 - 1,2 ]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'graph+_data'!$N$2:$N$1009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0.93815718157181571</c:v>
                </c:pt>
                <c:pt idx="6">
                  <c:v>0.87503523035230346</c:v>
                </c:pt>
                <c:pt idx="7">
                  <c:v>0.69375176151761508</c:v>
                </c:pt>
                <c:pt idx="8">
                  <c:v>0.86703523035230357</c:v>
                </c:pt>
                <c:pt idx="9">
                  <c:v>0.88893224932249326</c:v>
                </c:pt>
                <c:pt idx="10">
                  <c:v>0.93239024390243896</c:v>
                </c:pt>
                <c:pt idx="11">
                  <c:v>0.8723035230352304</c:v>
                </c:pt>
                <c:pt idx="12">
                  <c:v>0.92936585365853652</c:v>
                </c:pt>
                <c:pt idx="13">
                  <c:v>0.91430894308943078</c:v>
                </c:pt>
                <c:pt idx="14">
                  <c:v>0.84752303523035233</c:v>
                </c:pt>
                <c:pt idx="15">
                  <c:v>0.9734959349593495</c:v>
                </c:pt>
                <c:pt idx="16">
                  <c:v>0.84793495934959351</c:v>
                </c:pt>
                <c:pt idx="17">
                  <c:v>0.81647479674796741</c:v>
                </c:pt>
                <c:pt idx="18">
                  <c:v>0.82174200542005404</c:v>
                </c:pt>
                <c:pt idx="19">
                  <c:v>0.89425474254742543</c:v>
                </c:pt>
                <c:pt idx="20">
                  <c:v>0.76412466124661249</c:v>
                </c:pt>
                <c:pt idx="21">
                  <c:v>0.68750352303523032</c:v>
                </c:pt>
                <c:pt idx="22">
                  <c:v>0.95862330623306224</c:v>
                </c:pt>
                <c:pt idx="23">
                  <c:v>0.76995555555555562</c:v>
                </c:pt>
                <c:pt idx="24">
                  <c:v>0.77276097560975621</c:v>
                </c:pt>
                <c:pt idx="25">
                  <c:v>0.87902439024390255</c:v>
                </c:pt>
                <c:pt idx="26">
                  <c:v>0.86178861788617889</c:v>
                </c:pt>
                <c:pt idx="27">
                  <c:v>0.87914363143631424</c:v>
                </c:pt>
                <c:pt idx="28">
                  <c:v>0.82667750677506768</c:v>
                </c:pt>
                <c:pt idx="29">
                  <c:v>0.87852574525745253</c:v>
                </c:pt>
                <c:pt idx="30">
                  <c:v>0.8184628726287263</c:v>
                </c:pt>
                <c:pt idx="31">
                  <c:v>0.87064498644986454</c:v>
                </c:pt>
                <c:pt idx="32">
                  <c:v>0.86071544715447157</c:v>
                </c:pt>
                <c:pt idx="33">
                  <c:v>0.72991761517615172</c:v>
                </c:pt>
                <c:pt idx="34">
                  <c:v>0.86705691056910561</c:v>
                </c:pt>
                <c:pt idx="35">
                  <c:v>0.87648780487804889</c:v>
                </c:pt>
                <c:pt idx="36">
                  <c:v>0.87906775067750664</c:v>
                </c:pt>
                <c:pt idx="37">
                  <c:v>0.9673279132791327</c:v>
                </c:pt>
                <c:pt idx="38">
                  <c:v>0.87231436314363142</c:v>
                </c:pt>
                <c:pt idx="39">
                  <c:v>0.81467967479674808</c:v>
                </c:pt>
                <c:pt idx="40">
                  <c:v>0.89763685636856372</c:v>
                </c:pt>
                <c:pt idx="41">
                  <c:v>0.6857040650406504</c:v>
                </c:pt>
                <c:pt idx="42">
                  <c:v>1</c:v>
                </c:pt>
                <c:pt idx="43">
                  <c:v>0.79783414634146332</c:v>
                </c:pt>
                <c:pt idx="44">
                  <c:v>0.76191869918699184</c:v>
                </c:pt>
                <c:pt idx="45">
                  <c:v>0.87696476964769654</c:v>
                </c:pt>
                <c:pt idx="46">
                  <c:v>0.92244986449864508</c:v>
                </c:pt>
                <c:pt idx="47">
                  <c:v>0.85876422764227645</c:v>
                </c:pt>
                <c:pt idx="48">
                  <c:v>0.86228726287262869</c:v>
                </c:pt>
                <c:pt idx="49">
                  <c:v>0.91537127371273708</c:v>
                </c:pt>
                <c:pt idx="50">
                  <c:v>0.87635772357723574</c:v>
                </c:pt>
                <c:pt idx="51">
                  <c:v>0.87646612466124652</c:v>
                </c:pt>
                <c:pt idx="52">
                  <c:v>0.7005550135501355</c:v>
                </c:pt>
                <c:pt idx="53">
                  <c:v>0.91957723577235773</c:v>
                </c:pt>
                <c:pt idx="54">
                  <c:v>0.90931165311653106</c:v>
                </c:pt>
                <c:pt idx="55">
                  <c:v>0.93356097560975604</c:v>
                </c:pt>
                <c:pt idx="56">
                  <c:v>0.79974200542005414</c:v>
                </c:pt>
                <c:pt idx="57">
                  <c:v>0.78238482384823849</c:v>
                </c:pt>
                <c:pt idx="58">
                  <c:v>0.8227230352303524</c:v>
                </c:pt>
                <c:pt idx="59">
                  <c:v>0.88584281842818424</c:v>
                </c:pt>
                <c:pt idx="60">
                  <c:v>0.76360000000000006</c:v>
                </c:pt>
                <c:pt idx="61">
                  <c:v>0.68734959349593494</c:v>
                </c:pt>
                <c:pt idx="62">
                  <c:v>0.77152845528455272</c:v>
                </c:pt>
                <c:pt idx="63">
                  <c:v>0.79171382113821132</c:v>
                </c:pt>
                <c:pt idx="64">
                  <c:v>0.87003794037940374</c:v>
                </c:pt>
                <c:pt idx="65">
                  <c:v>0.80129756097560978</c:v>
                </c:pt>
                <c:pt idx="66">
                  <c:v>0.73201300813008141</c:v>
                </c:pt>
                <c:pt idx="67">
                  <c:v>0.87448238482384821</c:v>
                </c:pt>
                <c:pt idx="68">
                  <c:v>0.86037940379403788</c:v>
                </c:pt>
                <c:pt idx="69">
                  <c:v>0.87923035230352298</c:v>
                </c:pt>
                <c:pt idx="70">
                  <c:v>0.82587750677506777</c:v>
                </c:pt>
                <c:pt idx="71">
                  <c:v>0.84662330623306226</c:v>
                </c:pt>
                <c:pt idx="72">
                  <c:v>0.87551219512195111</c:v>
                </c:pt>
                <c:pt idx="73">
                  <c:v>0.98358807588075892</c:v>
                </c:pt>
                <c:pt idx="74">
                  <c:v>0.91744173441734411</c:v>
                </c:pt>
                <c:pt idx="75">
                  <c:v>0.8668184281842819</c:v>
                </c:pt>
                <c:pt idx="76">
                  <c:v>#N/A</c:v>
                </c:pt>
                <c:pt idx="77">
                  <c:v>0.82140596205962069</c:v>
                </c:pt>
                <c:pt idx="78">
                  <c:v>0.81921409214092122</c:v>
                </c:pt>
                <c:pt idx="79">
                  <c:v>0.74095934959349585</c:v>
                </c:pt>
                <c:pt idx="80">
                  <c:v>0.82621355013550135</c:v>
                </c:pt>
                <c:pt idx="81">
                  <c:v>0.74942764227642278</c:v>
                </c:pt>
                <c:pt idx="82">
                  <c:v>0.81596531165311648</c:v>
                </c:pt>
                <c:pt idx="83">
                  <c:v>0.9200975609756098</c:v>
                </c:pt>
                <c:pt idx="84">
                  <c:v>0.82414417344173452</c:v>
                </c:pt>
                <c:pt idx="85">
                  <c:v>0.81938861788617878</c:v>
                </c:pt>
                <c:pt idx="86">
                  <c:v>0.7593333333333333</c:v>
                </c:pt>
                <c:pt idx="87">
                  <c:v>0.87803794037940364</c:v>
                </c:pt>
                <c:pt idx="88">
                  <c:v>0.99029810298102983</c:v>
                </c:pt>
                <c:pt idx="89">
                  <c:v>0.74605962059620601</c:v>
                </c:pt>
                <c:pt idx="90">
                  <c:v>0.80495392953929545</c:v>
                </c:pt>
                <c:pt idx="91">
                  <c:v>0.75208455284552844</c:v>
                </c:pt>
                <c:pt idx="92">
                  <c:v>0.72683902439024395</c:v>
                </c:pt>
                <c:pt idx="93">
                  <c:v>0.99300813008130073</c:v>
                </c:pt>
                <c:pt idx="94">
                  <c:v>0.71132682926829272</c:v>
                </c:pt>
                <c:pt idx="95">
                  <c:v>0.73964661246612473</c:v>
                </c:pt>
                <c:pt idx="96">
                  <c:v>0.74117831978319781</c:v>
                </c:pt>
                <c:pt idx="97">
                  <c:v>0.83075663956639578</c:v>
                </c:pt>
                <c:pt idx="98">
                  <c:v>0.91511111111111099</c:v>
                </c:pt>
                <c:pt idx="99">
                  <c:v>0.80769864498644994</c:v>
                </c:pt>
                <c:pt idx="100">
                  <c:v>0.78010189701897026</c:v>
                </c:pt>
                <c:pt idx="101">
                  <c:v>0.91744173441734411</c:v>
                </c:pt>
                <c:pt idx="102">
                  <c:v>0.97891598915989164</c:v>
                </c:pt>
                <c:pt idx="103">
                  <c:v>#N/A</c:v>
                </c:pt>
                <c:pt idx="104">
                  <c:v>0.68142655826558263</c:v>
                </c:pt>
                <c:pt idx="105">
                  <c:v>0.67534634146341466</c:v>
                </c:pt>
                <c:pt idx="106">
                  <c:v>0.6824910569105691</c:v>
                </c:pt>
                <c:pt idx="107">
                  <c:v>0.67336368563685634</c:v>
                </c:pt>
                <c:pt idx="108">
                  <c:v>#N/A</c:v>
                </c:pt>
                <c:pt idx="109">
                  <c:v>0.45610298102981028</c:v>
                </c:pt>
                <c:pt idx="110">
                  <c:v>0.42935176151761517</c:v>
                </c:pt>
                <c:pt idx="111">
                  <c:v>0.37126504065040655</c:v>
                </c:pt>
                <c:pt idx="112">
                  <c:v>0.40503089430894312</c:v>
                </c:pt>
                <c:pt idx="113">
                  <c:v>0.39305582655826554</c:v>
                </c:pt>
                <c:pt idx="114">
                  <c:v>0.44770298102981027</c:v>
                </c:pt>
                <c:pt idx="115">
                  <c:v>0.48394363143631436</c:v>
                </c:pt>
                <c:pt idx="116">
                  <c:v>0.39118265582655831</c:v>
                </c:pt>
                <c:pt idx="117">
                  <c:v>0.46329539295392946</c:v>
                </c:pt>
                <c:pt idx="118">
                  <c:v>0.44420813008130078</c:v>
                </c:pt>
                <c:pt idx="119">
                  <c:v>0.3597322493224932</c:v>
                </c:pt>
                <c:pt idx="120">
                  <c:v>0.44953387533875333</c:v>
                </c:pt>
                <c:pt idx="121">
                  <c:v>0.45543631436314358</c:v>
                </c:pt>
                <c:pt idx="122">
                  <c:v>0.40937886178861788</c:v>
                </c:pt>
                <c:pt idx="123">
                  <c:v>0.4992878048780488</c:v>
                </c:pt>
                <c:pt idx="124">
                  <c:v>0.46546341463414626</c:v>
                </c:pt>
                <c:pt idx="125">
                  <c:v>0.44515338753387529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0.11004878048780488</c:v>
                </c:pt>
                <c:pt idx="132">
                  <c:v>5.151609756097561E-2</c:v>
                </c:pt>
                <c:pt idx="133">
                  <c:v>0.11382655826558262</c:v>
                </c:pt>
                <c:pt idx="134">
                  <c:v>4.1686070460704577E-2</c:v>
                </c:pt>
                <c:pt idx="135">
                  <c:v>7.8143089430894264E-2</c:v>
                </c:pt>
                <c:pt idx="136">
                  <c:v>0.13794146341463415</c:v>
                </c:pt>
                <c:pt idx="137">
                  <c:v>9.5797289972899713E-2</c:v>
                </c:pt>
                <c:pt idx="138">
                  <c:v>6.5500271002710067E-3</c:v>
                </c:pt>
                <c:pt idx="139">
                  <c:v>9.2667750677506724E-2</c:v>
                </c:pt>
                <c:pt idx="140">
                  <c:v>0.15573116531165307</c:v>
                </c:pt>
                <c:pt idx="141">
                  <c:v>0.11553821138211377</c:v>
                </c:pt>
                <c:pt idx="142">
                  <c:v>5.8447154471544666E-2</c:v>
                </c:pt>
                <c:pt idx="143">
                  <c:v>0</c:v>
                </c:pt>
              </c:numCache>
            </c:numRef>
          </c:xVal>
          <c:yVal>
            <c:numRef>
              <c:f>'graph+_data'!$A$2:$A$1009</c:f>
              <c:numCache>
                <c:formatCode>General</c:formatCode>
                <c:ptCount val="1008"/>
                <c:pt idx="0">
                  <c:v>1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0.95</c:v>
                </c:pt>
                <c:pt idx="77">
                  <c:v>0.95</c:v>
                </c:pt>
                <c:pt idx="78">
                  <c:v>0.95</c:v>
                </c:pt>
                <c:pt idx="79">
                  <c:v>0.95</c:v>
                </c:pt>
                <c:pt idx="80">
                  <c:v>0.95</c:v>
                </c:pt>
                <c:pt idx="81">
                  <c:v>0.95</c:v>
                </c:pt>
                <c:pt idx="82">
                  <c:v>0.95</c:v>
                </c:pt>
                <c:pt idx="83">
                  <c:v>0.95</c:v>
                </c:pt>
                <c:pt idx="84">
                  <c:v>0.95</c:v>
                </c:pt>
                <c:pt idx="85">
                  <c:v>0.95</c:v>
                </c:pt>
                <c:pt idx="86">
                  <c:v>0.95</c:v>
                </c:pt>
                <c:pt idx="87">
                  <c:v>0.95</c:v>
                </c:pt>
                <c:pt idx="88">
                  <c:v>0.95</c:v>
                </c:pt>
                <c:pt idx="89">
                  <c:v>0.95</c:v>
                </c:pt>
                <c:pt idx="90">
                  <c:v>0.95</c:v>
                </c:pt>
                <c:pt idx="91">
                  <c:v>0.95</c:v>
                </c:pt>
                <c:pt idx="92">
                  <c:v>0.95</c:v>
                </c:pt>
                <c:pt idx="93">
                  <c:v>0.95</c:v>
                </c:pt>
                <c:pt idx="94">
                  <c:v>0.95</c:v>
                </c:pt>
                <c:pt idx="95">
                  <c:v>0.95</c:v>
                </c:pt>
                <c:pt idx="96">
                  <c:v>0.95</c:v>
                </c:pt>
                <c:pt idx="97">
                  <c:v>0.95</c:v>
                </c:pt>
                <c:pt idx="98">
                  <c:v>0.95</c:v>
                </c:pt>
                <c:pt idx="99">
                  <c:v>0.95</c:v>
                </c:pt>
                <c:pt idx="100">
                  <c:v>0.95</c:v>
                </c:pt>
                <c:pt idx="101">
                  <c:v>0.95</c:v>
                </c:pt>
                <c:pt idx="102">
                  <c:v>0.95</c:v>
                </c:pt>
                <c:pt idx="103">
                  <c:v>0.95</c:v>
                </c:pt>
                <c:pt idx="104">
                  <c:v>0.95</c:v>
                </c:pt>
                <c:pt idx="105">
                  <c:v>0.95</c:v>
                </c:pt>
                <c:pt idx="106">
                  <c:v>0.95</c:v>
                </c:pt>
                <c:pt idx="107">
                  <c:v>0.95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1.1499999999999999</c:v>
                </c:pt>
                <c:pt idx="127">
                  <c:v>1.1499999999999999</c:v>
                </c:pt>
                <c:pt idx="128">
                  <c:v>1.1499999999999999</c:v>
                </c:pt>
                <c:pt idx="129">
                  <c:v>1.1499999999999999</c:v>
                </c:pt>
                <c:pt idx="130">
                  <c:v>1.1499999999999999</c:v>
                </c:pt>
                <c:pt idx="131">
                  <c:v>1.1499999999999999</c:v>
                </c:pt>
                <c:pt idx="132">
                  <c:v>1.1499999999999999</c:v>
                </c:pt>
                <c:pt idx="133">
                  <c:v>1.1499999999999999</c:v>
                </c:pt>
                <c:pt idx="134">
                  <c:v>1.1499999999999999</c:v>
                </c:pt>
                <c:pt idx="135">
                  <c:v>1.1499999999999999</c:v>
                </c:pt>
                <c:pt idx="136">
                  <c:v>1.1499999999999999</c:v>
                </c:pt>
                <c:pt idx="137">
                  <c:v>1.1499999999999999</c:v>
                </c:pt>
                <c:pt idx="138">
                  <c:v>1.1499999999999999</c:v>
                </c:pt>
                <c:pt idx="139">
                  <c:v>1.1499999999999999</c:v>
                </c:pt>
                <c:pt idx="140">
                  <c:v>1.1499999999999999</c:v>
                </c:pt>
                <c:pt idx="141">
                  <c:v>1.1499999999999999</c:v>
                </c:pt>
                <c:pt idx="142">
                  <c:v>1.1499999999999999</c:v>
                </c:pt>
                <c:pt idx="143">
                  <c:v>1.1499999999999999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'graph+_data'!$O$1</c:f>
              <c:strCache>
                <c:ptCount val="1"/>
                <c:pt idx="0">
                  <c:v>Hauteur Coeur (cm)
[ 81 - 288 ]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'graph+_data'!$O$2:$O$1009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0.12144987733090568</c:v>
                </c:pt>
                <c:pt idx="6">
                  <c:v>0.12736248910250975</c:v>
                </c:pt>
                <c:pt idx="7">
                  <c:v>7.2102087303363011E-2</c:v>
                </c:pt>
                <c:pt idx="8">
                  <c:v>0.16937617172130201</c:v>
                </c:pt>
                <c:pt idx="9">
                  <c:v>0.33781593078068461</c:v>
                </c:pt>
                <c:pt idx="10">
                  <c:v>1.3385107663346663E-2</c:v>
                </c:pt>
                <c:pt idx="11">
                  <c:v>0.11656218416565731</c:v>
                </c:pt>
                <c:pt idx="12">
                  <c:v>0.10039129705208426</c:v>
                </c:pt>
                <c:pt idx="13">
                  <c:v>0.29896372582300168</c:v>
                </c:pt>
                <c:pt idx="14">
                  <c:v>0.11033786077443546</c:v>
                </c:pt>
                <c:pt idx="15">
                  <c:v>0.45868886797256531</c:v>
                </c:pt>
                <c:pt idx="16">
                  <c:v>6.0121116443059168E-2</c:v>
                </c:pt>
                <c:pt idx="17">
                  <c:v>0.34770805527052778</c:v>
                </c:pt>
                <c:pt idx="18">
                  <c:v>0.32267926853730605</c:v>
                </c:pt>
                <c:pt idx="19">
                  <c:v>2.2183143414829829E-2</c:v>
                </c:pt>
                <c:pt idx="20">
                  <c:v>0.23948753828587294</c:v>
                </c:pt>
                <c:pt idx="21">
                  <c:v>0.28100818179714077</c:v>
                </c:pt>
                <c:pt idx="22">
                  <c:v>0.22649879066789078</c:v>
                </c:pt>
                <c:pt idx="23">
                  <c:v>0.13508066071580122</c:v>
                </c:pt>
                <c:pt idx="24">
                  <c:v>0.10640391499571816</c:v>
                </c:pt>
                <c:pt idx="25">
                  <c:v>0.42788658123548601</c:v>
                </c:pt>
                <c:pt idx="26">
                  <c:v>0.43546178356234128</c:v>
                </c:pt>
                <c:pt idx="27">
                  <c:v>0.18279985457154543</c:v>
                </c:pt>
                <c:pt idx="28">
                  <c:v>0.17177747710562663</c:v>
                </c:pt>
                <c:pt idx="29">
                  <c:v>0.19349627170818645</c:v>
                </c:pt>
                <c:pt idx="30">
                  <c:v>0.39774730552319526</c:v>
                </c:pt>
                <c:pt idx="31">
                  <c:v>7.3227711257011066E-2</c:v>
                </c:pt>
                <c:pt idx="32">
                  <c:v>0.10272372161830623</c:v>
                </c:pt>
                <c:pt idx="33">
                  <c:v>8.3588982347994473E-2</c:v>
                </c:pt>
                <c:pt idx="34">
                  <c:v>0.18044556269625125</c:v>
                </c:pt>
                <c:pt idx="35">
                  <c:v>0.19042761559054752</c:v>
                </c:pt>
                <c:pt idx="36">
                  <c:v>0.20209154663354348</c:v>
                </c:pt>
                <c:pt idx="37">
                  <c:v>0.10267634646689866</c:v>
                </c:pt>
                <c:pt idx="38">
                  <c:v>4.5653733692339757E-2</c:v>
                </c:pt>
                <c:pt idx="39">
                  <c:v>0.34856394222980014</c:v>
                </c:pt>
                <c:pt idx="40">
                  <c:v>6.4523750742572342E-2</c:v>
                </c:pt>
                <c:pt idx="41">
                  <c:v>0.28145227863629002</c:v>
                </c:pt>
                <c:pt idx="42">
                  <c:v>4.2343259371841691E-2</c:v>
                </c:pt>
                <c:pt idx="43">
                  <c:v>0.20427273235763829</c:v>
                </c:pt>
                <c:pt idx="44">
                  <c:v>9.5051025328467723E-2</c:v>
                </c:pt>
                <c:pt idx="45">
                  <c:v>0.42535990649374689</c:v>
                </c:pt>
                <c:pt idx="46">
                  <c:v>0.31617018793831059</c:v>
                </c:pt>
                <c:pt idx="47">
                  <c:v>0.19019905760818412</c:v>
                </c:pt>
                <c:pt idx="48">
                  <c:v>8.9661391831318452E-2</c:v>
                </c:pt>
                <c:pt idx="49">
                  <c:v>0.10808449123186002</c:v>
                </c:pt>
                <c:pt idx="50">
                  <c:v>2.6202436794556264E-2</c:v>
                </c:pt>
                <c:pt idx="51">
                  <c:v>0.14417018022327319</c:v>
                </c:pt>
                <c:pt idx="52">
                  <c:v>7.9024910891318287E-2</c:v>
                </c:pt>
                <c:pt idx="53">
                  <c:v>0.37057831920195655</c:v>
                </c:pt>
                <c:pt idx="54">
                  <c:v>0.27440579746483867</c:v>
                </c:pt>
                <c:pt idx="55">
                  <c:v>1.6248350910760205E-2</c:v>
                </c:pt>
                <c:pt idx="56">
                  <c:v>0.47799574901440406</c:v>
                </c:pt>
                <c:pt idx="57">
                  <c:v>8.2632414150921554E-2</c:v>
                </c:pt>
                <c:pt idx="58">
                  <c:v>0.37875866977325512</c:v>
                </c:pt>
                <c:pt idx="59">
                  <c:v>0.34166380567363852</c:v>
                </c:pt>
                <c:pt idx="60">
                  <c:v>0.24879476650439372</c:v>
                </c:pt>
                <c:pt idx="61">
                  <c:v>0.28101613792943825</c:v>
                </c:pt>
                <c:pt idx="62">
                  <c:v>0.26321610012575514</c:v>
                </c:pt>
                <c:pt idx="63">
                  <c:v>0.20055890623915074</c:v>
                </c:pt>
                <c:pt idx="64">
                  <c:v>0.17817878827622918</c:v>
                </c:pt>
                <c:pt idx="65">
                  <c:v>0.36145287655168695</c:v>
                </c:pt>
                <c:pt idx="66">
                  <c:v>8.8544760718115678E-2</c:v>
                </c:pt>
                <c:pt idx="67">
                  <c:v>0.26328601765200554</c:v>
                </c:pt>
                <c:pt idx="68">
                  <c:v>9.1289968715523445E-2</c:v>
                </c:pt>
                <c:pt idx="69">
                  <c:v>0.2008687132089155</c:v>
                </c:pt>
                <c:pt idx="70">
                  <c:v>0.10962446091176314</c:v>
                </c:pt>
                <c:pt idx="71">
                  <c:v>0.28443582824783792</c:v>
                </c:pt>
                <c:pt idx="72">
                  <c:v>0.13516528503205602</c:v>
                </c:pt>
                <c:pt idx="73">
                  <c:v>2.509629331029109E-2</c:v>
                </c:pt>
                <c:pt idx="74">
                  <c:v>0.51613696505859574</c:v>
                </c:pt>
                <c:pt idx="75">
                  <c:v>0.12273443105456849</c:v>
                </c:pt>
                <c:pt idx="76">
                  <c:v>#N/A</c:v>
                </c:pt>
                <c:pt idx="77">
                  <c:v>0.9714398960012961</c:v>
                </c:pt>
                <c:pt idx="78">
                  <c:v>0.83624109877562358</c:v>
                </c:pt>
                <c:pt idx="79">
                  <c:v>0.92082442889435789</c:v>
                </c:pt>
                <c:pt idx="80">
                  <c:v>0.84277236010708456</c:v>
                </c:pt>
                <c:pt idx="81">
                  <c:v>0.83965018091762655</c:v>
                </c:pt>
                <c:pt idx="82">
                  <c:v>0.90186713548377151</c:v>
                </c:pt>
                <c:pt idx="83">
                  <c:v>0.90527380667659341</c:v>
                </c:pt>
                <c:pt idx="84">
                  <c:v>0.8219417591828232</c:v>
                </c:pt>
                <c:pt idx="85">
                  <c:v>0.88804275287963763</c:v>
                </c:pt>
                <c:pt idx="86">
                  <c:v>0.83516099354251372</c:v>
                </c:pt>
                <c:pt idx="87">
                  <c:v>0.67255452602667853</c:v>
                </c:pt>
                <c:pt idx="88">
                  <c:v>0.8116590609256501</c:v>
                </c:pt>
                <c:pt idx="89">
                  <c:v>0.8572983289229037</c:v>
                </c:pt>
                <c:pt idx="90">
                  <c:v>0.92911327217880391</c:v>
                </c:pt>
                <c:pt idx="91">
                  <c:v>0.8046528426055225</c:v>
                </c:pt>
                <c:pt idx="92">
                  <c:v>0.46414243502009767</c:v>
                </c:pt>
                <c:pt idx="93">
                  <c:v>0.78540141339484792</c:v>
                </c:pt>
                <c:pt idx="94">
                  <c:v>0.9240454570002391</c:v>
                </c:pt>
                <c:pt idx="95">
                  <c:v>0.71422778262110664</c:v>
                </c:pt>
                <c:pt idx="96">
                  <c:v>0.75531276761535904</c:v>
                </c:pt>
                <c:pt idx="97">
                  <c:v>0.84415624493700681</c:v>
                </c:pt>
                <c:pt idx="98">
                  <c:v>0.92494956294313246</c:v>
                </c:pt>
                <c:pt idx="99">
                  <c:v>1</c:v>
                </c:pt>
                <c:pt idx="100">
                  <c:v>0.49054232855258179</c:v>
                </c:pt>
                <c:pt idx="101">
                  <c:v>0.51613696505859574</c:v>
                </c:pt>
                <c:pt idx="102">
                  <c:v>0.69439049275943743</c:v>
                </c:pt>
                <c:pt idx="103">
                  <c:v>#N/A</c:v>
                </c:pt>
                <c:pt idx="104">
                  <c:v>0.61333920319093949</c:v>
                </c:pt>
                <c:pt idx="105">
                  <c:v>0.56670421318191289</c:v>
                </c:pt>
                <c:pt idx="106">
                  <c:v>0.61216507093976869</c:v>
                </c:pt>
                <c:pt idx="107">
                  <c:v>0.55609121488693614</c:v>
                </c:pt>
                <c:pt idx="108">
                  <c:v>#N/A</c:v>
                </c:pt>
                <c:pt idx="109">
                  <c:v>0.21246128015615237</c:v>
                </c:pt>
                <c:pt idx="110">
                  <c:v>0.2846482328706883</c:v>
                </c:pt>
                <c:pt idx="111">
                  <c:v>0.20264051976206829</c:v>
                </c:pt>
                <c:pt idx="112">
                  <c:v>0.29549605761589914</c:v>
                </c:pt>
                <c:pt idx="113">
                  <c:v>0.2337258519330026</c:v>
                </c:pt>
                <c:pt idx="114">
                  <c:v>0.16228557017983752</c:v>
                </c:pt>
                <c:pt idx="115">
                  <c:v>3.8717432898462384E-2</c:v>
                </c:pt>
                <c:pt idx="116">
                  <c:v>0</c:v>
                </c:pt>
                <c:pt idx="117">
                  <c:v>0.32692711989939599</c:v>
                </c:pt>
                <c:pt idx="118">
                  <c:v>0.22252144780391461</c:v>
                </c:pt>
                <c:pt idx="119">
                  <c:v>0.18339077821582045</c:v>
                </c:pt>
                <c:pt idx="120">
                  <c:v>0.1810256370692116</c:v>
                </c:pt>
                <c:pt idx="121">
                  <c:v>0.24861008779712543</c:v>
                </c:pt>
                <c:pt idx="122">
                  <c:v>4.4178473888456027E-2</c:v>
                </c:pt>
                <c:pt idx="123">
                  <c:v>3.1889865912650361E-2</c:v>
                </c:pt>
                <c:pt idx="124">
                  <c:v>0.12489343604619767</c:v>
                </c:pt>
                <c:pt idx="125">
                  <c:v>3.740925187282533E-2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0.24752829489958875</c:v>
                </c:pt>
                <c:pt idx="132">
                  <c:v>0.19696562757971564</c:v>
                </c:pt>
                <c:pt idx="133">
                  <c:v>1.2702809045109821E-2</c:v>
                </c:pt>
                <c:pt idx="134">
                  <c:v>0.11294641135036301</c:v>
                </c:pt>
                <c:pt idx="135">
                  <c:v>2.4044396182599535E-2</c:v>
                </c:pt>
                <c:pt idx="136">
                  <c:v>0.22603998703873723</c:v>
                </c:pt>
                <c:pt idx="137">
                  <c:v>2.784959727504879E-2</c:v>
                </c:pt>
                <c:pt idx="138">
                  <c:v>0.10377364176766939</c:v>
                </c:pt>
                <c:pt idx="139">
                  <c:v>2.67475524043914E-2</c:v>
                </c:pt>
                <c:pt idx="140">
                  <c:v>0.10899139387580332</c:v>
                </c:pt>
                <c:pt idx="141">
                  <c:v>1.2571653409660799E-2</c:v>
                </c:pt>
                <c:pt idx="142">
                  <c:v>9.4131600214478084E-2</c:v>
                </c:pt>
                <c:pt idx="143">
                  <c:v>0.29363311718370277</c:v>
                </c:pt>
              </c:numCache>
            </c:numRef>
          </c:xVal>
          <c:yVal>
            <c:numRef>
              <c:f>'graph+_data'!$B$2:$B$1009</c:f>
              <c:numCache>
                <c:formatCode>General</c:formatCode>
                <c:ptCount val="1008"/>
                <c:pt idx="0">
                  <c:v>2</c:v>
                </c:pt>
                <c:pt idx="1">
                  <c:v>1.85</c:v>
                </c:pt>
                <c:pt idx="2">
                  <c:v>1.85</c:v>
                </c:pt>
                <c:pt idx="3">
                  <c:v>1.85</c:v>
                </c:pt>
                <c:pt idx="4">
                  <c:v>1.85</c:v>
                </c:pt>
                <c:pt idx="5">
                  <c:v>1.85</c:v>
                </c:pt>
                <c:pt idx="6">
                  <c:v>1.85</c:v>
                </c:pt>
                <c:pt idx="7">
                  <c:v>1.85</c:v>
                </c:pt>
                <c:pt idx="8">
                  <c:v>1.85</c:v>
                </c:pt>
                <c:pt idx="9">
                  <c:v>1.85</c:v>
                </c:pt>
                <c:pt idx="10">
                  <c:v>1.85</c:v>
                </c:pt>
                <c:pt idx="11">
                  <c:v>1.85</c:v>
                </c:pt>
                <c:pt idx="12">
                  <c:v>1.85</c:v>
                </c:pt>
                <c:pt idx="13">
                  <c:v>1.85</c:v>
                </c:pt>
                <c:pt idx="14">
                  <c:v>1.85</c:v>
                </c:pt>
                <c:pt idx="15">
                  <c:v>1.85</c:v>
                </c:pt>
                <c:pt idx="16">
                  <c:v>1.85</c:v>
                </c:pt>
                <c:pt idx="17">
                  <c:v>1.85</c:v>
                </c:pt>
                <c:pt idx="18">
                  <c:v>1.85</c:v>
                </c:pt>
                <c:pt idx="19">
                  <c:v>1.85</c:v>
                </c:pt>
                <c:pt idx="20">
                  <c:v>1.85</c:v>
                </c:pt>
                <c:pt idx="21">
                  <c:v>1.85</c:v>
                </c:pt>
                <c:pt idx="22">
                  <c:v>1.85</c:v>
                </c:pt>
                <c:pt idx="23">
                  <c:v>1.85</c:v>
                </c:pt>
                <c:pt idx="24">
                  <c:v>1.85</c:v>
                </c:pt>
                <c:pt idx="25">
                  <c:v>1.85</c:v>
                </c:pt>
                <c:pt idx="26">
                  <c:v>1.85</c:v>
                </c:pt>
                <c:pt idx="27">
                  <c:v>1.85</c:v>
                </c:pt>
                <c:pt idx="28">
                  <c:v>1.85</c:v>
                </c:pt>
                <c:pt idx="29">
                  <c:v>1.85</c:v>
                </c:pt>
                <c:pt idx="30">
                  <c:v>1.85</c:v>
                </c:pt>
                <c:pt idx="31">
                  <c:v>1.85</c:v>
                </c:pt>
                <c:pt idx="32">
                  <c:v>1.85</c:v>
                </c:pt>
                <c:pt idx="33">
                  <c:v>1.85</c:v>
                </c:pt>
                <c:pt idx="34">
                  <c:v>1.85</c:v>
                </c:pt>
                <c:pt idx="35">
                  <c:v>1.85</c:v>
                </c:pt>
                <c:pt idx="36">
                  <c:v>1.85</c:v>
                </c:pt>
                <c:pt idx="37">
                  <c:v>1.85</c:v>
                </c:pt>
                <c:pt idx="38">
                  <c:v>1.85</c:v>
                </c:pt>
                <c:pt idx="39">
                  <c:v>1.85</c:v>
                </c:pt>
                <c:pt idx="40">
                  <c:v>1.85</c:v>
                </c:pt>
                <c:pt idx="41">
                  <c:v>1.85</c:v>
                </c:pt>
                <c:pt idx="42">
                  <c:v>1.85</c:v>
                </c:pt>
                <c:pt idx="43">
                  <c:v>1.85</c:v>
                </c:pt>
                <c:pt idx="44">
                  <c:v>1.85</c:v>
                </c:pt>
                <c:pt idx="45">
                  <c:v>1.85</c:v>
                </c:pt>
                <c:pt idx="46">
                  <c:v>1.85</c:v>
                </c:pt>
                <c:pt idx="47">
                  <c:v>1.85</c:v>
                </c:pt>
                <c:pt idx="48">
                  <c:v>1.85</c:v>
                </c:pt>
                <c:pt idx="49">
                  <c:v>1.85</c:v>
                </c:pt>
                <c:pt idx="50">
                  <c:v>1.85</c:v>
                </c:pt>
                <c:pt idx="51">
                  <c:v>1.85</c:v>
                </c:pt>
                <c:pt idx="52">
                  <c:v>1.85</c:v>
                </c:pt>
                <c:pt idx="53">
                  <c:v>1.85</c:v>
                </c:pt>
                <c:pt idx="54">
                  <c:v>1.85</c:v>
                </c:pt>
                <c:pt idx="55">
                  <c:v>1.85</c:v>
                </c:pt>
                <c:pt idx="56">
                  <c:v>1.85</c:v>
                </c:pt>
                <c:pt idx="57">
                  <c:v>1.85</c:v>
                </c:pt>
                <c:pt idx="58">
                  <c:v>1.85</c:v>
                </c:pt>
                <c:pt idx="59">
                  <c:v>1.85</c:v>
                </c:pt>
                <c:pt idx="60">
                  <c:v>1.85</c:v>
                </c:pt>
                <c:pt idx="61">
                  <c:v>1.85</c:v>
                </c:pt>
                <c:pt idx="62">
                  <c:v>1.85</c:v>
                </c:pt>
                <c:pt idx="63">
                  <c:v>1.85</c:v>
                </c:pt>
                <c:pt idx="64">
                  <c:v>1.85</c:v>
                </c:pt>
                <c:pt idx="65">
                  <c:v>1.85</c:v>
                </c:pt>
                <c:pt idx="66">
                  <c:v>1.85</c:v>
                </c:pt>
                <c:pt idx="67">
                  <c:v>1.85</c:v>
                </c:pt>
                <c:pt idx="68">
                  <c:v>1.85</c:v>
                </c:pt>
                <c:pt idx="69">
                  <c:v>1.85</c:v>
                </c:pt>
                <c:pt idx="70">
                  <c:v>1.85</c:v>
                </c:pt>
                <c:pt idx="71">
                  <c:v>1.85</c:v>
                </c:pt>
                <c:pt idx="72">
                  <c:v>1.85</c:v>
                </c:pt>
                <c:pt idx="73">
                  <c:v>1.85</c:v>
                </c:pt>
                <c:pt idx="74">
                  <c:v>1.85</c:v>
                </c:pt>
                <c:pt idx="75">
                  <c:v>1.85</c:v>
                </c:pt>
                <c:pt idx="76">
                  <c:v>1.95</c:v>
                </c:pt>
                <c:pt idx="77">
                  <c:v>1.95</c:v>
                </c:pt>
                <c:pt idx="78">
                  <c:v>1.95</c:v>
                </c:pt>
                <c:pt idx="79">
                  <c:v>1.95</c:v>
                </c:pt>
                <c:pt idx="80">
                  <c:v>1.95</c:v>
                </c:pt>
                <c:pt idx="81">
                  <c:v>1.95</c:v>
                </c:pt>
                <c:pt idx="82">
                  <c:v>1.95</c:v>
                </c:pt>
                <c:pt idx="83">
                  <c:v>1.95</c:v>
                </c:pt>
                <c:pt idx="84">
                  <c:v>1.95</c:v>
                </c:pt>
                <c:pt idx="85">
                  <c:v>1.95</c:v>
                </c:pt>
                <c:pt idx="86">
                  <c:v>1.95</c:v>
                </c:pt>
                <c:pt idx="87">
                  <c:v>1.95</c:v>
                </c:pt>
                <c:pt idx="88">
                  <c:v>1.95</c:v>
                </c:pt>
                <c:pt idx="89">
                  <c:v>1.95</c:v>
                </c:pt>
                <c:pt idx="90">
                  <c:v>1.95</c:v>
                </c:pt>
                <c:pt idx="91">
                  <c:v>1.95</c:v>
                </c:pt>
                <c:pt idx="92">
                  <c:v>1.95</c:v>
                </c:pt>
                <c:pt idx="93">
                  <c:v>1.95</c:v>
                </c:pt>
                <c:pt idx="94">
                  <c:v>1.95</c:v>
                </c:pt>
                <c:pt idx="95">
                  <c:v>1.95</c:v>
                </c:pt>
                <c:pt idx="96">
                  <c:v>1.95</c:v>
                </c:pt>
                <c:pt idx="97">
                  <c:v>1.95</c:v>
                </c:pt>
                <c:pt idx="98">
                  <c:v>1.95</c:v>
                </c:pt>
                <c:pt idx="99">
                  <c:v>1.95</c:v>
                </c:pt>
                <c:pt idx="100">
                  <c:v>1.95</c:v>
                </c:pt>
                <c:pt idx="101">
                  <c:v>1.95</c:v>
                </c:pt>
                <c:pt idx="102">
                  <c:v>1.95</c:v>
                </c:pt>
                <c:pt idx="103">
                  <c:v>1.95</c:v>
                </c:pt>
                <c:pt idx="104">
                  <c:v>1.95</c:v>
                </c:pt>
                <c:pt idx="105">
                  <c:v>1.95</c:v>
                </c:pt>
                <c:pt idx="106">
                  <c:v>1.95</c:v>
                </c:pt>
                <c:pt idx="107">
                  <c:v>1.95</c:v>
                </c:pt>
                <c:pt idx="108">
                  <c:v>2.0499999999999998</c:v>
                </c:pt>
                <c:pt idx="109">
                  <c:v>2.0499999999999998</c:v>
                </c:pt>
                <c:pt idx="110">
                  <c:v>2.0499999999999998</c:v>
                </c:pt>
                <c:pt idx="111">
                  <c:v>2.0499999999999998</c:v>
                </c:pt>
                <c:pt idx="112">
                  <c:v>2.0499999999999998</c:v>
                </c:pt>
                <c:pt idx="113">
                  <c:v>2.0499999999999998</c:v>
                </c:pt>
                <c:pt idx="114">
                  <c:v>2.0499999999999998</c:v>
                </c:pt>
                <c:pt idx="115">
                  <c:v>2.0499999999999998</c:v>
                </c:pt>
                <c:pt idx="116">
                  <c:v>2.0499999999999998</c:v>
                </c:pt>
                <c:pt idx="117">
                  <c:v>2.0499999999999998</c:v>
                </c:pt>
                <c:pt idx="118">
                  <c:v>2.0499999999999998</c:v>
                </c:pt>
                <c:pt idx="119">
                  <c:v>2.0499999999999998</c:v>
                </c:pt>
                <c:pt idx="120">
                  <c:v>2.0499999999999998</c:v>
                </c:pt>
                <c:pt idx="121">
                  <c:v>2.0499999999999998</c:v>
                </c:pt>
                <c:pt idx="122">
                  <c:v>2.0499999999999998</c:v>
                </c:pt>
                <c:pt idx="123">
                  <c:v>2.0499999999999998</c:v>
                </c:pt>
                <c:pt idx="124">
                  <c:v>2.0499999999999998</c:v>
                </c:pt>
                <c:pt idx="125">
                  <c:v>2.0499999999999998</c:v>
                </c:pt>
                <c:pt idx="126">
                  <c:v>2.15</c:v>
                </c:pt>
                <c:pt idx="127">
                  <c:v>2.15</c:v>
                </c:pt>
                <c:pt idx="128">
                  <c:v>2.15</c:v>
                </c:pt>
                <c:pt idx="129">
                  <c:v>2.15</c:v>
                </c:pt>
                <c:pt idx="130">
                  <c:v>2.15</c:v>
                </c:pt>
                <c:pt idx="131">
                  <c:v>2.15</c:v>
                </c:pt>
                <c:pt idx="132">
                  <c:v>2.15</c:v>
                </c:pt>
                <c:pt idx="133">
                  <c:v>2.15</c:v>
                </c:pt>
                <c:pt idx="134">
                  <c:v>2.15</c:v>
                </c:pt>
                <c:pt idx="135">
                  <c:v>2.15</c:v>
                </c:pt>
                <c:pt idx="136">
                  <c:v>2.15</c:v>
                </c:pt>
                <c:pt idx="137">
                  <c:v>2.15</c:v>
                </c:pt>
                <c:pt idx="138">
                  <c:v>2.15</c:v>
                </c:pt>
                <c:pt idx="139">
                  <c:v>2.15</c:v>
                </c:pt>
                <c:pt idx="140">
                  <c:v>2.15</c:v>
                </c:pt>
                <c:pt idx="141">
                  <c:v>2.15</c:v>
                </c:pt>
                <c:pt idx="142">
                  <c:v>2.15</c:v>
                </c:pt>
                <c:pt idx="143">
                  <c:v>2.15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'graph+_data'!$P$1</c:f>
              <c:strCache>
                <c:ptCount val="1"/>
                <c:pt idx="0">
                  <c:v>Puiss. Nucl. (MWth)
[ 45 - 468 ]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'graph+_data'!$P$2:$P$1009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0.83406149757560966</c:v>
                </c:pt>
                <c:pt idx="6">
                  <c:v>0.78562535642531861</c:v>
                </c:pt>
                <c:pt idx="7">
                  <c:v>1</c:v>
                </c:pt>
                <c:pt idx="8">
                  <c:v>0.83427933244225849</c:v>
                </c:pt>
                <c:pt idx="9">
                  <c:v>0.81597701451171201</c:v>
                </c:pt>
                <c:pt idx="10">
                  <c:v>0.83192504022963143</c:v>
                </c:pt>
                <c:pt idx="11">
                  <c:v>0.78981169572155563</c:v>
                </c:pt>
                <c:pt idx="12">
                  <c:v>0.8941797316386153</c:v>
                </c:pt>
                <c:pt idx="13">
                  <c:v>0.79523801810487016</c:v>
                </c:pt>
                <c:pt idx="14">
                  <c:v>0.82640934969589697</c:v>
                </c:pt>
                <c:pt idx="15">
                  <c:v>0.98575834740416246</c:v>
                </c:pt>
                <c:pt idx="16">
                  <c:v>0.78377515643615447</c:v>
                </c:pt>
                <c:pt idx="17">
                  <c:v>0.73439227144235164</c:v>
                </c:pt>
                <c:pt idx="18">
                  <c:v>0.9165901917337812</c:v>
                </c:pt>
                <c:pt idx="19">
                  <c:v>0.75267922922204467</c:v>
                </c:pt>
                <c:pt idx="20">
                  <c:v>0.68786078899788694</c:v>
                </c:pt>
                <c:pt idx="21">
                  <c:v>0.83608764111091316</c:v>
                </c:pt>
                <c:pt idx="22">
                  <c:v>0.80577647796767882</c:v>
                </c:pt>
                <c:pt idx="23">
                  <c:v>0.70090714258185693</c:v>
                </c:pt>
                <c:pt idx="24">
                  <c:v>0.77681980085424784</c:v>
                </c:pt>
                <c:pt idx="25">
                  <c:v>0.80211517655515929</c:v>
                </c:pt>
                <c:pt idx="26">
                  <c:v>0.68586257300958975</c:v>
                </c:pt>
                <c:pt idx="27">
                  <c:v>0.81487666915966572</c:v>
                </c:pt>
                <c:pt idx="28">
                  <c:v>0.82504229626994097</c:v>
                </c:pt>
                <c:pt idx="29">
                  <c:v>0.72136686351863644</c:v>
                </c:pt>
                <c:pt idx="30">
                  <c:v>0.67086827302193375</c:v>
                </c:pt>
                <c:pt idx="31">
                  <c:v>0.86928511623724347</c:v>
                </c:pt>
                <c:pt idx="32">
                  <c:v>0.8539878023645695</c:v>
                </c:pt>
                <c:pt idx="33">
                  <c:v>0.90433977323948933</c:v>
                </c:pt>
                <c:pt idx="34">
                  <c:v>0.75912211431638665</c:v>
                </c:pt>
                <c:pt idx="35">
                  <c:v>0.76345507323440653</c:v>
                </c:pt>
                <c:pt idx="36">
                  <c:v>0.72024557250633536</c:v>
                </c:pt>
                <c:pt idx="37">
                  <c:v>0.84964227605039699</c:v>
                </c:pt>
                <c:pt idx="38">
                  <c:v>0.7746819471309192</c:v>
                </c:pt>
                <c:pt idx="39">
                  <c:v>0.73441461347995662</c:v>
                </c:pt>
                <c:pt idx="40">
                  <c:v>0.7865693075141299</c:v>
                </c:pt>
                <c:pt idx="41">
                  <c:v>0.82998128295799634</c:v>
                </c:pt>
                <c:pt idx="42">
                  <c:v>0.7388006347372883</c:v>
                </c:pt>
                <c:pt idx="43">
                  <c:v>0.6619887094512964</c:v>
                </c:pt>
                <c:pt idx="44">
                  <c:v>0.78303507644048886</c:v>
                </c:pt>
                <c:pt idx="45">
                  <c:v>0.8068740305650246</c:v>
                </c:pt>
                <c:pt idx="46">
                  <c:v>0.71923878443675993</c:v>
                </c:pt>
                <c:pt idx="47">
                  <c:v>0.75481010105862156</c:v>
                </c:pt>
                <c:pt idx="48">
                  <c:v>0.8768437068344852</c:v>
                </c:pt>
                <c:pt idx="49">
                  <c:v>0.80986646722674427</c:v>
                </c:pt>
                <c:pt idx="50">
                  <c:v>0.7542431718543946</c:v>
                </c:pt>
                <c:pt idx="51">
                  <c:v>0.78723537951022893</c:v>
                </c:pt>
                <c:pt idx="52">
                  <c:v>0.99203366721646702</c:v>
                </c:pt>
                <c:pt idx="53">
                  <c:v>0.81361853316703414</c:v>
                </c:pt>
                <c:pt idx="54">
                  <c:v>0.76726997615546033</c:v>
                </c:pt>
                <c:pt idx="55">
                  <c:v>0.8321023801531211</c:v>
                </c:pt>
                <c:pt idx="56">
                  <c:v>0.72544149262684832</c:v>
                </c:pt>
                <c:pt idx="57">
                  <c:v>0.94882975199779707</c:v>
                </c:pt>
                <c:pt idx="58">
                  <c:v>0.65965536289892401</c:v>
                </c:pt>
                <c:pt idx="59">
                  <c:v>0.80146725746461434</c:v>
                </c:pt>
                <c:pt idx="60">
                  <c:v>0.68863298567260989</c:v>
                </c:pt>
                <c:pt idx="61">
                  <c:v>0.83730109302833466</c:v>
                </c:pt>
                <c:pt idx="62">
                  <c:v>0.62638387977302723</c:v>
                </c:pt>
                <c:pt idx="63">
                  <c:v>0.68794038250685485</c:v>
                </c:pt>
                <c:pt idx="64">
                  <c:v>0.78273485531017173</c:v>
                </c:pt>
                <c:pt idx="65">
                  <c:v>0.73486005785470643</c:v>
                </c:pt>
                <c:pt idx="66">
                  <c:v>0.90116999665427988</c:v>
                </c:pt>
                <c:pt idx="67">
                  <c:v>0.76762325962508948</c:v>
                </c:pt>
                <c:pt idx="68">
                  <c:v>0.83932165105423695</c:v>
                </c:pt>
                <c:pt idx="69">
                  <c:v>0.71943567364315408</c:v>
                </c:pt>
                <c:pt idx="70">
                  <c:v>0.72257193717195611</c:v>
                </c:pt>
                <c:pt idx="71">
                  <c:v>0.66852654820545954</c:v>
                </c:pt>
                <c:pt idx="72">
                  <c:v>0.74937958954325612</c:v>
                </c:pt>
                <c:pt idx="73">
                  <c:v>0.75441073713643214</c:v>
                </c:pt>
                <c:pt idx="74">
                  <c:v>0.66954590367118771</c:v>
                </c:pt>
                <c:pt idx="75">
                  <c:v>0.79176802038934346</c:v>
                </c:pt>
                <c:pt idx="76">
                  <c:v>#N/A</c:v>
                </c:pt>
                <c:pt idx="77">
                  <c:v>0.76511815865862864</c:v>
                </c:pt>
                <c:pt idx="78">
                  <c:v>0.75859288730061825</c:v>
                </c:pt>
                <c:pt idx="79">
                  <c:v>0.71768880557791304</c:v>
                </c:pt>
                <c:pt idx="80">
                  <c:v>0.75527090558422483</c:v>
                </c:pt>
                <c:pt idx="81">
                  <c:v>0.70916392185425503</c:v>
                </c:pt>
                <c:pt idx="82">
                  <c:v>0.75189865428321989</c:v>
                </c:pt>
                <c:pt idx="83">
                  <c:v>0.73360052548472443</c:v>
                </c:pt>
                <c:pt idx="84">
                  <c:v>0.75748695643917074</c:v>
                </c:pt>
                <c:pt idx="85">
                  <c:v>0.75009034561456511</c:v>
                </c:pt>
                <c:pt idx="86">
                  <c:v>0.71879334006201034</c:v>
                </c:pt>
                <c:pt idx="87">
                  <c:v>0.69313071711796648</c:v>
                </c:pt>
                <c:pt idx="88">
                  <c:v>0.65644648774790582</c:v>
                </c:pt>
                <c:pt idx="89">
                  <c:v>0.70592851553358094</c:v>
                </c:pt>
                <c:pt idx="90">
                  <c:v>0.74136298717511184</c:v>
                </c:pt>
                <c:pt idx="91">
                  <c:v>0.72017156450676878</c:v>
                </c:pt>
                <c:pt idx="92">
                  <c:v>0.51465553884247017</c:v>
                </c:pt>
                <c:pt idx="93">
                  <c:v>0.68220266797442064</c:v>
                </c:pt>
                <c:pt idx="94">
                  <c:v>0.72681692431690614</c:v>
                </c:pt>
                <c:pt idx="95">
                  <c:v>0.66782696315295309</c:v>
                </c:pt>
                <c:pt idx="96">
                  <c:v>0.68789011292224356</c:v>
                </c:pt>
                <c:pt idx="97">
                  <c:v>0.74539432858546417</c:v>
                </c:pt>
                <c:pt idx="98">
                  <c:v>0.73505275792904945</c:v>
                </c:pt>
                <c:pt idx="99">
                  <c:v>0.78263710889564986</c:v>
                </c:pt>
                <c:pt idx="100">
                  <c:v>0.36462735994754092</c:v>
                </c:pt>
                <c:pt idx="101">
                  <c:v>0.66954590367118771</c:v>
                </c:pt>
                <c:pt idx="102">
                  <c:v>0.62447084280309906</c:v>
                </c:pt>
                <c:pt idx="103">
                  <c:v>#N/A</c:v>
                </c:pt>
                <c:pt idx="104">
                  <c:v>0.53660100527998211</c:v>
                </c:pt>
                <c:pt idx="105">
                  <c:v>0.54664794031548081</c:v>
                </c:pt>
                <c:pt idx="106">
                  <c:v>0.53845539440119716</c:v>
                </c:pt>
                <c:pt idx="107">
                  <c:v>0.55115405002493933</c:v>
                </c:pt>
                <c:pt idx="108">
                  <c:v>#N/A</c:v>
                </c:pt>
                <c:pt idx="109">
                  <c:v>0.27560690748776634</c:v>
                </c:pt>
                <c:pt idx="110">
                  <c:v>0.25002667080739105</c:v>
                </c:pt>
                <c:pt idx="111">
                  <c:v>0.16692406555824099</c:v>
                </c:pt>
                <c:pt idx="112">
                  <c:v>0.28649446168815323</c:v>
                </c:pt>
                <c:pt idx="113">
                  <c:v>0.18120342034253695</c:v>
                </c:pt>
                <c:pt idx="114">
                  <c:v>0.15256092813292618</c:v>
                </c:pt>
                <c:pt idx="115">
                  <c:v>0.11376258345449233</c:v>
                </c:pt>
                <c:pt idx="116">
                  <c:v>0.11571192623552866</c:v>
                </c:pt>
                <c:pt idx="117">
                  <c:v>0.33713129354253679</c:v>
                </c:pt>
                <c:pt idx="118">
                  <c:v>0.27181993211371874</c:v>
                </c:pt>
                <c:pt idx="119">
                  <c:v>0.16005528537205355</c:v>
                </c:pt>
                <c:pt idx="120">
                  <c:v>0.16373473969012711</c:v>
                </c:pt>
                <c:pt idx="121">
                  <c:v>0.20567353702941391</c:v>
                </c:pt>
                <c:pt idx="122">
                  <c:v>0.1093234998578488</c:v>
                </c:pt>
                <c:pt idx="123">
                  <c:v>0.15486913989299278</c:v>
                </c:pt>
                <c:pt idx="124">
                  <c:v>0.12645146443678237</c:v>
                </c:pt>
                <c:pt idx="125">
                  <c:v>3.8101831656097956E-2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0.10643299874270185</c:v>
                </c:pt>
                <c:pt idx="132">
                  <c:v>0.18198399528136167</c:v>
                </c:pt>
                <c:pt idx="133">
                  <c:v>0.17536656301823056</c:v>
                </c:pt>
                <c:pt idx="134">
                  <c:v>0</c:v>
                </c:pt>
                <c:pt idx="135">
                  <c:v>0.22718612648832884</c:v>
                </c:pt>
                <c:pt idx="136">
                  <c:v>0.11195567116318793</c:v>
                </c:pt>
                <c:pt idx="137">
                  <c:v>0.14628002281122041</c:v>
                </c:pt>
                <c:pt idx="138">
                  <c:v>3.6804736735392633E-2</c:v>
                </c:pt>
                <c:pt idx="139">
                  <c:v>0.20808787346810426</c:v>
                </c:pt>
                <c:pt idx="140">
                  <c:v>5.172419089707192E-2</c:v>
                </c:pt>
                <c:pt idx="141">
                  <c:v>0.1496774089045308</c:v>
                </c:pt>
                <c:pt idx="142">
                  <c:v>0.23553367028849717</c:v>
                </c:pt>
                <c:pt idx="143">
                  <c:v>4.9761582531207653E-2</c:v>
                </c:pt>
              </c:numCache>
            </c:numRef>
          </c:xVal>
          <c:yVal>
            <c:numRef>
              <c:f>'graph+_data'!$C$2:$C$1009</c:f>
              <c:numCache>
                <c:formatCode>General</c:formatCode>
                <c:ptCount val="1008"/>
                <c:pt idx="0">
                  <c:v>3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2.85</c:v>
                </c:pt>
                <c:pt idx="9">
                  <c:v>2.85</c:v>
                </c:pt>
                <c:pt idx="10">
                  <c:v>2.85</c:v>
                </c:pt>
                <c:pt idx="11">
                  <c:v>2.85</c:v>
                </c:pt>
                <c:pt idx="12">
                  <c:v>2.85</c:v>
                </c:pt>
                <c:pt idx="13">
                  <c:v>2.85</c:v>
                </c:pt>
                <c:pt idx="14">
                  <c:v>2.85</c:v>
                </c:pt>
                <c:pt idx="15">
                  <c:v>2.85</c:v>
                </c:pt>
                <c:pt idx="16">
                  <c:v>2.85</c:v>
                </c:pt>
                <c:pt idx="17">
                  <c:v>2.85</c:v>
                </c:pt>
                <c:pt idx="18">
                  <c:v>2.85</c:v>
                </c:pt>
                <c:pt idx="19">
                  <c:v>2.85</c:v>
                </c:pt>
                <c:pt idx="20">
                  <c:v>2.85</c:v>
                </c:pt>
                <c:pt idx="21">
                  <c:v>2.85</c:v>
                </c:pt>
                <c:pt idx="22">
                  <c:v>2.85</c:v>
                </c:pt>
                <c:pt idx="23">
                  <c:v>2.85</c:v>
                </c:pt>
                <c:pt idx="24">
                  <c:v>2.85</c:v>
                </c:pt>
                <c:pt idx="25">
                  <c:v>2.85</c:v>
                </c:pt>
                <c:pt idx="26">
                  <c:v>2.85</c:v>
                </c:pt>
                <c:pt idx="27">
                  <c:v>2.85</c:v>
                </c:pt>
                <c:pt idx="28">
                  <c:v>2.85</c:v>
                </c:pt>
                <c:pt idx="29">
                  <c:v>2.85</c:v>
                </c:pt>
                <c:pt idx="30">
                  <c:v>2.85</c:v>
                </c:pt>
                <c:pt idx="31">
                  <c:v>2.85</c:v>
                </c:pt>
                <c:pt idx="32">
                  <c:v>2.85</c:v>
                </c:pt>
                <c:pt idx="33">
                  <c:v>2.85</c:v>
                </c:pt>
                <c:pt idx="34">
                  <c:v>2.85</c:v>
                </c:pt>
                <c:pt idx="35">
                  <c:v>2.85</c:v>
                </c:pt>
                <c:pt idx="36">
                  <c:v>2.85</c:v>
                </c:pt>
                <c:pt idx="37">
                  <c:v>2.85</c:v>
                </c:pt>
                <c:pt idx="38">
                  <c:v>2.85</c:v>
                </c:pt>
                <c:pt idx="39">
                  <c:v>2.85</c:v>
                </c:pt>
                <c:pt idx="40">
                  <c:v>2.85</c:v>
                </c:pt>
                <c:pt idx="41">
                  <c:v>2.85</c:v>
                </c:pt>
                <c:pt idx="42">
                  <c:v>2.85</c:v>
                </c:pt>
                <c:pt idx="43">
                  <c:v>2.85</c:v>
                </c:pt>
                <c:pt idx="44">
                  <c:v>2.85</c:v>
                </c:pt>
                <c:pt idx="45">
                  <c:v>2.85</c:v>
                </c:pt>
                <c:pt idx="46">
                  <c:v>2.85</c:v>
                </c:pt>
                <c:pt idx="47">
                  <c:v>2.85</c:v>
                </c:pt>
                <c:pt idx="48">
                  <c:v>2.85</c:v>
                </c:pt>
                <c:pt idx="49">
                  <c:v>2.85</c:v>
                </c:pt>
                <c:pt idx="50">
                  <c:v>2.85</c:v>
                </c:pt>
                <c:pt idx="51">
                  <c:v>2.85</c:v>
                </c:pt>
                <c:pt idx="52">
                  <c:v>2.85</c:v>
                </c:pt>
                <c:pt idx="53">
                  <c:v>2.85</c:v>
                </c:pt>
                <c:pt idx="54">
                  <c:v>2.85</c:v>
                </c:pt>
                <c:pt idx="55">
                  <c:v>2.85</c:v>
                </c:pt>
                <c:pt idx="56">
                  <c:v>2.85</c:v>
                </c:pt>
                <c:pt idx="57">
                  <c:v>2.85</c:v>
                </c:pt>
                <c:pt idx="58">
                  <c:v>2.85</c:v>
                </c:pt>
                <c:pt idx="59">
                  <c:v>2.85</c:v>
                </c:pt>
                <c:pt idx="60">
                  <c:v>2.85</c:v>
                </c:pt>
                <c:pt idx="61">
                  <c:v>2.85</c:v>
                </c:pt>
                <c:pt idx="62">
                  <c:v>2.85</c:v>
                </c:pt>
                <c:pt idx="63">
                  <c:v>2.85</c:v>
                </c:pt>
                <c:pt idx="64">
                  <c:v>2.85</c:v>
                </c:pt>
                <c:pt idx="65">
                  <c:v>2.85</c:v>
                </c:pt>
                <c:pt idx="66">
                  <c:v>2.85</c:v>
                </c:pt>
                <c:pt idx="67">
                  <c:v>2.85</c:v>
                </c:pt>
                <c:pt idx="68">
                  <c:v>2.85</c:v>
                </c:pt>
                <c:pt idx="69">
                  <c:v>2.85</c:v>
                </c:pt>
                <c:pt idx="70">
                  <c:v>2.85</c:v>
                </c:pt>
                <c:pt idx="71">
                  <c:v>2.85</c:v>
                </c:pt>
                <c:pt idx="72">
                  <c:v>2.85</c:v>
                </c:pt>
                <c:pt idx="73">
                  <c:v>2.85</c:v>
                </c:pt>
                <c:pt idx="74">
                  <c:v>2.85</c:v>
                </c:pt>
                <c:pt idx="75">
                  <c:v>2.85</c:v>
                </c:pt>
                <c:pt idx="76">
                  <c:v>2.95</c:v>
                </c:pt>
                <c:pt idx="77">
                  <c:v>2.95</c:v>
                </c:pt>
                <c:pt idx="78">
                  <c:v>2.95</c:v>
                </c:pt>
                <c:pt idx="79">
                  <c:v>2.95</c:v>
                </c:pt>
                <c:pt idx="80">
                  <c:v>2.95</c:v>
                </c:pt>
                <c:pt idx="81">
                  <c:v>2.95</c:v>
                </c:pt>
                <c:pt idx="82">
                  <c:v>2.95</c:v>
                </c:pt>
                <c:pt idx="83">
                  <c:v>2.95</c:v>
                </c:pt>
                <c:pt idx="84">
                  <c:v>2.95</c:v>
                </c:pt>
                <c:pt idx="85">
                  <c:v>2.95</c:v>
                </c:pt>
                <c:pt idx="86">
                  <c:v>2.95</c:v>
                </c:pt>
                <c:pt idx="87">
                  <c:v>2.95</c:v>
                </c:pt>
                <c:pt idx="88">
                  <c:v>2.95</c:v>
                </c:pt>
                <c:pt idx="89">
                  <c:v>2.95</c:v>
                </c:pt>
                <c:pt idx="90">
                  <c:v>2.95</c:v>
                </c:pt>
                <c:pt idx="91">
                  <c:v>2.95</c:v>
                </c:pt>
                <c:pt idx="92">
                  <c:v>2.95</c:v>
                </c:pt>
                <c:pt idx="93">
                  <c:v>2.95</c:v>
                </c:pt>
                <c:pt idx="94">
                  <c:v>2.95</c:v>
                </c:pt>
                <c:pt idx="95">
                  <c:v>2.95</c:v>
                </c:pt>
                <c:pt idx="96">
                  <c:v>2.95</c:v>
                </c:pt>
                <c:pt idx="97">
                  <c:v>2.95</c:v>
                </c:pt>
                <c:pt idx="98">
                  <c:v>2.95</c:v>
                </c:pt>
                <c:pt idx="99">
                  <c:v>2.95</c:v>
                </c:pt>
                <c:pt idx="100">
                  <c:v>2.95</c:v>
                </c:pt>
                <c:pt idx="101">
                  <c:v>2.95</c:v>
                </c:pt>
                <c:pt idx="102">
                  <c:v>2.95</c:v>
                </c:pt>
                <c:pt idx="103">
                  <c:v>2.95</c:v>
                </c:pt>
                <c:pt idx="104">
                  <c:v>2.95</c:v>
                </c:pt>
                <c:pt idx="105">
                  <c:v>2.95</c:v>
                </c:pt>
                <c:pt idx="106">
                  <c:v>2.95</c:v>
                </c:pt>
                <c:pt idx="107">
                  <c:v>2.95</c:v>
                </c:pt>
                <c:pt idx="108">
                  <c:v>3.05</c:v>
                </c:pt>
                <c:pt idx="109">
                  <c:v>3.05</c:v>
                </c:pt>
                <c:pt idx="110">
                  <c:v>3.05</c:v>
                </c:pt>
                <c:pt idx="111">
                  <c:v>3.05</c:v>
                </c:pt>
                <c:pt idx="112">
                  <c:v>3.05</c:v>
                </c:pt>
                <c:pt idx="113">
                  <c:v>3.05</c:v>
                </c:pt>
                <c:pt idx="114">
                  <c:v>3.05</c:v>
                </c:pt>
                <c:pt idx="115">
                  <c:v>3.05</c:v>
                </c:pt>
                <c:pt idx="116">
                  <c:v>3.05</c:v>
                </c:pt>
                <c:pt idx="117">
                  <c:v>3.05</c:v>
                </c:pt>
                <c:pt idx="118">
                  <c:v>3.05</c:v>
                </c:pt>
                <c:pt idx="119">
                  <c:v>3.05</c:v>
                </c:pt>
                <c:pt idx="120">
                  <c:v>3.05</c:v>
                </c:pt>
                <c:pt idx="121">
                  <c:v>3.05</c:v>
                </c:pt>
                <c:pt idx="122">
                  <c:v>3.05</c:v>
                </c:pt>
                <c:pt idx="123">
                  <c:v>3.05</c:v>
                </c:pt>
                <c:pt idx="124">
                  <c:v>3.05</c:v>
                </c:pt>
                <c:pt idx="125">
                  <c:v>3.05</c:v>
                </c:pt>
                <c:pt idx="126">
                  <c:v>3.15</c:v>
                </c:pt>
                <c:pt idx="127">
                  <c:v>3.15</c:v>
                </c:pt>
                <c:pt idx="128">
                  <c:v>3.15</c:v>
                </c:pt>
                <c:pt idx="129">
                  <c:v>3.15</c:v>
                </c:pt>
                <c:pt idx="130">
                  <c:v>3.15</c:v>
                </c:pt>
                <c:pt idx="131">
                  <c:v>3.15</c:v>
                </c:pt>
                <c:pt idx="132">
                  <c:v>3.15</c:v>
                </c:pt>
                <c:pt idx="133">
                  <c:v>3.15</c:v>
                </c:pt>
                <c:pt idx="134">
                  <c:v>3.15</c:v>
                </c:pt>
                <c:pt idx="135">
                  <c:v>3.15</c:v>
                </c:pt>
                <c:pt idx="136">
                  <c:v>3.15</c:v>
                </c:pt>
                <c:pt idx="137">
                  <c:v>3.15</c:v>
                </c:pt>
                <c:pt idx="138">
                  <c:v>3.15</c:v>
                </c:pt>
                <c:pt idx="139">
                  <c:v>3.15</c:v>
                </c:pt>
                <c:pt idx="140">
                  <c:v>3.15</c:v>
                </c:pt>
                <c:pt idx="141">
                  <c:v>3.15</c:v>
                </c:pt>
                <c:pt idx="142">
                  <c:v>3.15</c:v>
                </c:pt>
                <c:pt idx="143">
                  <c:v>3.15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'graph+_data'!$S$1</c:f>
              <c:strCache>
                <c:ptCount val="1"/>
                <c:pt idx="0">
                  <c:v>Masse coeur (t)
[ 9,7 - 34,5 ]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'graph+_data'!$S$2:$S$1009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0.12144987733090307</c:v>
                </c:pt>
                <c:pt idx="6">
                  <c:v>0.12736248910250694</c:v>
                </c:pt>
                <c:pt idx="7">
                  <c:v>7.210208730336036E-2</c:v>
                </c:pt>
                <c:pt idx="8">
                  <c:v>0.16937617172129882</c:v>
                </c:pt>
                <c:pt idx="9">
                  <c:v>0.33781593078068201</c:v>
                </c:pt>
                <c:pt idx="10">
                  <c:v>1.3385107663346442E-2</c:v>
                </c:pt>
                <c:pt idx="11">
                  <c:v>0.11656218416565643</c:v>
                </c:pt>
                <c:pt idx="12">
                  <c:v>0.10039129705208269</c:v>
                </c:pt>
                <c:pt idx="13">
                  <c:v>0.29896372582299796</c:v>
                </c:pt>
                <c:pt idx="14">
                  <c:v>0.11033786077443196</c:v>
                </c:pt>
                <c:pt idx="15">
                  <c:v>0.45868886797256403</c:v>
                </c:pt>
                <c:pt idx="16">
                  <c:v>6.0121116443055886E-2</c:v>
                </c:pt>
                <c:pt idx="17">
                  <c:v>0.34770805527052656</c:v>
                </c:pt>
                <c:pt idx="18">
                  <c:v>0.32267926853730544</c:v>
                </c:pt>
                <c:pt idx="19">
                  <c:v>2.2183143414828334E-2</c:v>
                </c:pt>
                <c:pt idx="20">
                  <c:v>0.23948753828587088</c:v>
                </c:pt>
                <c:pt idx="21">
                  <c:v>0.28100818179713871</c:v>
                </c:pt>
                <c:pt idx="22">
                  <c:v>0.22649879066788922</c:v>
                </c:pt>
                <c:pt idx="23">
                  <c:v>0.13508066071579755</c:v>
                </c:pt>
                <c:pt idx="24">
                  <c:v>0.10640391499571479</c:v>
                </c:pt>
                <c:pt idx="25">
                  <c:v>0.42788658123548312</c:v>
                </c:pt>
                <c:pt idx="26">
                  <c:v>0.43546178356234166</c:v>
                </c:pt>
                <c:pt idx="27">
                  <c:v>0.18279985457154554</c:v>
                </c:pt>
                <c:pt idx="28">
                  <c:v>0.17177747710562397</c:v>
                </c:pt>
                <c:pt idx="29">
                  <c:v>0.19349627170818631</c:v>
                </c:pt>
                <c:pt idx="30">
                  <c:v>0.39774730552319348</c:v>
                </c:pt>
                <c:pt idx="31">
                  <c:v>7.3227711257011066E-2</c:v>
                </c:pt>
                <c:pt idx="32">
                  <c:v>0.10272372161830531</c:v>
                </c:pt>
                <c:pt idx="33">
                  <c:v>8.3588982347991767E-2</c:v>
                </c:pt>
                <c:pt idx="34">
                  <c:v>0.18044556269624976</c:v>
                </c:pt>
                <c:pt idx="35">
                  <c:v>0.19042761559054425</c:v>
                </c:pt>
                <c:pt idx="36">
                  <c:v>0.20209154663354062</c:v>
                </c:pt>
                <c:pt idx="37">
                  <c:v>0.10267634646689848</c:v>
                </c:pt>
                <c:pt idx="38">
                  <c:v>4.5653733692336211E-2</c:v>
                </c:pt>
                <c:pt idx="39">
                  <c:v>0.34856394222979908</c:v>
                </c:pt>
                <c:pt idx="40">
                  <c:v>6.45237507425689E-2</c:v>
                </c:pt>
                <c:pt idx="41">
                  <c:v>0.28145227863628952</c:v>
                </c:pt>
                <c:pt idx="42">
                  <c:v>4.2343259371839463E-2</c:v>
                </c:pt>
                <c:pt idx="43">
                  <c:v>0.20427273235763638</c:v>
                </c:pt>
                <c:pt idx="44">
                  <c:v>9.5051025328467653E-2</c:v>
                </c:pt>
                <c:pt idx="45">
                  <c:v>0.42535990649374628</c:v>
                </c:pt>
                <c:pt idx="46">
                  <c:v>0.3161701879383082</c:v>
                </c:pt>
                <c:pt idx="47">
                  <c:v>0.19019905760818412</c:v>
                </c:pt>
                <c:pt idx="48">
                  <c:v>8.966139183131773E-2</c:v>
                </c:pt>
                <c:pt idx="49">
                  <c:v>0.10808449123185697</c:v>
                </c:pt>
                <c:pt idx="50">
                  <c:v>2.6202436794552572E-2</c:v>
                </c:pt>
                <c:pt idx="51">
                  <c:v>0.14417018022327283</c:v>
                </c:pt>
                <c:pt idx="52">
                  <c:v>7.9024910891317079E-2</c:v>
                </c:pt>
                <c:pt idx="53">
                  <c:v>0.37057831920195311</c:v>
                </c:pt>
                <c:pt idx="54">
                  <c:v>0.27440579746483762</c:v>
                </c:pt>
                <c:pt idx="55">
                  <c:v>1.6248350910757169E-2</c:v>
                </c:pt>
                <c:pt idx="56">
                  <c:v>0.47799574901440167</c:v>
                </c:pt>
                <c:pt idx="57">
                  <c:v>8.2632414150919542E-2</c:v>
                </c:pt>
                <c:pt idx="58">
                  <c:v>0.3787586697732529</c:v>
                </c:pt>
                <c:pt idx="59">
                  <c:v>0.34166380567363719</c:v>
                </c:pt>
                <c:pt idx="60">
                  <c:v>0.24879476650439364</c:v>
                </c:pt>
                <c:pt idx="61">
                  <c:v>0.28101613792943553</c:v>
                </c:pt>
                <c:pt idx="62">
                  <c:v>0.26321610012575186</c:v>
                </c:pt>
                <c:pt idx="63">
                  <c:v>0.20055890623914854</c:v>
                </c:pt>
                <c:pt idx="64">
                  <c:v>0.17817878827622602</c:v>
                </c:pt>
                <c:pt idx="65">
                  <c:v>0.36145287655168623</c:v>
                </c:pt>
                <c:pt idx="66">
                  <c:v>8.8544760718112805E-2</c:v>
                </c:pt>
                <c:pt idx="67">
                  <c:v>0.26328601765200349</c:v>
                </c:pt>
                <c:pt idx="68">
                  <c:v>9.1289968715523168E-2</c:v>
                </c:pt>
                <c:pt idx="69">
                  <c:v>0.20086871320891486</c:v>
                </c:pt>
                <c:pt idx="70">
                  <c:v>0.10962446091176166</c:v>
                </c:pt>
                <c:pt idx="71">
                  <c:v>0.28443582824783747</c:v>
                </c:pt>
                <c:pt idx="72">
                  <c:v>0.13516528503205366</c:v>
                </c:pt>
                <c:pt idx="73">
                  <c:v>2.5096293310290813E-2</c:v>
                </c:pt>
                <c:pt idx="74">
                  <c:v>0.51613696505859319</c:v>
                </c:pt>
                <c:pt idx="75">
                  <c:v>0.12273443105456669</c:v>
                </c:pt>
                <c:pt idx="76">
                  <c:v>#N/A</c:v>
                </c:pt>
                <c:pt idx="77">
                  <c:v>0.97143989600129388</c:v>
                </c:pt>
                <c:pt idx="78">
                  <c:v>0.83624109877562236</c:v>
                </c:pt>
                <c:pt idx="79">
                  <c:v>0.92082442889435701</c:v>
                </c:pt>
                <c:pt idx="80">
                  <c:v>0.84277236010708301</c:v>
                </c:pt>
                <c:pt idx="81">
                  <c:v>0.83965018091762478</c:v>
                </c:pt>
                <c:pt idx="82">
                  <c:v>0.9018671354837694</c:v>
                </c:pt>
                <c:pt idx="83">
                  <c:v>0.90527380667659374</c:v>
                </c:pt>
                <c:pt idx="84">
                  <c:v>0.82194175918282208</c:v>
                </c:pt>
                <c:pt idx="85">
                  <c:v>0.88804275287963463</c:v>
                </c:pt>
                <c:pt idx="86">
                  <c:v>0.83516099354251183</c:v>
                </c:pt>
                <c:pt idx="87">
                  <c:v>0.67255452602667831</c:v>
                </c:pt>
                <c:pt idx="88">
                  <c:v>0.81165906092564688</c:v>
                </c:pt>
                <c:pt idx="89">
                  <c:v>0.85729832892290359</c:v>
                </c:pt>
                <c:pt idx="90">
                  <c:v>0.92911327217880268</c:v>
                </c:pt>
                <c:pt idx="91">
                  <c:v>0.80465284260552083</c:v>
                </c:pt>
                <c:pt idx="92">
                  <c:v>0.46414243502009578</c:v>
                </c:pt>
                <c:pt idx="93">
                  <c:v>0.78540141339484737</c:v>
                </c:pt>
                <c:pt idx="94">
                  <c:v>0.92404545700023788</c:v>
                </c:pt>
                <c:pt idx="95">
                  <c:v>0.71422778262110576</c:v>
                </c:pt>
                <c:pt idx="96">
                  <c:v>0.75531276761535771</c:v>
                </c:pt>
                <c:pt idx="97">
                  <c:v>0.84415624493700714</c:v>
                </c:pt>
                <c:pt idx="98">
                  <c:v>0.92494956294313246</c:v>
                </c:pt>
                <c:pt idx="99">
                  <c:v>1</c:v>
                </c:pt>
                <c:pt idx="100">
                  <c:v>0.49054232855258056</c:v>
                </c:pt>
                <c:pt idx="101">
                  <c:v>0.51613696505859319</c:v>
                </c:pt>
                <c:pt idx="102">
                  <c:v>0.69439049275943443</c:v>
                </c:pt>
                <c:pt idx="103">
                  <c:v>#N/A</c:v>
                </c:pt>
                <c:pt idx="104">
                  <c:v>0.61333920319093616</c:v>
                </c:pt>
                <c:pt idx="105">
                  <c:v>0.56670421318191166</c:v>
                </c:pt>
                <c:pt idx="106">
                  <c:v>0.61216507093976669</c:v>
                </c:pt>
                <c:pt idx="107">
                  <c:v>0.55609121488693403</c:v>
                </c:pt>
                <c:pt idx="108">
                  <c:v>#N/A</c:v>
                </c:pt>
                <c:pt idx="109">
                  <c:v>0.21246128015614973</c:v>
                </c:pt>
                <c:pt idx="110">
                  <c:v>0.28464823287068713</c:v>
                </c:pt>
                <c:pt idx="111">
                  <c:v>0.20264051976206671</c:v>
                </c:pt>
                <c:pt idx="112">
                  <c:v>0.2954960576158987</c:v>
                </c:pt>
                <c:pt idx="113">
                  <c:v>0.2337258519329998</c:v>
                </c:pt>
                <c:pt idx="114">
                  <c:v>0.16228557017983761</c:v>
                </c:pt>
                <c:pt idx="115">
                  <c:v>3.8717432898461641E-2</c:v>
                </c:pt>
                <c:pt idx="116">
                  <c:v>0</c:v>
                </c:pt>
                <c:pt idx="117">
                  <c:v>0.32692711989939377</c:v>
                </c:pt>
                <c:pt idx="118">
                  <c:v>0.22252144780391347</c:v>
                </c:pt>
                <c:pt idx="119">
                  <c:v>0.18339077821582014</c:v>
                </c:pt>
                <c:pt idx="120">
                  <c:v>0.18102563706921176</c:v>
                </c:pt>
                <c:pt idx="121">
                  <c:v>0.24861008779712199</c:v>
                </c:pt>
                <c:pt idx="122">
                  <c:v>4.4178473888452134E-2</c:v>
                </c:pt>
                <c:pt idx="123">
                  <c:v>3.188986591265032E-2</c:v>
                </c:pt>
                <c:pt idx="124">
                  <c:v>0.12489343604619518</c:v>
                </c:pt>
                <c:pt idx="125">
                  <c:v>3.740925187282481E-2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0.24752829489958833</c:v>
                </c:pt>
                <c:pt idx="132">
                  <c:v>0.19696562757971253</c:v>
                </c:pt>
                <c:pt idx="133">
                  <c:v>1.2702809045109528E-2</c:v>
                </c:pt>
                <c:pt idx="134">
                  <c:v>0.11294641135035915</c:v>
                </c:pt>
                <c:pt idx="135">
                  <c:v>2.404439618259608E-2</c:v>
                </c:pt>
                <c:pt idx="136">
                  <c:v>0.22603998703873404</c:v>
                </c:pt>
                <c:pt idx="137">
                  <c:v>2.7849597275047756E-2</c:v>
                </c:pt>
                <c:pt idx="138">
                  <c:v>0.10377364176766866</c:v>
                </c:pt>
                <c:pt idx="139">
                  <c:v>2.6747552404390813E-2</c:v>
                </c:pt>
                <c:pt idx="140">
                  <c:v>0.1089913938758009</c:v>
                </c:pt>
                <c:pt idx="141">
                  <c:v>1.2571653409660459E-2</c:v>
                </c:pt>
                <c:pt idx="142">
                  <c:v>9.4131600214477265E-2</c:v>
                </c:pt>
                <c:pt idx="143">
                  <c:v>0.2936331171837</c:v>
                </c:pt>
              </c:numCache>
            </c:numRef>
          </c:xVal>
          <c:yVal>
            <c:numRef>
              <c:f>'graph+_data'!$F$2:$F$1009</c:f>
              <c:numCache>
                <c:formatCode>General</c:formatCode>
                <c:ptCount val="1008"/>
                <c:pt idx="0">
                  <c:v>4</c:v>
                </c:pt>
                <c:pt idx="1">
                  <c:v>3.85</c:v>
                </c:pt>
                <c:pt idx="2">
                  <c:v>3.85</c:v>
                </c:pt>
                <c:pt idx="3">
                  <c:v>3.85</c:v>
                </c:pt>
                <c:pt idx="4">
                  <c:v>3.85</c:v>
                </c:pt>
                <c:pt idx="5">
                  <c:v>3.85</c:v>
                </c:pt>
                <c:pt idx="6">
                  <c:v>3.85</c:v>
                </c:pt>
                <c:pt idx="7">
                  <c:v>3.85</c:v>
                </c:pt>
                <c:pt idx="8">
                  <c:v>3.85</c:v>
                </c:pt>
                <c:pt idx="9">
                  <c:v>3.85</c:v>
                </c:pt>
                <c:pt idx="10">
                  <c:v>3.85</c:v>
                </c:pt>
                <c:pt idx="11">
                  <c:v>3.85</c:v>
                </c:pt>
                <c:pt idx="12">
                  <c:v>3.85</c:v>
                </c:pt>
                <c:pt idx="13">
                  <c:v>3.85</c:v>
                </c:pt>
                <c:pt idx="14">
                  <c:v>3.85</c:v>
                </c:pt>
                <c:pt idx="15">
                  <c:v>3.85</c:v>
                </c:pt>
                <c:pt idx="16">
                  <c:v>3.85</c:v>
                </c:pt>
                <c:pt idx="17">
                  <c:v>3.85</c:v>
                </c:pt>
                <c:pt idx="18">
                  <c:v>3.85</c:v>
                </c:pt>
                <c:pt idx="19">
                  <c:v>3.85</c:v>
                </c:pt>
                <c:pt idx="20">
                  <c:v>3.85</c:v>
                </c:pt>
                <c:pt idx="21">
                  <c:v>3.85</c:v>
                </c:pt>
                <c:pt idx="22">
                  <c:v>3.85</c:v>
                </c:pt>
                <c:pt idx="23">
                  <c:v>3.85</c:v>
                </c:pt>
                <c:pt idx="24">
                  <c:v>3.85</c:v>
                </c:pt>
                <c:pt idx="25">
                  <c:v>3.85</c:v>
                </c:pt>
                <c:pt idx="26">
                  <c:v>3.85</c:v>
                </c:pt>
                <c:pt idx="27">
                  <c:v>3.85</c:v>
                </c:pt>
                <c:pt idx="28">
                  <c:v>3.85</c:v>
                </c:pt>
                <c:pt idx="29">
                  <c:v>3.85</c:v>
                </c:pt>
                <c:pt idx="30">
                  <c:v>3.85</c:v>
                </c:pt>
                <c:pt idx="31">
                  <c:v>3.85</c:v>
                </c:pt>
                <c:pt idx="32">
                  <c:v>3.85</c:v>
                </c:pt>
                <c:pt idx="33">
                  <c:v>3.85</c:v>
                </c:pt>
                <c:pt idx="34">
                  <c:v>3.85</c:v>
                </c:pt>
                <c:pt idx="35">
                  <c:v>3.85</c:v>
                </c:pt>
                <c:pt idx="36">
                  <c:v>3.85</c:v>
                </c:pt>
                <c:pt idx="37">
                  <c:v>3.85</c:v>
                </c:pt>
                <c:pt idx="38">
                  <c:v>3.85</c:v>
                </c:pt>
                <c:pt idx="39">
                  <c:v>3.85</c:v>
                </c:pt>
                <c:pt idx="40">
                  <c:v>3.85</c:v>
                </c:pt>
                <c:pt idx="41">
                  <c:v>3.85</c:v>
                </c:pt>
                <c:pt idx="42">
                  <c:v>3.85</c:v>
                </c:pt>
                <c:pt idx="43">
                  <c:v>3.85</c:v>
                </c:pt>
                <c:pt idx="44">
                  <c:v>3.85</c:v>
                </c:pt>
                <c:pt idx="45">
                  <c:v>3.85</c:v>
                </c:pt>
                <c:pt idx="46">
                  <c:v>3.85</c:v>
                </c:pt>
                <c:pt idx="47">
                  <c:v>3.85</c:v>
                </c:pt>
                <c:pt idx="48">
                  <c:v>3.85</c:v>
                </c:pt>
                <c:pt idx="49">
                  <c:v>3.85</c:v>
                </c:pt>
                <c:pt idx="50">
                  <c:v>3.85</c:v>
                </c:pt>
                <c:pt idx="51">
                  <c:v>3.85</c:v>
                </c:pt>
                <c:pt idx="52">
                  <c:v>3.85</c:v>
                </c:pt>
                <c:pt idx="53">
                  <c:v>3.85</c:v>
                </c:pt>
                <c:pt idx="54">
                  <c:v>3.85</c:v>
                </c:pt>
                <c:pt idx="55">
                  <c:v>3.85</c:v>
                </c:pt>
                <c:pt idx="56">
                  <c:v>3.85</c:v>
                </c:pt>
                <c:pt idx="57">
                  <c:v>3.85</c:v>
                </c:pt>
                <c:pt idx="58">
                  <c:v>3.85</c:v>
                </c:pt>
                <c:pt idx="59">
                  <c:v>3.85</c:v>
                </c:pt>
                <c:pt idx="60">
                  <c:v>3.85</c:v>
                </c:pt>
                <c:pt idx="61">
                  <c:v>3.85</c:v>
                </c:pt>
                <c:pt idx="62">
                  <c:v>3.85</c:v>
                </c:pt>
                <c:pt idx="63">
                  <c:v>3.85</c:v>
                </c:pt>
                <c:pt idx="64">
                  <c:v>3.85</c:v>
                </c:pt>
                <c:pt idx="65">
                  <c:v>3.85</c:v>
                </c:pt>
                <c:pt idx="66">
                  <c:v>3.85</c:v>
                </c:pt>
                <c:pt idx="67">
                  <c:v>3.85</c:v>
                </c:pt>
                <c:pt idx="68">
                  <c:v>3.85</c:v>
                </c:pt>
                <c:pt idx="69">
                  <c:v>3.85</c:v>
                </c:pt>
                <c:pt idx="70">
                  <c:v>3.85</c:v>
                </c:pt>
                <c:pt idx="71">
                  <c:v>3.85</c:v>
                </c:pt>
                <c:pt idx="72">
                  <c:v>3.85</c:v>
                </c:pt>
                <c:pt idx="73">
                  <c:v>3.85</c:v>
                </c:pt>
                <c:pt idx="74">
                  <c:v>3.85</c:v>
                </c:pt>
                <c:pt idx="75">
                  <c:v>3.85</c:v>
                </c:pt>
                <c:pt idx="76">
                  <c:v>3.95</c:v>
                </c:pt>
                <c:pt idx="77">
                  <c:v>3.95</c:v>
                </c:pt>
                <c:pt idx="78">
                  <c:v>3.95</c:v>
                </c:pt>
                <c:pt idx="79">
                  <c:v>3.95</c:v>
                </c:pt>
                <c:pt idx="80">
                  <c:v>3.95</c:v>
                </c:pt>
                <c:pt idx="81">
                  <c:v>3.95</c:v>
                </c:pt>
                <c:pt idx="82">
                  <c:v>3.95</c:v>
                </c:pt>
                <c:pt idx="83">
                  <c:v>3.95</c:v>
                </c:pt>
                <c:pt idx="84">
                  <c:v>3.95</c:v>
                </c:pt>
                <c:pt idx="85">
                  <c:v>3.95</c:v>
                </c:pt>
                <c:pt idx="86">
                  <c:v>3.95</c:v>
                </c:pt>
                <c:pt idx="87">
                  <c:v>3.95</c:v>
                </c:pt>
                <c:pt idx="88">
                  <c:v>3.95</c:v>
                </c:pt>
                <c:pt idx="89">
                  <c:v>3.95</c:v>
                </c:pt>
                <c:pt idx="90">
                  <c:v>3.95</c:v>
                </c:pt>
                <c:pt idx="91">
                  <c:v>3.95</c:v>
                </c:pt>
                <c:pt idx="92">
                  <c:v>3.95</c:v>
                </c:pt>
                <c:pt idx="93">
                  <c:v>3.95</c:v>
                </c:pt>
                <c:pt idx="94">
                  <c:v>3.95</c:v>
                </c:pt>
                <c:pt idx="95">
                  <c:v>3.95</c:v>
                </c:pt>
                <c:pt idx="96">
                  <c:v>3.95</c:v>
                </c:pt>
                <c:pt idx="97">
                  <c:v>3.95</c:v>
                </c:pt>
                <c:pt idx="98">
                  <c:v>3.95</c:v>
                </c:pt>
                <c:pt idx="99">
                  <c:v>3.95</c:v>
                </c:pt>
                <c:pt idx="100">
                  <c:v>3.95</c:v>
                </c:pt>
                <c:pt idx="101">
                  <c:v>3.95</c:v>
                </c:pt>
                <c:pt idx="102">
                  <c:v>3.95</c:v>
                </c:pt>
                <c:pt idx="103">
                  <c:v>3.95</c:v>
                </c:pt>
                <c:pt idx="104">
                  <c:v>3.95</c:v>
                </c:pt>
                <c:pt idx="105">
                  <c:v>3.95</c:v>
                </c:pt>
                <c:pt idx="106">
                  <c:v>3.95</c:v>
                </c:pt>
                <c:pt idx="107">
                  <c:v>3.95</c:v>
                </c:pt>
                <c:pt idx="108">
                  <c:v>4.05</c:v>
                </c:pt>
                <c:pt idx="109">
                  <c:v>4.05</c:v>
                </c:pt>
                <c:pt idx="110">
                  <c:v>4.05</c:v>
                </c:pt>
                <c:pt idx="111">
                  <c:v>4.05</c:v>
                </c:pt>
                <c:pt idx="112">
                  <c:v>4.05</c:v>
                </c:pt>
                <c:pt idx="113">
                  <c:v>4.05</c:v>
                </c:pt>
                <c:pt idx="114">
                  <c:v>4.05</c:v>
                </c:pt>
                <c:pt idx="115">
                  <c:v>4.05</c:v>
                </c:pt>
                <c:pt idx="116">
                  <c:v>4.05</c:v>
                </c:pt>
                <c:pt idx="117">
                  <c:v>4.05</c:v>
                </c:pt>
                <c:pt idx="118">
                  <c:v>4.05</c:v>
                </c:pt>
                <c:pt idx="119">
                  <c:v>4.05</c:v>
                </c:pt>
                <c:pt idx="120">
                  <c:v>4.05</c:v>
                </c:pt>
                <c:pt idx="121">
                  <c:v>4.05</c:v>
                </c:pt>
                <c:pt idx="122">
                  <c:v>4.05</c:v>
                </c:pt>
                <c:pt idx="123">
                  <c:v>4.05</c:v>
                </c:pt>
                <c:pt idx="124">
                  <c:v>4.05</c:v>
                </c:pt>
                <c:pt idx="125">
                  <c:v>4.05</c:v>
                </c:pt>
                <c:pt idx="126">
                  <c:v>4.1500000000000004</c:v>
                </c:pt>
                <c:pt idx="127">
                  <c:v>4.1500000000000004</c:v>
                </c:pt>
                <c:pt idx="128">
                  <c:v>4.1500000000000004</c:v>
                </c:pt>
                <c:pt idx="129">
                  <c:v>4.1500000000000004</c:v>
                </c:pt>
                <c:pt idx="130">
                  <c:v>4.1500000000000004</c:v>
                </c:pt>
                <c:pt idx="131">
                  <c:v>4.1500000000000004</c:v>
                </c:pt>
                <c:pt idx="132">
                  <c:v>4.1500000000000004</c:v>
                </c:pt>
                <c:pt idx="133">
                  <c:v>4.1500000000000004</c:v>
                </c:pt>
                <c:pt idx="134">
                  <c:v>4.1500000000000004</c:v>
                </c:pt>
                <c:pt idx="135">
                  <c:v>4.1500000000000004</c:v>
                </c:pt>
                <c:pt idx="136">
                  <c:v>4.1500000000000004</c:v>
                </c:pt>
                <c:pt idx="137">
                  <c:v>4.1500000000000004</c:v>
                </c:pt>
                <c:pt idx="138">
                  <c:v>4.1500000000000004</c:v>
                </c:pt>
                <c:pt idx="139">
                  <c:v>4.1500000000000004</c:v>
                </c:pt>
                <c:pt idx="140">
                  <c:v>4.1500000000000004</c:v>
                </c:pt>
                <c:pt idx="141">
                  <c:v>4.1500000000000004</c:v>
                </c:pt>
                <c:pt idx="142">
                  <c:v>4.1500000000000004</c:v>
                </c:pt>
                <c:pt idx="143">
                  <c:v>4.1500000000000004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'graph+_data'!$T$1</c:f>
              <c:strCache>
                <c:ptCount val="1"/>
                <c:pt idx="0">
                  <c:v>Emoy (%)
[ 13,0 - 20,0 ]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'graph+_data'!$T$2:$T$1009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0.6428571428571429</c:v>
                </c:pt>
                <c:pt idx="8">
                  <c:v>0.35714285714285715</c:v>
                </c:pt>
                <c:pt idx="9">
                  <c:v>0.14285714285714285</c:v>
                </c:pt>
                <c:pt idx="10">
                  <c:v>0.5</c:v>
                </c:pt>
                <c:pt idx="11">
                  <c:v>0.42857142857142855</c:v>
                </c:pt>
                <c:pt idx="12">
                  <c:v>0.35714285714285715</c:v>
                </c:pt>
                <c:pt idx="13">
                  <c:v>0.21428571428571427</c:v>
                </c:pt>
                <c:pt idx="14">
                  <c:v>0.42857142857142855</c:v>
                </c:pt>
                <c:pt idx="15">
                  <c:v>7.1428571428571425E-2</c:v>
                </c:pt>
                <c:pt idx="16">
                  <c:v>0.5714285714285714</c:v>
                </c:pt>
                <c:pt idx="17">
                  <c:v>0.21428571428571427</c:v>
                </c:pt>
                <c:pt idx="18">
                  <c:v>0.21428571428571427</c:v>
                </c:pt>
                <c:pt idx="19">
                  <c:v>0.5714285714285714</c:v>
                </c:pt>
                <c:pt idx="20">
                  <c:v>0.35714285714285715</c:v>
                </c:pt>
                <c:pt idx="21">
                  <c:v>0.35714285714285715</c:v>
                </c:pt>
                <c:pt idx="22">
                  <c:v>0.21428571428571427</c:v>
                </c:pt>
                <c:pt idx="23">
                  <c:v>0.5</c:v>
                </c:pt>
                <c:pt idx="24">
                  <c:v>0.5</c:v>
                </c:pt>
                <c:pt idx="25">
                  <c:v>0.14285714285714285</c:v>
                </c:pt>
                <c:pt idx="26">
                  <c:v>0.14285714285714285</c:v>
                </c:pt>
                <c:pt idx="27">
                  <c:v>0.2857142857142857</c:v>
                </c:pt>
                <c:pt idx="28">
                  <c:v>0.35714285714285715</c:v>
                </c:pt>
                <c:pt idx="29">
                  <c:v>0.2857142857142857</c:v>
                </c:pt>
                <c:pt idx="30">
                  <c:v>0.21428571428571427</c:v>
                </c:pt>
                <c:pt idx="31">
                  <c:v>0.42857142857142855</c:v>
                </c:pt>
                <c:pt idx="32">
                  <c:v>0.42857142857142855</c:v>
                </c:pt>
                <c:pt idx="33">
                  <c:v>0.5714285714285714</c:v>
                </c:pt>
                <c:pt idx="34">
                  <c:v>0.35714285714285715</c:v>
                </c:pt>
                <c:pt idx="35">
                  <c:v>0.2857142857142857</c:v>
                </c:pt>
                <c:pt idx="36">
                  <c:v>0.2857142857142857</c:v>
                </c:pt>
                <c:pt idx="37">
                  <c:v>0.35714285714285715</c:v>
                </c:pt>
                <c:pt idx="38">
                  <c:v>0.5714285714285714</c:v>
                </c:pt>
                <c:pt idx="39">
                  <c:v>0.21428571428571427</c:v>
                </c:pt>
                <c:pt idx="40">
                  <c:v>0.5</c:v>
                </c:pt>
                <c:pt idx="41">
                  <c:v>0.35714285714285715</c:v>
                </c:pt>
                <c:pt idx="42">
                  <c:v>0.42857142857142855</c:v>
                </c:pt>
                <c:pt idx="43">
                  <c:v>0.35714285714285715</c:v>
                </c:pt>
                <c:pt idx="44">
                  <c:v>0.5</c:v>
                </c:pt>
                <c:pt idx="45">
                  <c:v>0.14285714285714285</c:v>
                </c:pt>
                <c:pt idx="46">
                  <c:v>0.21428571428571427</c:v>
                </c:pt>
                <c:pt idx="47">
                  <c:v>0.35714285714285715</c:v>
                </c:pt>
                <c:pt idx="48">
                  <c:v>0.42857142857142855</c:v>
                </c:pt>
                <c:pt idx="49">
                  <c:v>0.35714285714285715</c:v>
                </c:pt>
                <c:pt idx="50">
                  <c:v>0.5714285714285714</c:v>
                </c:pt>
                <c:pt idx="51">
                  <c:v>0.2857142857142857</c:v>
                </c:pt>
                <c:pt idx="52">
                  <c:v>0.6428571428571429</c:v>
                </c:pt>
                <c:pt idx="53">
                  <c:v>0.14285714285714285</c:v>
                </c:pt>
                <c:pt idx="54">
                  <c:v>0.2857142857142857</c:v>
                </c:pt>
                <c:pt idx="55">
                  <c:v>0.5</c:v>
                </c:pt>
                <c:pt idx="56">
                  <c:v>0.21428571428571427</c:v>
                </c:pt>
                <c:pt idx="57">
                  <c:v>0.5</c:v>
                </c:pt>
                <c:pt idx="58">
                  <c:v>0.21428571428571427</c:v>
                </c:pt>
                <c:pt idx="59">
                  <c:v>0.14285714285714285</c:v>
                </c:pt>
                <c:pt idx="60">
                  <c:v>0.35714285714285715</c:v>
                </c:pt>
                <c:pt idx="61">
                  <c:v>0.35714285714285715</c:v>
                </c:pt>
                <c:pt idx="62">
                  <c:v>0.35714285714285715</c:v>
                </c:pt>
                <c:pt idx="63">
                  <c:v>0.35714285714285715</c:v>
                </c:pt>
                <c:pt idx="64">
                  <c:v>0.35714285714285715</c:v>
                </c:pt>
                <c:pt idx="65">
                  <c:v>0.21428571428571427</c:v>
                </c:pt>
                <c:pt idx="66">
                  <c:v>0.5714285714285714</c:v>
                </c:pt>
                <c:pt idx="67">
                  <c:v>0.2857142857142857</c:v>
                </c:pt>
                <c:pt idx="68">
                  <c:v>0.42857142857142855</c:v>
                </c:pt>
                <c:pt idx="69">
                  <c:v>0.2857142857142857</c:v>
                </c:pt>
                <c:pt idx="70">
                  <c:v>0.5</c:v>
                </c:pt>
                <c:pt idx="71">
                  <c:v>0.2857142857142857</c:v>
                </c:pt>
                <c:pt idx="72">
                  <c:v>0.42857142857142855</c:v>
                </c:pt>
                <c:pt idx="73">
                  <c:v>0.5</c:v>
                </c:pt>
                <c:pt idx="74">
                  <c:v>0.14285714285714285</c:v>
                </c:pt>
                <c:pt idx="75">
                  <c:v>0.42857142857142855</c:v>
                </c:pt>
                <c:pt idx="76">
                  <c:v>#N/A</c:v>
                </c:pt>
                <c:pt idx="77">
                  <c:v>7.1428571428571425E-2</c:v>
                </c:pt>
                <c:pt idx="78">
                  <c:v>7.1428571428571425E-2</c:v>
                </c:pt>
                <c:pt idx="79">
                  <c:v>0.14285714285714285</c:v>
                </c:pt>
                <c:pt idx="80">
                  <c:v>7.1428571428571425E-2</c:v>
                </c:pt>
                <c:pt idx="81">
                  <c:v>0.14285714285714285</c:v>
                </c:pt>
                <c:pt idx="82">
                  <c:v>7.1428571428571425E-2</c:v>
                </c:pt>
                <c:pt idx="83">
                  <c:v>0</c:v>
                </c:pt>
                <c:pt idx="84">
                  <c:v>7.1428571428571425E-2</c:v>
                </c:pt>
                <c:pt idx="85">
                  <c:v>7.1428571428571425E-2</c:v>
                </c:pt>
                <c:pt idx="86">
                  <c:v>0.14285714285714285</c:v>
                </c:pt>
                <c:pt idx="87">
                  <c:v>0.14285714285714285</c:v>
                </c:pt>
                <c:pt idx="88">
                  <c:v>7.1428571428571425E-2</c:v>
                </c:pt>
                <c:pt idx="89">
                  <c:v>0.14285714285714285</c:v>
                </c:pt>
                <c:pt idx="90">
                  <c:v>7.1428571428571425E-2</c:v>
                </c:pt>
                <c:pt idx="91">
                  <c:v>0.14285714285714285</c:v>
                </c:pt>
                <c:pt idx="92">
                  <c:v>0.2857142857142857</c:v>
                </c:pt>
                <c:pt idx="93">
                  <c:v>7.1428571428571425E-2</c:v>
                </c:pt>
                <c:pt idx="94">
                  <c:v>0.21428571428571427</c:v>
                </c:pt>
                <c:pt idx="95">
                  <c:v>0.14285714285714285</c:v>
                </c:pt>
                <c:pt idx="96">
                  <c:v>0.14285714285714285</c:v>
                </c:pt>
                <c:pt idx="97">
                  <c:v>7.1428571428571425E-2</c:v>
                </c:pt>
                <c:pt idx="98">
                  <c:v>0</c:v>
                </c:pt>
                <c:pt idx="99">
                  <c:v>7.1428571428571425E-2</c:v>
                </c:pt>
                <c:pt idx="100">
                  <c:v>0.21428571428571427</c:v>
                </c:pt>
                <c:pt idx="101">
                  <c:v>0.14285714285714285</c:v>
                </c:pt>
                <c:pt idx="102">
                  <c:v>7.1428571428571425E-2</c:v>
                </c:pt>
                <c:pt idx="103">
                  <c:v>#N/A</c:v>
                </c:pt>
                <c:pt idx="104">
                  <c:v>0.21428571428571427</c:v>
                </c:pt>
                <c:pt idx="105">
                  <c:v>0.21428571428571427</c:v>
                </c:pt>
                <c:pt idx="106">
                  <c:v>0.21428571428571427</c:v>
                </c:pt>
                <c:pt idx="107">
                  <c:v>0.21428571428571427</c:v>
                </c:pt>
                <c:pt idx="108">
                  <c:v>#N/A</c:v>
                </c:pt>
                <c:pt idx="109">
                  <c:v>0.6428571428571429</c:v>
                </c:pt>
                <c:pt idx="110">
                  <c:v>0.5714285714285714</c:v>
                </c:pt>
                <c:pt idx="111">
                  <c:v>0.7857142857142857</c:v>
                </c:pt>
                <c:pt idx="112">
                  <c:v>0.5714285714285714</c:v>
                </c:pt>
                <c:pt idx="113">
                  <c:v>0.6428571428571429</c:v>
                </c:pt>
                <c:pt idx="114">
                  <c:v>0.7142857142857143</c:v>
                </c:pt>
                <c:pt idx="115">
                  <c:v>0.9285714285714286</c:v>
                </c:pt>
                <c:pt idx="116">
                  <c:v>1</c:v>
                </c:pt>
                <c:pt idx="117">
                  <c:v>0.5</c:v>
                </c:pt>
                <c:pt idx="118">
                  <c:v>0.6428571428571429</c:v>
                </c:pt>
                <c:pt idx="119">
                  <c:v>0.7857142857142857</c:v>
                </c:pt>
                <c:pt idx="120">
                  <c:v>0.7142857142857143</c:v>
                </c:pt>
                <c:pt idx="121">
                  <c:v>0.6428571428571429</c:v>
                </c:pt>
                <c:pt idx="122">
                  <c:v>0.9285714285714286</c:v>
                </c:pt>
                <c:pt idx="123">
                  <c:v>0.9285714285714286</c:v>
                </c:pt>
                <c:pt idx="124">
                  <c:v>0.7857142857142857</c:v>
                </c:pt>
                <c:pt idx="125">
                  <c:v>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0.6428571428571429</c:v>
                </c:pt>
                <c:pt idx="132">
                  <c:v>0.6428571428571429</c:v>
                </c:pt>
                <c:pt idx="133">
                  <c:v>1</c:v>
                </c:pt>
                <c:pt idx="134">
                  <c:v>0.8571428571428571</c:v>
                </c:pt>
                <c:pt idx="135">
                  <c:v>0.9285714285714286</c:v>
                </c:pt>
                <c:pt idx="136">
                  <c:v>0.7142857142857143</c:v>
                </c:pt>
                <c:pt idx="137">
                  <c:v>0.9285714285714286</c:v>
                </c:pt>
                <c:pt idx="138">
                  <c:v>0.7857142857142857</c:v>
                </c:pt>
                <c:pt idx="139">
                  <c:v>0.9285714285714286</c:v>
                </c:pt>
                <c:pt idx="140">
                  <c:v>0.9285714285714286</c:v>
                </c:pt>
                <c:pt idx="141">
                  <c:v>1</c:v>
                </c:pt>
                <c:pt idx="142">
                  <c:v>0.8571428571428571</c:v>
                </c:pt>
                <c:pt idx="143">
                  <c:v>0.5</c:v>
                </c:pt>
              </c:numCache>
            </c:numRef>
          </c:xVal>
          <c:yVal>
            <c:numRef>
              <c:f>'graph+_data'!$G$2:$G$1009</c:f>
              <c:numCache>
                <c:formatCode>General</c:formatCode>
                <c:ptCount val="1008"/>
                <c:pt idx="0">
                  <c:v>5</c:v>
                </c:pt>
                <c:pt idx="1">
                  <c:v>4.8499999999999996</c:v>
                </c:pt>
                <c:pt idx="2">
                  <c:v>4.8499999999999996</c:v>
                </c:pt>
                <c:pt idx="3">
                  <c:v>4.8499999999999996</c:v>
                </c:pt>
                <c:pt idx="4">
                  <c:v>4.8499999999999996</c:v>
                </c:pt>
                <c:pt idx="5">
                  <c:v>4.8499999999999996</c:v>
                </c:pt>
                <c:pt idx="6">
                  <c:v>4.8499999999999996</c:v>
                </c:pt>
                <c:pt idx="7">
                  <c:v>4.8499999999999996</c:v>
                </c:pt>
                <c:pt idx="8">
                  <c:v>4.8499999999999996</c:v>
                </c:pt>
                <c:pt idx="9">
                  <c:v>4.8499999999999996</c:v>
                </c:pt>
                <c:pt idx="10">
                  <c:v>4.8499999999999996</c:v>
                </c:pt>
                <c:pt idx="11">
                  <c:v>4.8499999999999996</c:v>
                </c:pt>
                <c:pt idx="12">
                  <c:v>4.8499999999999996</c:v>
                </c:pt>
                <c:pt idx="13">
                  <c:v>4.8499999999999996</c:v>
                </c:pt>
                <c:pt idx="14">
                  <c:v>4.8499999999999996</c:v>
                </c:pt>
                <c:pt idx="15">
                  <c:v>4.8499999999999996</c:v>
                </c:pt>
                <c:pt idx="16">
                  <c:v>4.8499999999999996</c:v>
                </c:pt>
                <c:pt idx="17">
                  <c:v>4.8499999999999996</c:v>
                </c:pt>
                <c:pt idx="18">
                  <c:v>4.8499999999999996</c:v>
                </c:pt>
                <c:pt idx="19">
                  <c:v>4.8499999999999996</c:v>
                </c:pt>
                <c:pt idx="20">
                  <c:v>4.8499999999999996</c:v>
                </c:pt>
                <c:pt idx="21">
                  <c:v>4.8499999999999996</c:v>
                </c:pt>
                <c:pt idx="22">
                  <c:v>4.8499999999999996</c:v>
                </c:pt>
                <c:pt idx="23">
                  <c:v>4.8499999999999996</c:v>
                </c:pt>
                <c:pt idx="24">
                  <c:v>4.8499999999999996</c:v>
                </c:pt>
                <c:pt idx="25">
                  <c:v>4.8499999999999996</c:v>
                </c:pt>
                <c:pt idx="26">
                  <c:v>4.8499999999999996</c:v>
                </c:pt>
                <c:pt idx="27">
                  <c:v>4.8499999999999996</c:v>
                </c:pt>
                <c:pt idx="28">
                  <c:v>4.8499999999999996</c:v>
                </c:pt>
                <c:pt idx="29">
                  <c:v>4.8499999999999996</c:v>
                </c:pt>
                <c:pt idx="30">
                  <c:v>4.8499999999999996</c:v>
                </c:pt>
                <c:pt idx="31">
                  <c:v>4.8499999999999996</c:v>
                </c:pt>
                <c:pt idx="32">
                  <c:v>4.8499999999999996</c:v>
                </c:pt>
                <c:pt idx="33">
                  <c:v>4.8499999999999996</c:v>
                </c:pt>
                <c:pt idx="34">
                  <c:v>4.8499999999999996</c:v>
                </c:pt>
                <c:pt idx="35">
                  <c:v>4.8499999999999996</c:v>
                </c:pt>
                <c:pt idx="36">
                  <c:v>4.8499999999999996</c:v>
                </c:pt>
                <c:pt idx="37">
                  <c:v>4.8499999999999996</c:v>
                </c:pt>
                <c:pt idx="38">
                  <c:v>4.8499999999999996</c:v>
                </c:pt>
                <c:pt idx="39">
                  <c:v>4.8499999999999996</c:v>
                </c:pt>
                <c:pt idx="40">
                  <c:v>4.8499999999999996</c:v>
                </c:pt>
                <c:pt idx="41">
                  <c:v>4.8499999999999996</c:v>
                </c:pt>
                <c:pt idx="42">
                  <c:v>4.8499999999999996</c:v>
                </c:pt>
                <c:pt idx="43">
                  <c:v>4.8499999999999996</c:v>
                </c:pt>
                <c:pt idx="44">
                  <c:v>4.8499999999999996</c:v>
                </c:pt>
                <c:pt idx="45">
                  <c:v>4.8499999999999996</c:v>
                </c:pt>
                <c:pt idx="46">
                  <c:v>4.8499999999999996</c:v>
                </c:pt>
                <c:pt idx="47">
                  <c:v>4.8499999999999996</c:v>
                </c:pt>
                <c:pt idx="48">
                  <c:v>4.8499999999999996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4.8499999999999996</c:v>
                </c:pt>
                <c:pt idx="52">
                  <c:v>4.8499999999999996</c:v>
                </c:pt>
                <c:pt idx="53">
                  <c:v>4.8499999999999996</c:v>
                </c:pt>
                <c:pt idx="54">
                  <c:v>4.8499999999999996</c:v>
                </c:pt>
                <c:pt idx="55">
                  <c:v>4.8499999999999996</c:v>
                </c:pt>
                <c:pt idx="56">
                  <c:v>4.8499999999999996</c:v>
                </c:pt>
                <c:pt idx="57">
                  <c:v>4.8499999999999996</c:v>
                </c:pt>
                <c:pt idx="58">
                  <c:v>4.8499999999999996</c:v>
                </c:pt>
                <c:pt idx="59">
                  <c:v>4.8499999999999996</c:v>
                </c:pt>
                <c:pt idx="60">
                  <c:v>4.8499999999999996</c:v>
                </c:pt>
                <c:pt idx="61">
                  <c:v>4.8499999999999996</c:v>
                </c:pt>
                <c:pt idx="62">
                  <c:v>4.8499999999999996</c:v>
                </c:pt>
                <c:pt idx="63">
                  <c:v>4.8499999999999996</c:v>
                </c:pt>
                <c:pt idx="64">
                  <c:v>4.8499999999999996</c:v>
                </c:pt>
                <c:pt idx="65">
                  <c:v>4.8499999999999996</c:v>
                </c:pt>
                <c:pt idx="66">
                  <c:v>4.8499999999999996</c:v>
                </c:pt>
                <c:pt idx="67">
                  <c:v>4.8499999999999996</c:v>
                </c:pt>
                <c:pt idx="68">
                  <c:v>4.8499999999999996</c:v>
                </c:pt>
                <c:pt idx="69">
                  <c:v>4.8499999999999996</c:v>
                </c:pt>
                <c:pt idx="70">
                  <c:v>4.8499999999999996</c:v>
                </c:pt>
                <c:pt idx="71">
                  <c:v>4.8499999999999996</c:v>
                </c:pt>
                <c:pt idx="72">
                  <c:v>4.8499999999999996</c:v>
                </c:pt>
                <c:pt idx="73">
                  <c:v>4.8499999999999996</c:v>
                </c:pt>
                <c:pt idx="74">
                  <c:v>4.8499999999999996</c:v>
                </c:pt>
                <c:pt idx="75">
                  <c:v>4.8499999999999996</c:v>
                </c:pt>
                <c:pt idx="76">
                  <c:v>4.95</c:v>
                </c:pt>
                <c:pt idx="77">
                  <c:v>4.95</c:v>
                </c:pt>
                <c:pt idx="78">
                  <c:v>4.95</c:v>
                </c:pt>
                <c:pt idx="79">
                  <c:v>4.95</c:v>
                </c:pt>
                <c:pt idx="80">
                  <c:v>4.95</c:v>
                </c:pt>
                <c:pt idx="81">
                  <c:v>4.95</c:v>
                </c:pt>
                <c:pt idx="82">
                  <c:v>4.95</c:v>
                </c:pt>
                <c:pt idx="83">
                  <c:v>4.95</c:v>
                </c:pt>
                <c:pt idx="84">
                  <c:v>4.95</c:v>
                </c:pt>
                <c:pt idx="85">
                  <c:v>4.95</c:v>
                </c:pt>
                <c:pt idx="86">
                  <c:v>4.95</c:v>
                </c:pt>
                <c:pt idx="87">
                  <c:v>4.95</c:v>
                </c:pt>
                <c:pt idx="88">
                  <c:v>4.95</c:v>
                </c:pt>
                <c:pt idx="89">
                  <c:v>4.95</c:v>
                </c:pt>
                <c:pt idx="90">
                  <c:v>4.95</c:v>
                </c:pt>
                <c:pt idx="91">
                  <c:v>4.95</c:v>
                </c:pt>
                <c:pt idx="92">
                  <c:v>4.95</c:v>
                </c:pt>
                <c:pt idx="93">
                  <c:v>4.95</c:v>
                </c:pt>
                <c:pt idx="94">
                  <c:v>4.95</c:v>
                </c:pt>
                <c:pt idx="95">
                  <c:v>4.95</c:v>
                </c:pt>
                <c:pt idx="96">
                  <c:v>4.95</c:v>
                </c:pt>
                <c:pt idx="97">
                  <c:v>4.95</c:v>
                </c:pt>
                <c:pt idx="98">
                  <c:v>4.95</c:v>
                </c:pt>
                <c:pt idx="99">
                  <c:v>4.95</c:v>
                </c:pt>
                <c:pt idx="100">
                  <c:v>4.95</c:v>
                </c:pt>
                <c:pt idx="101">
                  <c:v>4.95</c:v>
                </c:pt>
                <c:pt idx="102">
                  <c:v>4.95</c:v>
                </c:pt>
                <c:pt idx="103">
                  <c:v>4.95</c:v>
                </c:pt>
                <c:pt idx="104">
                  <c:v>4.95</c:v>
                </c:pt>
                <c:pt idx="105">
                  <c:v>4.95</c:v>
                </c:pt>
                <c:pt idx="106">
                  <c:v>4.95</c:v>
                </c:pt>
                <c:pt idx="107">
                  <c:v>4.95</c:v>
                </c:pt>
                <c:pt idx="108">
                  <c:v>5.05</c:v>
                </c:pt>
                <c:pt idx="109">
                  <c:v>5.05</c:v>
                </c:pt>
                <c:pt idx="110">
                  <c:v>5.05</c:v>
                </c:pt>
                <c:pt idx="111">
                  <c:v>5.05</c:v>
                </c:pt>
                <c:pt idx="112">
                  <c:v>5.05</c:v>
                </c:pt>
                <c:pt idx="113">
                  <c:v>5.05</c:v>
                </c:pt>
                <c:pt idx="114">
                  <c:v>5.05</c:v>
                </c:pt>
                <c:pt idx="115">
                  <c:v>5.05</c:v>
                </c:pt>
                <c:pt idx="116">
                  <c:v>5.05</c:v>
                </c:pt>
                <c:pt idx="117">
                  <c:v>5.05</c:v>
                </c:pt>
                <c:pt idx="118">
                  <c:v>5.05</c:v>
                </c:pt>
                <c:pt idx="119">
                  <c:v>5.05</c:v>
                </c:pt>
                <c:pt idx="120">
                  <c:v>5.05</c:v>
                </c:pt>
                <c:pt idx="121">
                  <c:v>5.05</c:v>
                </c:pt>
                <c:pt idx="122">
                  <c:v>5.05</c:v>
                </c:pt>
                <c:pt idx="123">
                  <c:v>5.05</c:v>
                </c:pt>
                <c:pt idx="124">
                  <c:v>5.05</c:v>
                </c:pt>
                <c:pt idx="125">
                  <c:v>5.05</c:v>
                </c:pt>
                <c:pt idx="126">
                  <c:v>5.15</c:v>
                </c:pt>
                <c:pt idx="127">
                  <c:v>5.15</c:v>
                </c:pt>
                <c:pt idx="128">
                  <c:v>5.15</c:v>
                </c:pt>
                <c:pt idx="129">
                  <c:v>5.15</c:v>
                </c:pt>
                <c:pt idx="130">
                  <c:v>5.15</c:v>
                </c:pt>
                <c:pt idx="131">
                  <c:v>5.15</c:v>
                </c:pt>
                <c:pt idx="132">
                  <c:v>5.15</c:v>
                </c:pt>
                <c:pt idx="133">
                  <c:v>5.15</c:v>
                </c:pt>
                <c:pt idx="134">
                  <c:v>5.15</c:v>
                </c:pt>
                <c:pt idx="135">
                  <c:v>5.15</c:v>
                </c:pt>
                <c:pt idx="136">
                  <c:v>5.15</c:v>
                </c:pt>
                <c:pt idx="137">
                  <c:v>5.15</c:v>
                </c:pt>
                <c:pt idx="138">
                  <c:v>5.15</c:v>
                </c:pt>
                <c:pt idx="139">
                  <c:v>5.15</c:v>
                </c:pt>
                <c:pt idx="140">
                  <c:v>5.15</c:v>
                </c:pt>
                <c:pt idx="141">
                  <c:v>5.15</c:v>
                </c:pt>
                <c:pt idx="142">
                  <c:v>5.15</c:v>
                </c:pt>
                <c:pt idx="143">
                  <c:v>5.15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'graph+_data'!$U$1</c:f>
              <c:strCache>
                <c:ptCount val="1"/>
                <c:pt idx="0">
                  <c:v>Tcycle (j)
[ 997 - 8357 ]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'graph+_data'!$U$2:$U$1009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6.0042494902147178E-2</c:v>
                </c:pt>
                <c:pt idx="6">
                  <c:v>7.408698261057077E-2</c:v>
                </c:pt>
                <c:pt idx="7">
                  <c:v>3.0870561212891515E-2</c:v>
                </c:pt>
                <c:pt idx="8">
                  <c:v>0.12178198677595169</c:v>
                </c:pt>
                <c:pt idx="9">
                  <c:v>0.27851471933240857</c:v>
                </c:pt>
                <c:pt idx="10">
                  <c:v>0</c:v>
                </c:pt>
                <c:pt idx="11">
                  <c:v>6.7657172641892332E-2</c:v>
                </c:pt>
                <c:pt idx="12">
                  <c:v>4.0829157421776632E-2</c:v>
                </c:pt>
                <c:pt idx="13">
                  <c:v>0.17923992091279387</c:v>
                </c:pt>
                <c:pt idx="14">
                  <c:v>6.0731403113077002E-2</c:v>
                </c:pt>
                <c:pt idx="15">
                  <c:v>0.2628818022382316</c:v>
                </c:pt>
                <c:pt idx="16">
                  <c:v>2.9869130539409698E-2</c:v>
                </c:pt>
                <c:pt idx="17">
                  <c:v>0.33149271190823365</c:v>
                </c:pt>
                <c:pt idx="18">
                  <c:v>0.23918580561021302</c:v>
                </c:pt>
                <c:pt idx="19">
                  <c:v>2.0447257690124725E-2</c:v>
                </c:pt>
                <c:pt idx="20">
                  <c:v>0.21035221145650282</c:v>
                </c:pt>
                <c:pt idx="21">
                  <c:v>0.26209234332195885</c:v>
                </c:pt>
                <c:pt idx="22">
                  <c:v>0.14309330113536692</c:v>
                </c:pt>
                <c:pt idx="23">
                  <c:v>0.10325483991988012</c:v>
                </c:pt>
                <c:pt idx="24">
                  <c:v>7.4085623817255336E-2</c:v>
                </c:pt>
                <c:pt idx="25">
                  <c:v>0.33369803345919835</c:v>
                </c:pt>
                <c:pt idx="26">
                  <c:v>0.39750832634573874</c:v>
                </c:pt>
                <c:pt idx="27">
                  <c:v>0.12551459201347487</c:v>
                </c:pt>
                <c:pt idx="28">
                  <c:v>0.12692094309495888</c:v>
                </c:pt>
                <c:pt idx="29">
                  <c:v>0.16374560073679212</c:v>
                </c:pt>
                <c:pt idx="30">
                  <c:v>0.39584923970758229</c:v>
                </c:pt>
                <c:pt idx="31">
                  <c:v>3.6194313422799003E-2</c:v>
                </c:pt>
                <c:pt idx="32">
                  <c:v>5.2393847329515943E-2</c:v>
                </c:pt>
                <c:pt idx="33">
                  <c:v>4.7364953269059699E-2</c:v>
                </c:pt>
                <c:pt idx="34">
                  <c:v>0.1519621451052664</c:v>
                </c:pt>
                <c:pt idx="35">
                  <c:v>0.14650251356381458</c:v>
                </c:pt>
                <c:pt idx="36">
                  <c:v>0.17132087347038941</c:v>
                </c:pt>
                <c:pt idx="37">
                  <c:v>4.8256321683990598E-2</c:v>
                </c:pt>
                <c:pt idx="38">
                  <c:v>2.7824146599667296E-2</c:v>
                </c:pt>
                <c:pt idx="39">
                  <c:v>0.33223461305846574</c:v>
                </c:pt>
                <c:pt idx="40">
                  <c:v>2.2955590150433358E-2</c:v>
                </c:pt>
                <c:pt idx="41">
                  <c:v>0.26559938886911849</c:v>
                </c:pt>
                <c:pt idx="42">
                  <c:v>2.2927055490809041E-2</c:v>
                </c:pt>
                <c:pt idx="43">
                  <c:v>0.20277557992959006</c:v>
                </c:pt>
                <c:pt idx="44">
                  <c:v>6.8265912047210997E-2</c:v>
                </c:pt>
                <c:pt idx="45">
                  <c:v>0.32726822349051993</c:v>
                </c:pt>
                <c:pt idx="46">
                  <c:v>0.21801037058234218</c:v>
                </c:pt>
                <c:pt idx="47">
                  <c:v>0.15736334853415415</c:v>
                </c:pt>
                <c:pt idx="48">
                  <c:v>4.2139034177864146E-2</c:v>
                </c:pt>
                <c:pt idx="49">
                  <c:v>5.4800270291166318E-2</c:v>
                </c:pt>
                <c:pt idx="50">
                  <c:v>2.3158050354434433E-2</c:v>
                </c:pt>
                <c:pt idx="51">
                  <c:v>0.11628702660829836</c:v>
                </c:pt>
                <c:pt idx="52">
                  <c:v>3.7411792233436346E-2</c:v>
                </c:pt>
                <c:pt idx="53">
                  <c:v>0.2970622480882118</c:v>
                </c:pt>
                <c:pt idx="54">
                  <c:v>0.1870095010904996</c:v>
                </c:pt>
                <c:pt idx="55">
                  <c:v>1.6048707848702608E-3</c:v>
                </c:pt>
                <c:pt idx="56">
                  <c:v>0.40668018122498212</c:v>
                </c:pt>
                <c:pt idx="57">
                  <c:v>3.7793613155075956E-2</c:v>
                </c:pt>
                <c:pt idx="58">
                  <c:v>0.3928666883801839</c:v>
                </c:pt>
                <c:pt idx="59">
                  <c:v>0.28893938164849081</c:v>
                </c:pt>
                <c:pt idx="60">
                  <c:v>0.21869384362001021</c:v>
                </c:pt>
                <c:pt idx="61">
                  <c:v>0.26258150891551857</c:v>
                </c:pt>
                <c:pt idx="62">
                  <c:v>0.25212967073312748</c:v>
                </c:pt>
                <c:pt idx="63">
                  <c:v>0.19262267627659654</c:v>
                </c:pt>
                <c:pt idx="64">
                  <c:v>0.14516817852804909</c:v>
                </c:pt>
                <c:pt idx="65">
                  <c:v>0.33941311814395364</c:v>
                </c:pt>
                <c:pt idx="66">
                  <c:v>5.1567700993726297E-2</c:v>
                </c:pt>
                <c:pt idx="67">
                  <c:v>0.17904968984863182</c:v>
                </c:pt>
                <c:pt idx="68">
                  <c:v>5.1934575188896041E-2</c:v>
                </c:pt>
                <c:pt idx="69">
                  <c:v>0.16961287027287694</c:v>
                </c:pt>
                <c:pt idx="70">
                  <c:v>8.8058095479960463E-2</c:v>
                </c:pt>
                <c:pt idx="71">
                  <c:v>0.23243260283245906</c:v>
                </c:pt>
                <c:pt idx="72">
                  <c:v>8.3877088448340936E-2</c:v>
                </c:pt>
                <c:pt idx="73">
                  <c:v>1.6067866834450446E-2</c:v>
                </c:pt>
                <c:pt idx="74">
                  <c:v>0.45214132917977395</c:v>
                </c:pt>
                <c:pt idx="75">
                  <c:v>6.9426321538599706E-2</c:v>
                </c:pt>
                <c:pt idx="76">
                  <c:v>#N/A</c:v>
                </c:pt>
                <c:pt idx="77">
                  <c:v>0.85445013642964285</c:v>
                </c:pt>
                <c:pt idx="78">
                  <c:v>0.77028919605770574</c:v>
                </c:pt>
                <c:pt idx="79">
                  <c:v>0.87172991102213737</c:v>
                </c:pt>
                <c:pt idx="80">
                  <c:v>0.78005348482248249</c:v>
                </c:pt>
                <c:pt idx="81">
                  <c:v>0.82565187090213421</c:v>
                </c:pt>
                <c:pt idx="82">
                  <c:v>0.8244751558909601</c:v>
                </c:pt>
                <c:pt idx="83">
                  <c:v>0.83468920524314849</c:v>
                </c:pt>
                <c:pt idx="84">
                  <c:v>0.76334304462915881</c:v>
                </c:pt>
                <c:pt idx="85">
                  <c:v>0.81535901153765</c:v>
                </c:pt>
                <c:pt idx="86">
                  <c:v>0.81138725867660866</c:v>
                </c:pt>
                <c:pt idx="87">
                  <c:v>0.51930240638219782</c:v>
                </c:pt>
                <c:pt idx="88">
                  <c:v>0.60491861439497485</c:v>
                </c:pt>
                <c:pt idx="89">
                  <c:v>0.84033091508886981</c:v>
                </c:pt>
                <c:pt idx="90">
                  <c:v>0.85287801256367479</c:v>
                </c:pt>
                <c:pt idx="91">
                  <c:v>0.7909985649783795</c:v>
                </c:pt>
                <c:pt idx="92">
                  <c:v>0.55734182524803755</c:v>
                </c:pt>
                <c:pt idx="93">
                  <c:v>0.56981283029717755</c:v>
                </c:pt>
                <c:pt idx="94">
                  <c:v>0.85629809533864598</c:v>
                </c:pt>
                <c:pt idx="95">
                  <c:v>0.77831422937871486</c:v>
                </c:pt>
                <c:pt idx="96">
                  <c:v>0.78706621712348623</c:v>
                </c:pt>
                <c:pt idx="97">
                  <c:v>0.78964248924956704</c:v>
                </c:pt>
                <c:pt idx="98">
                  <c:v>0.84817115251897857</c:v>
                </c:pt>
                <c:pt idx="99">
                  <c:v>0.85634157672474009</c:v>
                </c:pt>
                <c:pt idx="100">
                  <c:v>0.75969332578387772</c:v>
                </c:pt>
                <c:pt idx="101">
                  <c:v>0.45214132917977395</c:v>
                </c:pt>
                <c:pt idx="102">
                  <c:v>0.56832359282345157</c:v>
                </c:pt>
                <c:pt idx="103">
                  <c:v>#N/A</c:v>
                </c:pt>
                <c:pt idx="104">
                  <c:v>0.85394874169624424</c:v>
                </c:pt>
                <c:pt idx="105">
                  <c:v>0.8043310449895108</c:v>
                </c:pt>
                <c:pt idx="106">
                  <c:v>0.8494755941018044</c:v>
                </c:pt>
                <c:pt idx="107">
                  <c:v>0.78686783329943144</c:v>
                </c:pt>
                <c:pt idx="108">
                  <c:v>#N/A</c:v>
                </c:pt>
                <c:pt idx="109">
                  <c:v>0.64934300305008341</c:v>
                </c:pt>
                <c:pt idx="110">
                  <c:v>0.92057581312569892</c:v>
                </c:pt>
                <c:pt idx="111">
                  <c:v>0.84972153569189957</c:v>
                </c:pt>
                <c:pt idx="112">
                  <c:v>0.84537339708248049</c:v>
                </c:pt>
                <c:pt idx="113">
                  <c:v>1</c:v>
                </c:pt>
                <c:pt idx="114">
                  <c:v>0.88559775559955334</c:v>
                </c:pt>
                <c:pt idx="115">
                  <c:v>0.61589222921049624</c:v>
                </c:pt>
                <c:pt idx="116">
                  <c:v>0.62681285108671536</c:v>
                </c:pt>
                <c:pt idx="117">
                  <c:v>0.81925467197302637</c:v>
                </c:pt>
                <c:pt idx="118">
                  <c:v>0.67121957542872313</c:v>
                </c:pt>
                <c:pt idx="119">
                  <c:v>0.84801217370107174</c:v>
                </c:pt>
                <c:pt idx="120">
                  <c:v>0.87039421719305643</c:v>
                </c:pt>
                <c:pt idx="121">
                  <c:v>0.84917665957240684</c:v>
                </c:pt>
                <c:pt idx="122">
                  <c:v>0.72927130224441405</c:v>
                </c:pt>
                <c:pt idx="123">
                  <c:v>0.51471783773589164</c:v>
                </c:pt>
                <c:pt idx="124">
                  <c:v>0.79678023053559144</c:v>
                </c:pt>
                <c:pt idx="125">
                  <c:v>0.96088305803501362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0.83978875655600793</c:v>
                </c:pt>
                <c:pt idx="132">
                  <c:v>0.4821489207580274</c:v>
                </c:pt>
                <c:pt idx="133">
                  <c:v>0.35148463795835327</c:v>
                </c:pt>
                <c:pt idx="134">
                  <c:v>0.9648208410631689</c:v>
                </c:pt>
                <c:pt idx="135">
                  <c:v>0.27552265645180207</c:v>
                </c:pt>
                <c:pt idx="136">
                  <c:v>0.85127871283139778</c:v>
                </c:pt>
                <c:pt idx="137">
                  <c:v>0.38568682450138064</c:v>
                </c:pt>
                <c:pt idx="138">
                  <c:v>0.61576450263884464</c:v>
                </c:pt>
                <c:pt idx="139">
                  <c:v>0.29960590917472196</c:v>
                </c:pt>
                <c:pt idx="140">
                  <c:v>0.8566676871204465</c:v>
                </c:pt>
                <c:pt idx="141">
                  <c:v>0.38961373718301223</c:v>
                </c:pt>
                <c:pt idx="142">
                  <c:v>0.3058916870519634</c:v>
                </c:pt>
                <c:pt idx="143">
                  <c:v>0.93081839713751158</c:v>
                </c:pt>
              </c:numCache>
            </c:numRef>
          </c:xVal>
          <c:yVal>
            <c:numRef>
              <c:f>'graph+_data'!$H$2:$H$1009</c:f>
              <c:numCache>
                <c:formatCode>General</c:formatCode>
                <c:ptCount val="1008"/>
                <c:pt idx="0">
                  <c:v>6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  <c:pt idx="6">
                  <c:v>5.85</c:v>
                </c:pt>
                <c:pt idx="7">
                  <c:v>5.85</c:v>
                </c:pt>
                <c:pt idx="8">
                  <c:v>5.85</c:v>
                </c:pt>
                <c:pt idx="9">
                  <c:v>5.85</c:v>
                </c:pt>
                <c:pt idx="10">
                  <c:v>5.85</c:v>
                </c:pt>
                <c:pt idx="11">
                  <c:v>5.85</c:v>
                </c:pt>
                <c:pt idx="12">
                  <c:v>5.85</c:v>
                </c:pt>
                <c:pt idx="13">
                  <c:v>5.85</c:v>
                </c:pt>
                <c:pt idx="14">
                  <c:v>5.85</c:v>
                </c:pt>
                <c:pt idx="15">
                  <c:v>5.85</c:v>
                </c:pt>
                <c:pt idx="16">
                  <c:v>5.85</c:v>
                </c:pt>
                <c:pt idx="17">
                  <c:v>5.85</c:v>
                </c:pt>
                <c:pt idx="18">
                  <c:v>5.85</c:v>
                </c:pt>
                <c:pt idx="19">
                  <c:v>5.85</c:v>
                </c:pt>
                <c:pt idx="20">
                  <c:v>5.85</c:v>
                </c:pt>
                <c:pt idx="21">
                  <c:v>5.85</c:v>
                </c:pt>
                <c:pt idx="22">
                  <c:v>5.85</c:v>
                </c:pt>
                <c:pt idx="23">
                  <c:v>5.85</c:v>
                </c:pt>
                <c:pt idx="24">
                  <c:v>5.85</c:v>
                </c:pt>
                <c:pt idx="25">
                  <c:v>5.85</c:v>
                </c:pt>
                <c:pt idx="26">
                  <c:v>5.85</c:v>
                </c:pt>
                <c:pt idx="27">
                  <c:v>5.85</c:v>
                </c:pt>
                <c:pt idx="28">
                  <c:v>5.85</c:v>
                </c:pt>
                <c:pt idx="29">
                  <c:v>5.85</c:v>
                </c:pt>
                <c:pt idx="30">
                  <c:v>5.85</c:v>
                </c:pt>
                <c:pt idx="31">
                  <c:v>5.85</c:v>
                </c:pt>
                <c:pt idx="32">
                  <c:v>5.85</c:v>
                </c:pt>
                <c:pt idx="33">
                  <c:v>5.85</c:v>
                </c:pt>
                <c:pt idx="34">
                  <c:v>5.85</c:v>
                </c:pt>
                <c:pt idx="35">
                  <c:v>5.85</c:v>
                </c:pt>
                <c:pt idx="36">
                  <c:v>5.85</c:v>
                </c:pt>
                <c:pt idx="37">
                  <c:v>5.85</c:v>
                </c:pt>
                <c:pt idx="38">
                  <c:v>5.85</c:v>
                </c:pt>
                <c:pt idx="39">
                  <c:v>5.85</c:v>
                </c:pt>
                <c:pt idx="40">
                  <c:v>5.85</c:v>
                </c:pt>
                <c:pt idx="41">
                  <c:v>5.85</c:v>
                </c:pt>
                <c:pt idx="42">
                  <c:v>5.85</c:v>
                </c:pt>
                <c:pt idx="43">
                  <c:v>5.85</c:v>
                </c:pt>
                <c:pt idx="44">
                  <c:v>5.85</c:v>
                </c:pt>
                <c:pt idx="45">
                  <c:v>5.85</c:v>
                </c:pt>
                <c:pt idx="46">
                  <c:v>5.85</c:v>
                </c:pt>
                <c:pt idx="47">
                  <c:v>5.85</c:v>
                </c:pt>
                <c:pt idx="48">
                  <c:v>5.85</c:v>
                </c:pt>
                <c:pt idx="49">
                  <c:v>5.85</c:v>
                </c:pt>
                <c:pt idx="50">
                  <c:v>5.85</c:v>
                </c:pt>
                <c:pt idx="51">
                  <c:v>5.85</c:v>
                </c:pt>
                <c:pt idx="52">
                  <c:v>5.85</c:v>
                </c:pt>
                <c:pt idx="53">
                  <c:v>5.85</c:v>
                </c:pt>
                <c:pt idx="54">
                  <c:v>5.85</c:v>
                </c:pt>
                <c:pt idx="55">
                  <c:v>5.85</c:v>
                </c:pt>
                <c:pt idx="56">
                  <c:v>5.85</c:v>
                </c:pt>
                <c:pt idx="57">
                  <c:v>5.85</c:v>
                </c:pt>
                <c:pt idx="58">
                  <c:v>5.85</c:v>
                </c:pt>
                <c:pt idx="59">
                  <c:v>5.85</c:v>
                </c:pt>
                <c:pt idx="60">
                  <c:v>5.85</c:v>
                </c:pt>
                <c:pt idx="61">
                  <c:v>5.85</c:v>
                </c:pt>
                <c:pt idx="62">
                  <c:v>5.85</c:v>
                </c:pt>
                <c:pt idx="63">
                  <c:v>5.85</c:v>
                </c:pt>
                <c:pt idx="64">
                  <c:v>5.85</c:v>
                </c:pt>
                <c:pt idx="65">
                  <c:v>5.85</c:v>
                </c:pt>
                <c:pt idx="66">
                  <c:v>5.85</c:v>
                </c:pt>
                <c:pt idx="67">
                  <c:v>5.85</c:v>
                </c:pt>
                <c:pt idx="68">
                  <c:v>5.85</c:v>
                </c:pt>
                <c:pt idx="69">
                  <c:v>5.85</c:v>
                </c:pt>
                <c:pt idx="70">
                  <c:v>5.85</c:v>
                </c:pt>
                <c:pt idx="71">
                  <c:v>5.85</c:v>
                </c:pt>
                <c:pt idx="72">
                  <c:v>5.85</c:v>
                </c:pt>
                <c:pt idx="73">
                  <c:v>5.85</c:v>
                </c:pt>
                <c:pt idx="74">
                  <c:v>5.85</c:v>
                </c:pt>
                <c:pt idx="75">
                  <c:v>5.85</c:v>
                </c:pt>
                <c:pt idx="76">
                  <c:v>5.95</c:v>
                </c:pt>
                <c:pt idx="77">
                  <c:v>5.95</c:v>
                </c:pt>
                <c:pt idx="78">
                  <c:v>5.95</c:v>
                </c:pt>
                <c:pt idx="79">
                  <c:v>5.95</c:v>
                </c:pt>
                <c:pt idx="80">
                  <c:v>5.95</c:v>
                </c:pt>
                <c:pt idx="81">
                  <c:v>5.95</c:v>
                </c:pt>
                <c:pt idx="82">
                  <c:v>5.95</c:v>
                </c:pt>
                <c:pt idx="83">
                  <c:v>5.95</c:v>
                </c:pt>
                <c:pt idx="84">
                  <c:v>5.95</c:v>
                </c:pt>
                <c:pt idx="85">
                  <c:v>5.95</c:v>
                </c:pt>
                <c:pt idx="86">
                  <c:v>5.95</c:v>
                </c:pt>
                <c:pt idx="87">
                  <c:v>5.95</c:v>
                </c:pt>
                <c:pt idx="88">
                  <c:v>5.95</c:v>
                </c:pt>
                <c:pt idx="89">
                  <c:v>5.95</c:v>
                </c:pt>
                <c:pt idx="90">
                  <c:v>5.95</c:v>
                </c:pt>
                <c:pt idx="91">
                  <c:v>5.95</c:v>
                </c:pt>
                <c:pt idx="92">
                  <c:v>5.95</c:v>
                </c:pt>
                <c:pt idx="93">
                  <c:v>5.95</c:v>
                </c:pt>
                <c:pt idx="94">
                  <c:v>5.95</c:v>
                </c:pt>
                <c:pt idx="95">
                  <c:v>5.95</c:v>
                </c:pt>
                <c:pt idx="96">
                  <c:v>5.95</c:v>
                </c:pt>
                <c:pt idx="97">
                  <c:v>5.95</c:v>
                </c:pt>
                <c:pt idx="98">
                  <c:v>5.95</c:v>
                </c:pt>
                <c:pt idx="99">
                  <c:v>5.95</c:v>
                </c:pt>
                <c:pt idx="100">
                  <c:v>5.95</c:v>
                </c:pt>
                <c:pt idx="101">
                  <c:v>5.95</c:v>
                </c:pt>
                <c:pt idx="102">
                  <c:v>5.95</c:v>
                </c:pt>
                <c:pt idx="103">
                  <c:v>5.95</c:v>
                </c:pt>
                <c:pt idx="104">
                  <c:v>5.95</c:v>
                </c:pt>
                <c:pt idx="105">
                  <c:v>5.95</c:v>
                </c:pt>
                <c:pt idx="106">
                  <c:v>5.95</c:v>
                </c:pt>
                <c:pt idx="107">
                  <c:v>5.95</c:v>
                </c:pt>
                <c:pt idx="108">
                  <c:v>6.05</c:v>
                </c:pt>
                <c:pt idx="109">
                  <c:v>6.05</c:v>
                </c:pt>
                <c:pt idx="110">
                  <c:v>6.05</c:v>
                </c:pt>
                <c:pt idx="111">
                  <c:v>6.05</c:v>
                </c:pt>
                <c:pt idx="112">
                  <c:v>6.05</c:v>
                </c:pt>
                <c:pt idx="113">
                  <c:v>6.05</c:v>
                </c:pt>
                <c:pt idx="114">
                  <c:v>6.05</c:v>
                </c:pt>
                <c:pt idx="115">
                  <c:v>6.05</c:v>
                </c:pt>
                <c:pt idx="116">
                  <c:v>6.05</c:v>
                </c:pt>
                <c:pt idx="117">
                  <c:v>6.05</c:v>
                </c:pt>
                <c:pt idx="118">
                  <c:v>6.05</c:v>
                </c:pt>
                <c:pt idx="119">
                  <c:v>6.05</c:v>
                </c:pt>
                <c:pt idx="120">
                  <c:v>6.05</c:v>
                </c:pt>
                <c:pt idx="121">
                  <c:v>6.05</c:v>
                </c:pt>
                <c:pt idx="122">
                  <c:v>6.05</c:v>
                </c:pt>
                <c:pt idx="123">
                  <c:v>6.05</c:v>
                </c:pt>
                <c:pt idx="124">
                  <c:v>6.05</c:v>
                </c:pt>
                <c:pt idx="125">
                  <c:v>6.05</c:v>
                </c:pt>
                <c:pt idx="126">
                  <c:v>6.15</c:v>
                </c:pt>
                <c:pt idx="127">
                  <c:v>6.15</c:v>
                </c:pt>
                <c:pt idx="128">
                  <c:v>6.15</c:v>
                </c:pt>
                <c:pt idx="129">
                  <c:v>6.15</c:v>
                </c:pt>
                <c:pt idx="130">
                  <c:v>6.15</c:v>
                </c:pt>
                <c:pt idx="131">
                  <c:v>6.15</c:v>
                </c:pt>
                <c:pt idx="132">
                  <c:v>6.15</c:v>
                </c:pt>
                <c:pt idx="133">
                  <c:v>6.15</c:v>
                </c:pt>
                <c:pt idx="134">
                  <c:v>6.15</c:v>
                </c:pt>
                <c:pt idx="135">
                  <c:v>6.15</c:v>
                </c:pt>
                <c:pt idx="136">
                  <c:v>6.15</c:v>
                </c:pt>
                <c:pt idx="137">
                  <c:v>6.15</c:v>
                </c:pt>
                <c:pt idx="138">
                  <c:v>6.15</c:v>
                </c:pt>
                <c:pt idx="139">
                  <c:v>6.15</c:v>
                </c:pt>
                <c:pt idx="140">
                  <c:v>6.15</c:v>
                </c:pt>
                <c:pt idx="141">
                  <c:v>6.15</c:v>
                </c:pt>
                <c:pt idx="142">
                  <c:v>6.15</c:v>
                </c:pt>
                <c:pt idx="143">
                  <c:v>6.15</c:v>
                </c:pt>
              </c:numCache>
            </c:numRef>
          </c:yVal>
          <c:smooth val="0"/>
        </c:ser>
        <c:ser>
          <c:idx val="10"/>
          <c:order val="6"/>
          <c:tx>
            <c:strRef>
              <c:f>'graph+_data'!$X$1</c:f>
              <c:strCache>
                <c:ptCount val="1"/>
                <c:pt idx="0">
                  <c:v>BurnUp (MWj/t)
[ 27486 - 80470 ]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  <c:spPr>
              <a:ln w="3175"/>
            </c:spPr>
          </c:marker>
          <c:dPt>
            <c:idx val="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3175">
                  <a:solidFill>
                    <a:srgbClr val="CCFF66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3175">
                  <a:solidFill>
                    <a:srgbClr val="FFC00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6"/>
            <c:marker>
              <c:spPr>
                <a:solidFill>
                  <a:srgbClr val="00B0F0"/>
                </a:solidFill>
                <a:ln w="3175">
                  <a:solidFill>
                    <a:srgbClr val="00B0F0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4"/>
            <c:marker>
              <c:spPr>
                <a:solidFill>
                  <a:srgbClr val="FF00FF"/>
                </a:solidFill>
                <a:ln w="3175">
                  <a:solidFill>
                    <a:srgbClr val="FF00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3175">
                  <a:solidFill>
                    <a:srgbClr val="FFFFFF"/>
                  </a:solidFill>
                </a:ln>
              </c:spPr>
            </c:marker>
            <c:bubble3D val="0"/>
            <c:spPr>
              <a:noFill/>
              <a:ln w="28575">
                <a:noFill/>
              </a:ln>
            </c:spPr>
          </c:dPt>
          <c:xVal>
            <c:numRef>
              <c:f>'graph+_data'!$X$2:$X$1009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0.33296219222309287</c:v>
                </c:pt>
                <c:pt idx="6">
                  <c:v>0.3372479202376244</c:v>
                </c:pt>
                <c:pt idx="7">
                  <c:v>0.42488200039551988</c:v>
                </c:pt>
                <c:pt idx="8">
                  <c:v>0.50592756766898717</c:v>
                </c:pt>
                <c:pt idx="9">
                  <c:v>0.72335653993002025</c:v>
                </c:pt>
                <c:pt idx="10">
                  <c:v>0.22826315767279345</c:v>
                </c:pt>
                <c:pt idx="11">
                  <c:v>0.33268863012892619</c:v>
                </c:pt>
                <c:pt idx="12">
                  <c:v>0.33348811435886644</c:v>
                </c:pt>
                <c:pt idx="13">
                  <c:v>0.45643118377649872</c:v>
                </c:pt>
                <c:pt idx="14">
                  <c:v>0.34788516935002672</c:v>
                </c:pt>
                <c:pt idx="15">
                  <c:v>0.69445760657243161</c:v>
                </c:pt>
                <c:pt idx="16">
                  <c:v>0.25617556628784344</c:v>
                </c:pt>
                <c:pt idx="17">
                  <c:v>0.74134060695277459</c:v>
                </c:pt>
                <c:pt idx="18">
                  <c:v>0.75438467646381369</c:v>
                </c:pt>
                <c:pt idx="19">
                  <c:v>0.25160771766079132</c:v>
                </c:pt>
                <c:pt idx="20">
                  <c:v>0.5146960085586435</c:v>
                </c:pt>
                <c:pt idx="21">
                  <c:v>0.8034271833204859</c:v>
                </c:pt>
                <c:pt idx="22">
                  <c:v>0.45734196853386083</c:v>
                </c:pt>
                <c:pt idx="23">
                  <c:v>0.35085889895655675</c:v>
                </c:pt>
                <c:pt idx="24">
                  <c:v>0.36466580587602226</c:v>
                </c:pt>
                <c:pt idx="25">
                  <c:v>0.71488201353048253</c:v>
                </c:pt>
                <c:pt idx="26">
                  <c:v>0.69227136161961855</c:v>
                </c:pt>
                <c:pt idx="27">
                  <c:v>0.47546481400046459</c:v>
                </c:pt>
                <c:pt idx="28">
                  <c:v>0.51170956859234851</c:v>
                </c:pt>
                <c:pt idx="29">
                  <c:v>0.48669514745025472</c:v>
                </c:pt>
                <c:pt idx="30">
                  <c:v>0.72246463877809586</c:v>
                </c:pt>
                <c:pt idx="31">
                  <c:v>0.33802263195702303</c:v>
                </c:pt>
                <c:pt idx="32">
                  <c:v>0.34880375408461317</c:v>
                </c:pt>
                <c:pt idx="33">
                  <c:v>0.40579737285395873</c:v>
                </c:pt>
                <c:pt idx="34">
                  <c:v>0.51425944549440139</c:v>
                </c:pt>
                <c:pt idx="35">
                  <c:v>0.48215807243295983</c:v>
                </c:pt>
                <c:pt idx="36">
                  <c:v>0.49578040599113982</c:v>
                </c:pt>
                <c:pt idx="37">
                  <c:v>0.32594388531855945</c:v>
                </c:pt>
                <c:pt idx="38">
                  <c:v>0.26400252757494624</c:v>
                </c:pt>
                <c:pt idx="39">
                  <c:v>0.74191121645206681</c:v>
                </c:pt>
                <c:pt idx="40">
                  <c:v>0.21887124086482643</c:v>
                </c:pt>
                <c:pt idx="41">
                  <c:v>0.80557801449759669</c:v>
                </c:pt>
                <c:pt idx="42">
                  <c:v>0.21523044478519673</c:v>
                </c:pt>
                <c:pt idx="43">
                  <c:v>0.51722201838254744</c:v>
                </c:pt>
                <c:pt idx="44">
                  <c:v>0.36646277024248414</c:v>
                </c:pt>
                <c:pt idx="45">
                  <c:v>0.70813872031310954</c:v>
                </c:pt>
                <c:pt idx="46">
                  <c:v>0.45984467858958561</c:v>
                </c:pt>
                <c:pt idx="47">
                  <c:v>0.51079408599011744</c:v>
                </c:pt>
                <c:pt idx="48">
                  <c:v>0.34387422057802308</c:v>
                </c:pt>
                <c:pt idx="49">
                  <c:v>0.31054075460376651</c:v>
                </c:pt>
                <c:pt idx="50">
                  <c:v>0.25882240592129641</c:v>
                </c:pt>
                <c:pt idx="51">
                  <c:v>0.47898507290972597</c:v>
                </c:pt>
                <c:pt idx="52">
                  <c:v>0.44052417698604357</c:v>
                </c:pt>
                <c:pt idx="53">
                  <c:v>0.71984766816423296</c:v>
                </c:pt>
                <c:pt idx="54">
                  <c:v>0.48538895348161976</c:v>
                </c:pt>
                <c:pt idx="55">
                  <c:v>0.23191145952185319</c:v>
                </c:pt>
                <c:pt idx="56">
                  <c:v>0.71112677623215881</c:v>
                </c:pt>
                <c:pt idx="57">
                  <c:v>0.39779111966482905</c:v>
                </c:pt>
                <c:pt idx="58">
                  <c:v>0.72780221259702282</c:v>
                </c:pt>
                <c:pt idx="59">
                  <c:v>0.72801849425227738</c:v>
                </c:pt>
                <c:pt idx="60">
                  <c:v>0.52518821059709575</c:v>
                </c:pt>
                <c:pt idx="61">
                  <c:v>0.80674108621809737</c:v>
                </c:pt>
                <c:pt idx="62">
                  <c:v>0.51109019408868328</c:v>
                </c:pt>
                <c:pt idx="63">
                  <c:v>0.52657394617717479</c:v>
                </c:pt>
                <c:pt idx="64">
                  <c:v>0.52147461958274799</c:v>
                </c:pt>
                <c:pt idx="65">
                  <c:v>0.73993797831147989</c:v>
                </c:pt>
                <c:pt idx="66">
                  <c:v>0.4142973014563695</c:v>
                </c:pt>
                <c:pt idx="67">
                  <c:v>0.47770567225574773</c:v>
                </c:pt>
                <c:pt idx="68">
                  <c:v>0.35377168083523447</c:v>
                </c:pt>
                <c:pt idx="69">
                  <c:v>0.4912348624601871</c:v>
                </c:pt>
                <c:pt idx="70">
                  <c:v>0.36002811692065145</c:v>
                </c:pt>
                <c:pt idx="71">
                  <c:v>0.48233371225684873</c:v>
                </c:pt>
                <c:pt idx="72">
                  <c:v>0.32806393251806826</c:v>
                </c:pt>
                <c:pt idx="73">
                  <c:v>0.22620022547519189</c:v>
                </c:pt>
                <c:pt idx="74">
                  <c:v>0.67236551833664371</c:v>
                </c:pt>
                <c:pt idx="75">
                  <c:v>0.33159271083271141</c:v>
                </c:pt>
                <c:pt idx="76">
                  <c:v>#N/A</c:v>
                </c:pt>
                <c:pt idx="77">
                  <c:v>0.98048190299026194</c:v>
                </c:pt>
                <c:pt idx="78">
                  <c:v>0.99301161222828926</c:v>
                </c:pt>
                <c:pt idx="79">
                  <c:v>0.9794636739506325</c:v>
                </c:pt>
                <c:pt idx="80">
                  <c:v>0.99537378166583712</c:v>
                </c:pt>
                <c:pt idx="81">
                  <c:v>0.98963759467190959</c:v>
                </c:pt>
                <c:pt idx="82">
                  <c:v>0.99023052993866778</c:v>
                </c:pt>
                <c:pt idx="83">
                  <c:v>0.96987680165724111</c:v>
                </c:pt>
                <c:pt idx="84">
                  <c:v>0.99719592969695181</c:v>
                </c:pt>
                <c:pt idx="85">
                  <c:v>0.98890227237254391</c:v>
                </c:pt>
                <c:pt idx="86">
                  <c:v>0.99029237884784416</c:v>
                </c:pt>
                <c:pt idx="87">
                  <c:v>0.64727059140037002</c:v>
                </c:pt>
                <c:pt idx="88">
                  <c:v>0.59353295038746234</c:v>
                </c:pt>
                <c:pt idx="89">
                  <c:v>0.98500376757636188</c:v>
                </c:pt>
                <c:pt idx="90">
                  <c:v>0.98410200753409294</c:v>
                </c:pt>
                <c:pt idx="91">
                  <c:v>0.99806760379287351</c:v>
                </c:pt>
                <c:pt idx="92">
                  <c:v>0.67411242728256893</c:v>
                </c:pt>
                <c:pt idx="93">
                  <c:v>0.60101998141837065</c:v>
                </c:pt>
                <c:pt idx="94">
                  <c:v>0.96917389557160294</c:v>
                </c:pt>
                <c:pt idx="95">
                  <c:v>0.99753433827818649</c:v>
                </c:pt>
                <c:pt idx="96">
                  <c:v>0.99529230487316367</c:v>
                </c:pt>
                <c:pt idx="97">
                  <c:v>0.99201497280276374</c:v>
                </c:pt>
                <c:pt idx="98">
                  <c:v>0.97052781087181161</c:v>
                </c:pt>
                <c:pt idx="99">
                  <c:v>0.98200330145879722</c:v>
                </c:pt>
                <c:pt idx="100">
                  <c:v>0.6155861568774188</c:v>
                </c:pt>
                <c:pt idx="101">
                  <c:v>0.67236551833664371</c:v>
                </c:pt>
                <c:pt idx="102">
                  <c:v>0.60395385348086628</c:v>
                </c:pt>
                <c:pt idx="103">
                  <c:v>#N/A</c:v>
                </c:pt>
                <c:pt idx="104">
                  <c:v>0.98235738933409289</c:v>
                </c:pt>
                <c:pt idx="105">
                  <c:v>1</c:v>
                </c:pt>
                <c:pt idx="106">
                  <c:v>0.98163265189483317</c:v>
                </c:pt>
                <c:pt idx="107">
                  <c:v>0.99890636066652649</c:v>
                </c:pt>
                <c:pt idx="108">
                  <c:v>#N/A</c:v>
                </c:pt>
                <c:pt idx="109">
                  <c:v>0.66127003895375036</c:v>
                </c:pt>
                <c:pt idx="110">
                  <c:v>0.80418126121231881</c:v>
                </c:pt>
                <c:pt idx="111">
                  <c:v>0.5596531627808029</c:v>
                </c:pt>
                <c:pt idx="112">
                  <c:v>0.81393023949520982</c:v>
                </c:pt>
                <c:pt idx="113">
                  <c:v>0.7235943380108717</c:v>
                </c:pt>
                <c:pt idx="114">
                  <c:v>0.61791711820507211</c:v>
                </c:pt>
                <c:pt idx="115">
                  <c:v>0.39838801186482614</c:v>
                </c:pt>
                <c:pt idx="116">
                  <c:v>0.51338095693311903</c:v>
                </c:pt>
                <c:pt idx="117">
                  <c:v>0.88098363762804277</c:v>
                </c:pt>
                <c:pt idx="118">
                  <c:v>0.66240472229422664</c:v>
                </c:pt>
                <c:pt idx="119">
                  <c:v>0.56611629217601978</c:v>
                </c:pt>
                <c:pt idx="120">
                  <c:v>0.61074689198107457</c:v>
                </c:pt>
                <c:pt idx="121">
                  <c:v>0.62268234834535785</c:v>
                </c:pt>
                <c:pt idx="122">
                  <c:v>0.50253624662895835</c:v>
                </c:pt>
                <c:pt idx="123">
                  <c:v>0.43778106081587637</c:v>
                </c:pt>
                <c:pt idx="124">
                  <c:v>0.48269030545042269</c:v>
                </c:pt>
                <c:pt idx="125">
                  <c:v>0.36405174384156896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0.25456260837406641</c:v>
                </c:pt>
                <c:pt idx="132">
                  <c:v>0.20135101498394095</c:v>
                </c:pt>
                <c:pt idx="133">
                  <c:v>0.29057016802939267</c:v>
                </c:pt>
                <c:pt idx="134">
                  <c:v>3.6568171154336915E-2</c:v>
                </c:pt>
                <c:pt idx="135">
                  <c:v>0.26737129719798031</c:v>
                </c:pt>
                <c:pt idx="136">
                  <c:v>0.31194429159289511</c:v>
                </c:pt>
                <c:pt idx="137">
                  <c:v>0.23002434654681495</c:v>
                </c:pt>
                <c:pt idx="138">
                  <c:v>0</c:v>
                </c:pt>
                <c:pt idx="139">
                  <c:v>0.26080799761037643</c:v>
                </c:pt>
                <c:pt idx="140">
                  <c:v>0.22938366851772388</c:v>
                </c:pt>
                <c:pt idx="141">
                  <c:v>0.27487145854424466</c:v>
                </c:pt>
                <c:pt idx="142">
                  <c:v>0.22097289804175904</c:v>
                </c:pt>
                <c:pt idx="143">
                  <c:v>6.0534146173740047E-2</c:v>
                </c:pt>
              </c:numCache>
            </c:numRef>
          </c:xVal>
          <c:yVal>
            <c:numRef>
              <c:f>'graph+_data'!$K$2:$K$1009</c:f>
              <c:numCache>
                <c:formatCode>General</c:formatCode>
                <c:ptCount val="1008"/>
                <c:pt idx="0">
                  <c:v>7</c:v>
                </c:pt>
                <c:pt idx="1">
                  <c:v>6.85</c:v>
                </c:pt>
                <c:pt idx="2">
                  <c:v>6.85</c:v>
                </c:pt>
                <c:pt idx="3">
                  <c:v>6.85</c:v>
                </c:pt>
                <c:pt idx="4">
                  <c:v>6.85</c:v>
                </c:pt>
                <c:pt idx="5">
                  <c:v>6.85</c:v>
                </c:pt>
                <c:pt idx="6">
                  <c:v>6.85</c:v>
                </c:pt>
                <c:pt idx="7">
                  <c:v>6.85</c:v>
                </c:pt>
                <c:pt idx="8">
                  <c:v>6.85</c:v>
                </c:pt>
                <c:pt idx="9">
                  <c:v>6.85</c:v>
                </c:pt>
                <c:pt idx="10">
                  <c:v>6.85</c:v>
                </c:pt>
                <c:pt idx="11">
                  <c:v>6.85</c:v>
                </c:pt>
                <c:pt idx="12">
                  <c:v>6.85</c:v>
                </c:pt>
                <c:pt idx="13">
                  <c:v>6.85</c:v>
                </c:pt>
                <c:pt idx="14">
                  <c:v>6.85</c:v>
                </c:pt>
                <c:pt idx="15">
                  <c:v>6.85</c:v>
                </c:pt>
                <c:pt idx="16">
                  <c:v>6.85</c:v>
                </c:pt>
                <c:pt idx="17">
                  <c:v>6.85</c:v>
                </c:pt>
                <c:pt idx="18">
                  <c:v>6.85</c:v>
                </c:pt>
                <c:pt idx="19">
                  <c:v>6.85</c:v>
                </c:pt>
                <c:pt idx="20">
                  <c:v>6.85</c:v>
                </c:pt>
                <c:pt idx="21">
                  <c:v>6.85</c:v>
                </c:pt>
                <c:pt idx="22">
                  <c:v>6.85</c:v>
                </c:pt>
                <c:pt idx="23">
                  <c:v>6.85</c:v>
                </c:pt>
                <c:pt idx="24">
                  <c:v>6.85</c:v>
                </c:pt>
                <c:pt idx="25">
                  <c:v>6.85</c:v>
                </c:pt>
                <c:pt idx="26">
                  <c:v>6.85</c:v>
                </c:pt>
                <c:pt idx="27">
                  <c:v>6.85</c:v>
                </c:pt>
                <c:pt idx="28">
                  <c:v>6.85</c:v>
                </c:pt>
                <c:pt idx="29">
                  <c:v>6.85</c:v>
                </c:pt>
                <c:pt idx="30">
                  <c:v>6.85</c:v>
                </c:pt>
                <c:pt idx="31">
                  <c:v>6.85</c:v>
                </c:pt>
                <c:pt idx="32">
                  <c:v>6.85</c:v>
                </c:pt>
                <c:pt idx="33">
                  <c:v>6.85</c:v>
                </c:pt>
                <c:pt idx="34">
                  <c:v>6.85</c:v>
                </c:pt>
                <c:pt idx="35">
                  <c:v>6.85</c:v>
                </c:pt>
                <c:pt idx="36">
                  <c:v>6.85</c:v>
                </c:pt>
                <c:pt idx="37">
                  <c:v>6.85</c:v>
                </c:pt>
                <c:pt idx="38">
                  <c:v>6.85</c:v>
                </c:pt>
                <c:pt idx="39">
                  <c:v>6.85</c:v>
                </c:pt>
                <c:pt idx="40">
                  <c:v>6.85</c:v>
                </c:pt>
                <c:pt idx="41">
                  <c:v>6.85</c:v>
                </c:pt>
                <c:pt idx="42">
                  <c:v>6.85</c:v>
                </c:pt>
                <c:pt idx="43">
                  <c:v>6.85</c:v>
                </c:pt>
                <c:pt idx="44">
                  <c:v>6.85</c:v>
                </c:pt>
                <c:pt idx="45">
                  <c:v>6.85</c:v>
                </c:pt>
                <c:pt idx="46">
                  <c:v>6.85</c:v>
                </c:pt>
                <c:pt idx="47">
                  <c:v>6.85</c:v>
                </c:pt>
                <c:pt idx="48">
                  <c:v>6.85</c:v>
                </c:pt>
                <c:pt idx="49">
                  <c:v>6.85</c:v>
                </c:pt>
                <c:pt idx="50">
                  <c:v>6.85</c:v>
                </c:pt>
                <c:pt idx="51">
                  <c:v>6.85</c:v>
                </c:pt>
                <c:pt idx="52">
                  <c:v>6.85</c:v>
                </c:pt>
                <c:pt idx="53">
                  <c:v>6.85</c:v>
                </c:pt>
                <c:pt idx="54">
                  <c:v>6.85</c:v>
                </c:pt>
                <c:pt idx="55">
                  <c:v>6.85</c:v>
                </c:pt>
                <c:pt idx="56">
                  <c:v>6.85</c:v>
                </c:pt>
                <c:pt idx="57">
                  <c:v>6.85</c:v>
                </c:pt>
                <c:pt idx="58">
                  <c:v>6.85</c:v>
                </c:pt>
                <c:pt idx="59">
                  <c:v>6.85</c:v>
                </c:pt>
                <c:pt idx="60">
                  <c:v>6.85</c:v>
                </c:pt>
                <c:pt idx="61">
                  <c:v>6.85</c:v>
                </c:pt>
                <c:pt idx="62">
                  <c:v>6.85</c:v>
                </c:pt>
                <c:pt idx="63">
                  <c:v>6.85</c:v>
                </c:pt>
                <c:pt idx="64">
                  <c:v>6.85</c:v>
                </c:pt>
                <c:pt idx="65">
                  <c:v>6.85</c:v>
                </c:pt>
                <c:pt idx="66">
                  <c:v>6.85</c:v>
                </c:pt>
                <c:pt idx="67">
                  <c:v>6.85</c:v>
                </c:pt>
                <c:pt idx="68">
                  <c:v>6.85</c:v>
                </c:pt>
                <c:pt idx="69">
                  <c:v>6.85</c:v>
                </c:pt>
                <c:pt idx="70">
                  <c:v>6.85</c:v>
                </c:pt>
                <c:pt idx="71">
                  <c:v>6.85</c:v>
                </c:pt>
                <c:pt idx="72">
                  <c:v>6.85</c:v>
                </c:pt>
                <c:pt idx="73">
                  <c:v>6.85</c:v>
                </c:pt>
                <c:pt idx="74">
                  <c:v>6.85</c:v>
                </c:pt>
                <c:pt idx="75">
                  <c:v>6.85</c:v>
                </c:pt>
                <c:pt idx="76">
                  <c:v>6.95</c:v>
                </c:pt>
                <c:pt idx="77">
                  <c:v>6.95</c:v>
                </c:pt>
                <c:pt idx="78">
                  <c:v>6.95</c:v>
                </c:pt>
                <c:pt idx="79">
                  <c:v>6.95</c:v>
                </c:pt>
                <c:pt idx="80">
                  <c:v>6.95</c:v>
                </c:pt>
                <c:pt idx="81">
                  <c:v>6.95</c:v>
                </c:pt>
                <c:pt idx="82">
                  <c:v>6.95</c:v>
                </c:pt>
                <c:pt idx="83">
                  <c:v>6.95</c:v>
                </c:pt>
                <c:pt idx="84">
                  <c:v>6.95</c:v>
                </c:pt>
                <c:pt idx="85">
                  <c:v>6.95</c:v>
                </c:pt>
                <c:pt idx="86">
                  <c:v>6.95</c:v>
                </c:pt>
                <c:pt idx="87">
                  <c:v>6.95</c:v>
                </c:pt>
                <c:pt idx="88">
                  <c:v>6.95</c:v>
                </c:pt>
                <c:pt idx="89">
                  <c:v>6.95</c:v>
                </c:pt>
                <c:pt idx="90">
                  <c:v>6.95</c:v>
                </c:pt>
                <c:pt idx="91">
                  <c:v>6.95</c:v>
                </c:pt>
                <c:pt idx="92">
                  <c:v>6.95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6.95</c:v>
                </c:pt>
                <c:pt idx="97">
                  <c:v>6.95</c:v>
                </c:pt>
                <c:pt idx="98">
                  <c:v>6.95</c:v>
                </c:pt>
                <c:pt idx="99">
                  <c:v>6.95</c:v>
                </c:pt>
                <c:pt idx="100">
                  <c:v>6.95</c:v>
                </c:pt>
                <c:pt idx="101">
                  <c:v>6.95</c:v>
                </c:pt>
                <c:pt idx="102">
                  <c:v>6.95</c:v>
                </c:pt>
                <c:pt idx="103">
                  <c:v>6.95</c:v>
                </c:pt>
                <c:pt idx="104">
                  <c:v>6.95</c:v>
                </c:pt>
                <c:pt idx="105">
                  <c:v>6.95</c:v>
                </c:pt>
                <c:pt idx="106">
                  <c:v>6.95</c:v>
                </c:pt>
                <c:pt idx="107">
                  <c:v>6.95</c:v>
                </c:pt>
                <c:pt idx="108">
                  <c:v>7.05</c:v>
                </c:pt>
                <c:pt idx="109">
                  <c:v>7.05</c:v>
                </c:pt>
                <c:pt idx="110">
                  <c:v>7.05</c:v>
                </c:pt>
                <c:pt idx="111">
                  <c:v>7.05</c:v>
                </c:pt>
                <c:pt idx="112">
                  <c:v>7.05</c:v>
                </c:pt>
                <c:pt idx="113">
                  <c:v>7.05</c:v>
                </c:pt>
                <c:pt idx="114">
                  <c:v>7.05</c:v>
                </c:pt>
                <c:pt idx="115">
                  <c:v>7.05</c:v>
                </c:pt>
                <c:pt idx="116">
                  <c:v>7.05</c:v>
                </c:pt>
                <c:pt idx="117">
                  <c:v>7.05</c:v>
                </c:pt>
                <c:pt idx="118">
                  <c:v>7.05</c:v>
                </c:pt>
                <c:pt idx="119">
                  <c:v>7.05</c:v>
                </c:pt>
                <c:pt idx="120">
                  <c:v>7.05</c:v>
                </c:pt>
                <c:pt idx="121">
                  <c:v>7.05</c:v>
                </c:pt>
                <c:pt idx="122">
                  <c:v>7.05</c:v>
                </c:pt>
                <c:pt idx="123">
                  <c:v>7.05</c:v>
                </c:pt>
                <c:pt idx="124">
                  <c:v>7.05</c:v>
                </c:pt>
                <c:pt idx="125">
                  <c:v>7.05</c:v>
                </c:pt>
                <c:pt idx="126">
                  <c:v>7.15</c:v>
                </c:pt>
                <c:pt idx="127">
                  <c:v>7.15</c:v>
                </c:pt>
                <c:pt idx="128">
                  <c:v>7.15</c:v>
                </c:pt>
                <c:pt idx="129">
                  <c:v>7.15</c:v>
                </c:pt>
                <c:pt idx="130">
                  <c:v>7.15</c:v>
                </c:pt>
                <c:pt idx="131">
                  <c:v>7.15</c:v>
                </c:pt>
                <c:pt idx="132">
                  <c:v>7.15</c:v>
                </c:pt>
                <c:pt idx="133">
                  <c:v>7.15</c:v>
                </c:pt>
                <c:pt idx="134">
                  <c:v>7.15</c:v>
                </c:pt>
                <c:pt idx="135">
                  <c:v>7.15</c:v>
                </c:pt>
                <c:pt idx="136">
                  <c:v>7.15</c:v>
                </c:pt>
                <c:pt idx="137">
                  <c:v>7.15</c:v>
                </c:pt>
                <c:pt idx="138">
                  <c:v>7.15</c:v>
                </c:pt>
                <c:pt idx="139">
                  <c:v>7.15</c:v>
                </c:pt>
                <c:pt idx="140">
                  <c:v>7.15</c:v>
                </c:pt>
                <c:pt idx="141">
                  <c:v>7.15</c:v>
                </c:pt>
                <c:pt idx="142">
                  <c:v>7.15</c:v>
                </c:pt>
                <c:pt idx="143">
                  <c:v>7.15</c:v>
                </c:pt>
              </c:numCache>
            </c:numRef>
          </c:yVal>
          <c:smooth val="0"/>
        </c:ser>
        <c:ser>
          <c:idx val="3"/>
          <c:order val="7"/>
          <c:tx>
            <c:strRef>
              <c:f>'graph+_data'!$Y$1</c:f>
              <c:strCache>
                <c:ptCount val="1"/>
                <c:pt idx="0">
                  <c:v>Puiss. Vol. (MWth/m3)
[ 14 - 156 ]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1"/>
          </c:marker>
          <c:dPt>
            <c:idx val="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1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2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3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4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5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6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7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8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69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0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1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2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3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4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5"/>
            <c:marker>
              <c:spPr>
                <a:solidFill>
                  <a:srgbClr val="CCFF66"/>
                </a:solidFill>
                <a:ln w="19050">
                  <a:solidFill>
                    <a:srgbClr val="CCFF66"/>
                  </a:solidFill>
                </a:ln>
              </c:spPr>
            </c:marker>
            <c:bubble3D val="0"/>
            <c:spPr>
              <a:ln w="19050">
                <a:solidFill>
                  <a:srgbClr val="CCFF66"/>
                </a:solidFill>
              </a:ln>
            </c:spPr>
          </c:dPt>
          <c:dPt>
            <c:idx val="76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77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78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79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0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1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2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3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4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5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6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7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8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89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0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1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2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3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4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5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6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7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8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99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0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1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2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3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4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5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6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7"/>
            <c:marker>
              <c:spPr>
                <a:solidFill>
                  <a:srgbClr val="FFC000"/>
                </a:solidFill>
                <a:ln w="19050">
                  <a:solidFill>
                    <a:srgbClr val="FFC000"/>
                  </a:solidFill>
                </a:ln>
              </c:spPr>
            </c:marker>
            <c:bubble3D val="0"/>
            <c:spPr>
              <a:ln w="19050">
                <a:solidFill>
                  <a:srgbClr val="FFC000"/>
                </a:solidFill>
              </a:ln>
            </c:spPr>
          </c:dPt>
          <c:dPt>
            <c:idx val="108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09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0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1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2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3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4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5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6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7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8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19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0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1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2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3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4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5"/>
            <c:marker>
              <c:spPr>
                <a:solidFill>
                  <a:srgbClr val="00B0F0"/>
                </a:solidFill>
                <a:ln w="19050">
                  <a:solidFill>
                    <a:srgbClr val="00B0F0"/>
                  </a:solidFill>
                </a:ln>
              </c:spPr>
            </c:marker>
            <c:bubble3D val="0"/>
            <c:spPr>
              <a:ln w="19050">
                <a:solidFill>
                  <a:srgbClr val="00B0F0"/>
                </a:solidFill>
              </a:ln>
            </c:spPr>
          </c:dPt>
          <c:dPt>
            <c:idx val="126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27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28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29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0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1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2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3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4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5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6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7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8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39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40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41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42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43"/>
            <c:marker>
              <c:spPr>
                <a:solidFill>
                  <a:srgbClr val="FF00FF"/>
                </a:solidFill>
                <a:ln w="19050">
                  <a:solidFill>
                    <a:srgbClr val="FF00FF"/>
                  </a:solidFill>
                </a:ln>
              </c:spPr>
            </c:marker>
            <c:bubble3D val="0"/>
            <c:spPr>
              <a:ln w="19050">
                <a:solidFill>
                  <a:srgbClr val="FF00FF"/>
                </a:solidFill>
              </a:ln>
            </c:spPr>
          </c:dPt>
          <c:dPt>
            <c:idx val="1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2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3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4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5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6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7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8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0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1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2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3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4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5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6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7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8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8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999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0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1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2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3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4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5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6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dPt>
            <c:idx val="1007"/>
            <c:marker>
              <c:spPr>
                <a:solidFill>
                  <a:srgbClr val="FFFFFF"/>
                </a:solidFill>
                <a:ln w="19050">
                  <a:solidFill>
                    <a:srgbClr val="FFFFFF"/>
                  </a:solidFill>
                </a:ln>
              </c:spPr>
            </c:marker>
            <c:bubble3D val="0"/>
            <c:spPr>
              <a:ln w="19050">
                <a:solidFill>
                  <a:srgbClr val="FFFFFF"/>
                </a:solidFill>
              </a:ln>
            </c:spPr>
          </c:dPt>
          <c:xVal>
            <c:numRef>
              <c:f>'graph+_data'!$Y$2:$Y$1009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0.7452631192840824</c:v>
                </c:pt>
                <c:pt idx="6">
                  <c:v>0.69273184740006022</c:v>
                </c:pt>
                <c:pt idx="7">
                  <c:v>1</c:v>
                </c:pt>
                <c:pt idx="8">
                  <c:v>0.67307640638324162</c:v>
                </c:pt>
                <c:pt idx="9">
                  <c:v>0.48291836999006149</c:v>
                </c:pt>
                <c:pt idx="10">
                  <c:v>0.96927926146021082</c:v>
                </c:pt>
                <c:pt idx="11">
                  <c:v>0.71340604303567356</c:v>
                </c:pt>
                <c:pt idx="12">
                  <c:v>0.83769526605138778</c:v>
                </c:pt>
                <c:pt idx="13">
                  <c:v>0.50193324381337878</c:v>
                </c:pt>
                <c:pt idx="14">
                  <c:v>0.75702071312462071</c:v>
                </c:pt>
                <c:pt idx="15">
                  <c:v>0.49166397007177631</c:v>
                </c:pt>
                <c:pt idx="16">
                  <c:v>0.80921601732434534</c:v>
                </c:pt>
                <c:pt idx="17">
                  <c:v>0.42450454565493639</c:v>
                </c:pt>
                <c:pt idx="18">
                  <c:v>0.55988691274314006</c:v>
                </c:pt>
                <c:pt idx="19">
                  <c:v>0.85834323755511532</c:v>
                </c:pt>
                <c:pt idx="20">
                  <c:v>0.48059373030019054</c:v>
                </c:pt>
                <c:pt idx="21">
                  <c:v>0.54587206674686894</c:v>
                </c:pt>
                <c:pt idx="22">
                  <c:v>0.58036570042651647</c:v>
                </c:pt>
                <c:pt idx="23">
                  <c:v>0.607198613941206</c:v>
                </c:pt>
                <c:pt idx="24">
                  <c:v>0.71805352939855083</c:v>
                </c:pt>
                <c:pt idx="25">
                  <c:v>0.41113760105074743</c:v>
                </c:pt>
                <c:pt idx="26">
                  <c:v>0.34201452413257522</c:v>
                </c:pt>
                <c:pt idx="27">
                  <c:v>0.63946837912324095</c:v>
                </c:pt>
                <c:pt idx="28">
                  <c:v>0.66224618892206044</c:v>
                </c:pt>
                <c:pt idx="29">
                  <c:v>0.55255200546102035</c:v>
                </c:pt>
                <c:pt idx="30">
                  <c:v>0.35438368696635303</c:v>
                </c:pt>
                <c:pt idx="31">
                  <c:v>0.86805815349845272</c:v>
                </c:pt>
                <c:pt idx="32">
                  <c:v>0.79589516687402739</c:v>
                </c:pt>
                <c:pt idx="33">
                  <c:v>0.88078634245867382</c:v>
                </c:pt>
                <c:pt idx="34">
                  <c:v>0.59776279767036</c:v>
                </c:pt>
                <c:pt idx="35">
                  <c:v>0.58919803788102199</c:v>
                </c:pt>
                <c:pt idx="36">
                  <c:v>0.54222800319916031</c:v>
                </c:pt>
                <c:pt idx="37">
                  <c:v>0.79194130941662422</c:v>
                </c:pt>
                <c:pt idx="38">
                  <c:v>0.82984636383342314</c:v>
                </c:pt>
                <c:pt idx="39">
                  <c:v>0.4239123564631756</c:v>
                </c:pt>
                <c:pt idx="40">
                  <c:v>0.80322635741675541</c:v>
                </c:pt>
                <c:pt idx="41">
                  <c:v>0.54128276063838932</c:v>
                </c:pt>
                <c:pt idx="42">
                  <c:v>0.79894121216532743</c:v>
                </c:pt>
                <c:pt idx="43">
                  <c:v>0.49499103680787987</c:v>
                </c:pt>
                <c:pt idx="44">
                  <c:v>0.74305926150229817</c:v>
                </c:pt>
                <c:pt idx="45">
                  <c:v>0.41538738455846597</c:v>
                </c:pt>
                <c:pt idx="46">
                  <c:v>0.43803975222121672</c:v>
                </c:pt>
                <c:pt idx="47">
                  <c:v>0.58264675686264833</c:v>
                </c:pt>
                <c:pt idx="48">
                  <c:v>0.84211249317428849</c:v>
                </c:pt>
                <c:pt idx="49">
                  <c:v>0.74568373982455194</c:v>
                </c:pt>
                <c:pt idx="50">
                  <c:v>0.85080800626403597</c:v>
                </c:pt>
                <c:pt idx="51">
                  <c:v>0.66919014386718367</c:v>
                </c:pt>
                <c:pt idx="52">
                  <c:v>0.97597918704255648</c:v>
                </c:pt>
                <c:pt idx="53">
                  <c:v>0.45645339700099385</c:v>
                </c:pt>
                <c:pt idx="54">
                  <c:v>0.50486351622816628</c:v>
                </c:pt>
                <c:pt idx="55">
                  <c:v>0.96193872967772853</c:v>
                </c:pt>
                <c:pt idx="56">
                  <c:v>0.34130632969048302</c:v>
                </c:pt>
                <c:pt idx="57">
                  <c:v>0.92589133460425666</c:v>
                </c:pt>
                <c:pt idx="58">
                  <c:v>0.35889039660157984</c:v>
                </c:pt>
                <c:pt idx="59">
                  <c:v>0.47078374289226382</c:v>
                </c:pt>
                <c:pt idx="60">
                  <c:v>0.47270714803767228</c:v>
                </c:pt>
                <c:pt idx="61">
                  <c:v>0.54669222383653804</c:v>
                </c:pt>
                <c:pt idx="62">
                  <c:v>0.41646857900458184</c:v>
                </c:pt>
                <c:pt idx="63">
                  <c:v>0.51884552084801272</c:v>
                </c:pt>
                <c:pt idx="64">
                  <c:v>0.61957224878015849</c:v>
                </c:pt>
                <c:pt idx="65">
                  <c:v>0.41522422950152349</c:v>
                </c:pt>
                <c:pt idx="66">
                  <c:v>0.86759572623620784</c:v>
                </c:pt>
                <c:pt idx="67">
                  <c:v>0.5153844654337647</c:v>
                </c:pt>
                <c:pt idx="68">
                  <c:v>0.80321415467149959</c:v>
                </c:pt>
                <c:pt idx="69">
                  <c:v>0.5429272169168049</c:v>
                </c:pt>
                <c:pt idx="70">
                  <c:v>0.66305311406710021</c:v>
                </c:pt>
                <c:pt idx="71">
                  <c:v>0.42886871875582128</c:v>
                </c:pt>
                <c:pt idx="72">
                  <c:v>0.64935515908752417</c:v>
                </c:pt>
                <c:pt idx="73">
                  <c:v>0.85352728399846656</c:v>
                </c:pt>
                <c:pt idx="74">
                  <c:v>0.29458143524262792</c:v>
                </c:pt>
                <c:pt idx="75">
                  <c:v>0.70536858960620497</c:v>
                </c:pt>
                <c:pt idx="76">
                  <c:v>#N/A</c:v>
                </c:pt>
                <c:pt idx="77">
                  <c:v>0.19540285349524897</c:v>
                </c:pt>
                <c:pt idx="78">
                  <c:v>0.22531036858706752</c:v>
                </c:pt>
                <c:pt idx="79">
                  <c:v>0.19017936287089149</c:v>
                </c:pt>
                <c:pt idx="80">
                  <c:v>0.22236508905882565</c:v>
                </c:pt>
                <c:pt idx="81">
                  <c:v>0.20602730598005603</c:v>
                </c:pt>
                <c:pt idx="82">
                  <c:v>0.20651909488178902</c:v>
                </c:pt>
                <c:pt idx="83">
                  <c:v>0.19925689568539567</c:v>
                </c:pt>
                <c:pt idx="84">
                  <c:v>0.22870716952793094</c:v>
                </c:pt>
                <c:pt idx="85">
                  <c:v>0.2091651137258321</c:v>
                </c:pt>
                <c:pt idx="86">
                  <c:v>0.210736235148832</c:v>
                </c:pt>
                <c:pt idx="87">
                  <c:v>0.24693275722061397</c:v>
                </c:pt>
                <c:pt idx="88">
                  <c:v>0.19304070789391872</c:v>
                </c:pt>
                <c:pt idx="89">
                  <c:v>0.20054000147810869</c:v>
                </c:pt>
                <c:pt idx="90">
                  <c:v>0.19657779125644262</c:v>
                </c:pt>
                <c:pt idx="91">
                  <c:v>0.21914704124370643</c:v>
                </c:pt>
                <c:pt idx="92">
                  <c:v>0.23550982963261355</c:v>
                </c:pt>
                <c:pt idx="93">
                  <c:v>0.20956457471155307</c:v>
                </c:pt>
                <c:pt idx="94">
                  <c:v>0.19265044736208239</c:v>
                </c:pt>
                <c:pt idx="95">
                  <c:v>0.22343173765819049</c:v>
                </c:pt>
                <c:pt idx="96">
                  <c:v>0.21991530773323312</c:v>
                </c:pt>
                <c:pt idx="97">
                  <c:v>0.21834539567070538</c:v>
                </c:pt>
                <c:pt idx="98">
                  <c:v>0.19531537271799815</c:v>
                </c:pt>
                <c:pt idx="99">
                  <c:v>0.19514079787910807</c:v>
                </c:pt>
                <c:pt idx="100">
                  <c:v>0.14754551519974521</c:v>
                </c:pt>
                <c:pt idx="101">
                  <c:v>0.29458143524262792</c:v>
                </c:pt>
                <c:pt idx="102">
                  <c:v>0.21102132068394694</c:v>
                </c:pt>
                <c:pt idx="103">
                  <c:v>#N/A</c:v>
                </c:pt>
                <c:pt idx="104">
                  <c:v>0.1959181663913542</c:v>
                </c:pt>
                <c:pt idx="105">
                  <c:v>0.21505055203589846</c:v>
                </c:pt>
                <c:pt idx="106">
                  <c:v>0.19710907205649766</c:v>
                </c:pt>
                <c:pt idx="107">
                  <c:v>0.22074184478111056</c:v>
                </c:pt>
                <c:pt idx="108">
                  <c:v>#N/A</c:v>
                </c:pt>
                <c:pt idx="109">
                  <c:v>0.19328713298815356</c:v>
                </c:pt>
                <c:pt idx="110">
                  <c:v>0.14474740098544533</c:v>
                </c:pt>
                <c:pt idx="111">
                  <c:v>0.11415207729021928</c:v>
                </c:pt>
                <c:pt idx="112">
                  <c:v>0.16525647841602117</c:v>
                </c:pt>
                <c:pt idx="113">
                  <c:v>0.11405763290779862</c:v>
                </c:pt>
                <c:pt idx="114">
                  <c:v>0.11775166290884993</c:v>
                </c:pt>
                <c:pt idx="115">
                  <c:v>0.1385373558039078</c:v>
                </c:pt>
                <c:pt idx="116">
                  <c:v>0.16434460355581457</c:v>
                </c:pt>
                <c:pt idx="117">
                  <c:v>0.18603981009686638</c:v>
                </c:pt>
                <c:pt idx="118">
                  <c:v>0.1856691614864846</c:v>
                </c:pt>
                <c:pt idx="119">
                  <c:v>0.11579189103100974</c:v>
                </c:pt>
                <c:pt idx="120">
                  <c:v>0.11962821098085695</c:v>
                </c:pt>
                <c:pt idx="121">
                  <c:v>0.12665606308805646</c:v>
                </c:pt>
                <c:pt idx="122">
                  <c:v>0.13087434315197333</c:v>
                </c:pt>
                <c:pt idx="123">
                  <c:v>0.18701534564825928</c:v>
                </c:pt>
                <c:pt idx="124">
                  <c:v>0.110205531113255</c:v>
                </c:pt>
                <c:pt idx="125">
                  <c:v>5.8151966861379287E-2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5.5774457114667983E-2</c:v>
                </c:pt>
                <c:pt idx="132">
                  <c:v>0.1279514902133525</c:v>
                </c:pt>
                <c:pt idx="133">
                  <c:v>0.22394250867683504</c:v>
                </c:pt>
                <c:pt idx="134">
                  <c:v>0</c:v>
                </c:pt>
                <c:pt idx="135">
                  <c:v>0.27245901150495688</c:v>
                </c:pt>
                <c:pt idx="136">
                  <c:v>6.5240676959257907E-2</c:v>
                </c:pt>
                <c:pt idx="137">
                  <c:v>0.18035638377635929</c:v>
                </c:pt>
                <c:pt idx="138">
                  <c:v>3.5959075303009999E-2</c:v>
                </c:pt>
                <c:pt idx="139">
                  <c:v>0.24905281574849836</c:v>
                </c:pt>
                <c:pt idx="140">
                  <c:v>4.8253165792337939E-2</c:v>
                </c:pt>
                <c:pt idx="141">
                  <c:v>0.19480431966049183</c:v>
                </c:pt>
                <c:pt idx="142">
                  <c:v>0.22665049482668825</c:v>
                </c:pt>
                <c:pt idx="143">
                  <c:v>7.4636394954081357E-3</c:v>
                </c:pt>
              </c:numCache>
            </c:numRef>
          </c:xVal>
          <c:yVal>
            <c:numRef>
              <c:f>'graph+_data'!$L$2:$L$1009</c:f>
              <c:numCache>
                <c:formatCode>General</c:formatCode>
                <c:ptCount val="1008"/>
                <c:pt idx="0">
                  <c:v>8</c:v>
                </c:pt>
                <c:pt idx="1">
                  <c:v>7.85</c:v>
                </c:pt>
                <c:pt idx="2">
                  <c:v>7.85</c:v>
                </c:pt>
                <c:pt idx="3">
                  <c:v>7.85</c:v>
                </c:pt>
                <c:pt idx="4">
                  <c:v>7.85</c:v>
                </c:pt>
                <c:pt idx="5">
                  <c:v>7.85</c:v>
                </c:pt>
                <c:pt idx="6">
                  <c:v>7.85</c:v>
                </c:pt>
                <c:pt idx="7">
                  <c:v>7.85</c:v>
                </c:pt>
                <c:pt idx="8">
                  <c:v>7.85</c:v>
                </c:pt>
                <c:pt idx="9">
                  <c:v>7.85</c:v>
                </c:pt>
                <c:pt idx="10">
                  <c:v>7.85</c:v>
                </c:pt>
                <c:pt idx="11">
                  <c:v>7.85</c:v>
                </c:pt>
                <c:pt idx="12">
                  <c:v>7.85</c:v>
                </c:pt>
                <c:pt idx="13">
                  <c:v>7.85</c:v>
                </c:pt>
                <c:pt idx="14">
                  <c:v>7.85</c:v>
                </c:pt>
                <c:pt idx="15">
                  <c:v>7.85</c:v>
                </c:pt>
                <c:pt idx="16">
                  <c:v>7.85</c:v>
                </c:pt>
                <c:pt idx="17">
                  <c:v>7.85</c:v>
                </c:pt>
                <c:pt idx="18">
                  <c:v>7.85</c:v>
                </c:pt>
                <c:pt idx="19">
                  <c:v>7.85</c:v>
                </c:pt>
                <c:pt idx="20">
                  <c:v>7.85</c:v>
                </c:pt>
                <c:pt idx="21">
                  <c:v>7.85</c:v>
                </c:pt>
                <c:pt idx="22">
                  <c:v>7.85</c:v>
                </c:pt>
                <c:pt idx="23">
                  <c:v>7.85</c:v>
                </c:pt>
                <c:pt idx="24">
                  <c:v>7.85</c:v>
                </c:pt>
                <c:pt idx="25">
                  <c:v>7.85</c:v>
                </c:pt>
                <c:pt idx="26">
                  <c:v>7.85</c:v>
                </c:pt>
                <c:pt idx="27">
                  <c:v>7.85</c:v>
                </c:pt>
                <c:pt idx="28">
                  <c:v>7.85</c:v>
                </c:pt>
                <c:pt idx="29">
                  <c:v>7.85</c:v>
                </c:pt>
                <c:pt idx="30">
                  <c:v>7.85</c:v>
                </c:pt>
                <c:pt idx="31">
                  <c:v>7.85</c:v>
                </c:pt>
                <c:pt idx="32">
                  <c:v>7.85</c:v>
                </c:pt>
                <c:pt idx="33">
                  <c:v>7.85</c:v>
                </c:pt>
                <c:pt idx="34">
                  <c:v>7.85</c:v>
                </c:pt>
                <c:pt idx="35">
                  <c:v>7.85</c:v>
                </c:pt>
                <c:pt idx="36">
                  <c:v>7.85</c:v>
                </c:pt>
                <c:pt idx="37">
                  <c:v>7.85</c:v>
                </c:pt>
                <c:pt idx="38">
                  <c:v>7.85</c:v>
                </c:pt>
                <c:pt idx="39">
                  <c:v>7.85</c:v>
                </c:pt>
                <c:pt idx="40">
                  <c:v>7.85</c:v>
                </c:pt>
                <c:pt idx="41">
                  <c:v>7.85</c:v>
                </c:pt>
                <c:pt idx="42">
                  <c:v>7.85</c:v>
                </c:pt>
                <c:pt idx="43">
                  <c:v>7.85</c:v>
                </c:pt>
                <c:pt idx="44">
                  <c:v>7.85</c:v>
                </c:pt>
                <c:pt idx="45">
                  <c:v>7.85</c:v>
                </c:pt>
                <c:pt idx="46">
                  <c:v>7.85</c:v>
                </c:pt>
                <c:pt idx="47">
                  <c:v>7.85</c:v>
                </c:pt>
                <c:pt idx="48">
                  <c:v>7.85</c:v>
                </c:pt>
                <c:pt idx="49">
                  <c:v>7.85</c:v>
                </c:pt>
                <c:pt idx="50">
                  <c:v>7.85</c:v>
                </c:pt>
                <c:pt idx="51">
                  <c:v>7.85</c:v>
                </c:pt>
                <c:pt idx="52">
                  <c:v>7.85</c:v>
                </c:pt>
                <c:pt idx="53">
                  <c:v>7.85</c:v>
                </c:pt>
                <c:pt idx="54">
                  <c:v>7.85</c:v>
                </c:pt>
                <c:pt idx="55">
                  <c:v>7.85</c:v>
                </c:pt>
                <c:pt idx="56">
                  <c:v>7.85</c:v>
                </c:pt>
                <c:pt idx="57">
                  <c:v>7.85</c:v>
                </c:pt>
                <c:pt idx="58">
                  <c:v>7.85</c:v>
                </c:pt>
                <c:pt idx="59">
                  <c:v>7.85</c:v>
                </c:pt>
                <c:pt idx="60">
                  <c:v>7.85</c:v>
                </c:pt>
                <c:pt idx="61">
                  <c:v>7.85</c:v>
                </c:pt>
                <c:pt idx="62">
                  <c:v>7.85</c:v>
                </c:pt>
                <c:pt idx="63">
                  <c:v>7.85</c:v>
                </c:pt>
                <c:pt idx="64">
                  <c:v>7.85</c:v>
                </c:pt>
                <c:pt idx="65">
                  <c:v>7.85</c:v>
                </c:pt>
                <c:pt idx="66">
                  <c:v>7.85</c:v>
                </c:pt>
                <c:pt idx="67">
                  <c:v>7.85</c:v>
                </c:pt>
                <c:pt idx="68">
                  <c:v>7.85</c:v>
                </c:pt>
                <c:pt idx="69">
                  <c:v>7.85</c:v>
                </c:pt>
                <c:pt idx="70">
                  <c:v>7.85</c:v>
                </c:pt>
                <c:pt idx="71">
                  <c:v>7.85</c:v>
                </c:pt>
                <c:pt idx="72">
                  <c:v>7.85</c:v>
                </c:pt>
                <c:pt idx="73">
                  <c:v>7.85</c:v>
                </c:pt>
                <c:pt idx="74">
                  <c:v>7.85</c:v>
                </c:pt>
                <c:pt idx="75">
                  <c:v>7.85</c:v>
                </c:pt>
                <c:pt idx="76">
                  <c:v>7.95</c:v>
                </c:pt>
                <c:pt idx="77">
                  <c:v>7.95</c:v>
                </c:pt>
                <c:pt idx="78">
                  <c:v>7.95</c:v>
                </c:pt>
                <c:pt idx="79">
                  <c:v>7.95</c:v>
                </c:pt>
                <c:pt idx="80">
                  <c:v>7.95</c:v>
                </c:pt>
                <c:pt idx="81">
                  <c:v>7.95</c:v>
                </c:pt>
                <c:pt idx="82">
                  <c:v>7.95</c:v>
                </c:pt>
                <c:pt idx="83">
                  <c:v>7.95</c:v>
                </c:pt>
                <c:pt idx="84">
                  <c:v>7.95</c:v>
                </c:pt>
                <c:pt idx="85">
                  <c:v>7.95</c:v>
                </c:pt>
                <c:pt idx="86">
                  <c:v>7.95</c:v>
                </c:pt>
                <c:pt idx="87">
                  <c:v>7.95</c:v>
                </c:pt>
                <c:pt idx="88">
                  <c:v>7.95</c:v>
                </c:pt>
                <c:pt idx="89">
                  <c:v>7.95</c:v>
                </c:pt>
                <c:pt idx="90">
                  <c:v>7.95</c:v>
                </c:pt>
                <c:pt idx="91">
                  <c:v>7.95</c:v>
                </c:pt>
                <c:pt idx="92">
                  <c:v>7.95</c:v>
                </c:pt>
                <c:pt idx="93">
                  <c:v>7.95</c:v>
                </c:pt>
                <c:pt idx="94">
                  <c:v>7.95</c:v>
                </c:pt>
                <c:pt idx="95">
                  <c:v>7.95</c:v>
                </c:pt>
                <c:pt idx="96">
                  <c:v>7.95</c:v>
                </c:pt>
                <c:pt idx="97">
                  <c:v>7.95</c:v>
                </c:pt>
                <c:pt idx="98">
                  <c:v>7.95</c:v>
                </c:pt>
                <c:pt idx="99">
                  <c:v>7.95</c:v>
                </c:pt>
                <c:pt idx="100">
                  <c:v>7.95</c:v>
                </c:pt>
                <c:pt idx="101">
                  <c:v>7.95</c:v>
                </c:pt>
                <c:pt idx="102">
                  <c:v>7.95</c:v>
                </c:pt>
                <c:pt idx="103">
                  <c:v>7.95</c:v>
                </c:pt>
                <c:pt idx="104">
                  <c:v>7.95</c:v>
                </c:pt>
                <c:pt idx="105">
                  <c:v>7.95</c:v>
                </c:pt>
                <c:pt idx="106">
                  <c:v>7.95</c:v>
                </c:pt>
                <c:pt idx="107">
                  <c:v>7.95</c:v>
                </c:pt>
                <c:pt idx="108">
                  <c:v>8.0500000000000007</c:v>
                </c:pt>
                <c:pt idx="109">
                  <c:v>8.0500000000000007</c:v>
                </c:pt>
                <c:pt idx="110">
                  <c:v>8.0500000000000007</c:v>
                </c:pt>
                <c:pt idx="111">
                  <c:v>8.0500000000000007</c:v>
                </c:pt>
                <c:pt idx="112">
                  <c:v>8.0500000000000007</c:v>
                </c:pt>
                <c:pt idx="113">
                  <c:v>8.0500000000000007</c:v>
                </c:pt>
                <c:pt idx="114">
                  <c:v>8.0500000000000007</c:v>
                </c:pt>
                <c:pt idx="115">
                  <c:v>8.0500000000000007</c:v>
                </c:pt>
                <c:pt idx="116">
                  <c:v>8.0500000000000007</c:v>
                </c:pt>
                <c:pt idx="117">
                  <c:v>8.0500000000000007</c:v>
                </c:pt>
                <c:pt idx="118">
                  <c:v>8.0500000000000007</c:v>
                </c:pt>
                <c:pt idx="119">
                  <c:v>8.0500000000000007</c:v>
                </c:pt>
                <c:pt idx="120">
                  <c:v>8.0500000000000007</c:v>
                </c:pt>
                <c:pt idx="121">
                  <c:v>8.0500000000000007</c:v>
                </c:pt>
                <c:pt idx="122">
                  <c:v>8.0500000000000007</c:v>
                </c:pt>
                <c:pt idx="123">
                  <c:v>8.0500000000000007</c:v>
                </c:pt>
                <c:pt idx="124">
                  <c:v>8.0500000000000007</c:v>
                </c:pt>
                <c:pt idx="125">
                  <c:v>8.0500000000000007</c:v>
                </c:pt>
                <c:pt idx="126">
                  <c:v>8.15</c:v>
                </c:pt>
                <c:pt idx="127">
                  <c:v>8.15</c:v>
                </c:pt>
                <c:pt idx="128">
                  <c:v>8.15</c:v>
                </c:pt>
                <c:pt idx="129">
                  <c:v>8.15</c:v>
                </c:pt>
                <c:pt idx="130">
                  <c:v>8.15</c:v>
                </c:pt>
                <c:pt idx="131">
                  <c:v>8.15</c:v>
                </c:pt>
                <c:pt idx="132">
                  <c:v>8.15</c:v>
                </c:pt>
                <c:pt idx="133">
                  <c:v>8.15</c:v>
                </c:pt>
                <c:pt idx="134">
                  <c:v>8.15</c:v>
                </c:pt>
                <c:pt idx="135">
                  <c:v>8.15</c:v>
                </c:pt>
                <c:pt idx="136">
                  <c:v>8.15</c:v>
                </c:pt>
                <c:pt idx="137">
                  <c:v>8.15</c:v>
                </c:pt>
                <c:pt idx="138">
                  <c:v>8.15</c:v>
                </c:pt>
                <c:pt idx="139">
                  <c:v>8.15</c:v>
                </c:pt>
                <c:pt idx="140">
                  <c:v>8.15</c:v>
                </c:pt>
                <c:pt idx="141">
                  <c:v>8.15</c:v>
                </c:pt>
                <c:pt idx="142">
                  <c:v>8.15</c:v>
                </c:pt>
                <c:pt idx="143">
                  <c:v>8.15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76608"/>
        <c:axId val="99478144"/>
      </c:scatterChart>
      <c:valAx>
        <c:axId val="99476608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out"/>
        <c:minorTickMark val="none"/>
        <c:tickLblPos val="nextTo"/>
        <c:crossAx val="99478144"/>
        <c:crosses val="autoZero"/>
        <c:crossBetween val="midCat"/>
      </c:valAx>
      <c:valAx>
        <c:axId val="99478144"/>
        <c:scaling>
          <c:orientation val="maxMin"/>
          <c:min val="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99476608"/>
        <c:crosses val="autoZero"/>
        <c:crossBetween val="midCat"/>
      </c:valAx>
      <c:spPr>
        <a:solidFill>
          <a:schemeClr val="tx1"/>
        </a:solidFill>
      </c:spPr>
    </c:plotArea>
    <c:legend>
      <c:legendPos val="l"/>
      <c:layout>
        <c:manualLayout>
          <c:xMode val="edge"/>
          <c:yMode val="edge"/>
          <c:x val="0"/>
          <c:y val="0.22052394394096961"/>
          <c:w val="0.27101504410286775"/>
          <c:h val="0.67074156610926783"/>
        </c:manualLayout>
      </c:layout>
      <c:overlay val="0"/>
      <c:txPr>
        <a:bodyPr/>
        <a:lstStyle/>
        <a:p>
          <a:pPr>
            <a:defRPr sz="120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60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59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58"/>
  <sheetViews>
    <sheetView zoomScale="7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57"/>
  <sheetViews>
    <sheetView zoomScale="7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56"/>
  <sheetViews>
    <sheetView zoomScale="7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55"/>
  <sheetViews>
    <sheetView zoomScale="7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54"/>
  <sheetViews>
    <sheetView zoomScale="7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aph53"/>
  <sheetViews>
    <sheetView zoomScale="7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aph52"/>
  <sheetViews>
    <sheetView zoomScale="7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Graph51"/>
  <sheetViews>
    <sheetView zoomScale="7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Graph50"/>
  <sheetViews>
    <sheetView zoomScale="7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Graph49"/>
  <sheetViews>
    <sheetView zoomScale="7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aph48"/>
  <sheetViews>
    <sheetView zoomScale="7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Graph47"/>
  <sheetViews>
    <sheetView zoomScale="7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Graph46"/>
  <sheetViews>
    <sheetView zoomScale="7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Graph45"/>
  <sheetViews>
    <sheetView zoomScale="72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Graph44"/>
  <sheetViews>
    <sheetView zoomScale="72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Graph43"/>
  <sheetViews>
    <sheetView zoomScale="72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Graph42"/>
  <sheetViews>
    <sheetView zoomScale="72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Graph41"/>
  <sheetViews>
    <sheetView zoomScale="72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Graph40"/>
  <sheetViews>
    <sheetView zoomScale="72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Graph39"/>
  <sheetViews>
    <sheetView zoomScale="72" workbookViewId="0" zoomToFit="1"/>
  </sheetViews>
  <pageMargins left="0.7" right="0.7" top="0.75" bottom="0.75" header="0.3" footer="0.3"/>
  <drawing r:id="rId1"/>
</chartsheet>
</file>

<file path=xl/chartsheets/sheet23.xml><?xml version="1.0" encoding="utf-8"?>
<chartsheet xmlns="http://schemas.openxmlformats.org/spreadsheetml/2006/main" xmlns:r="http://schemas.openxmlformats.org/officeDocument/2006/relationships">
  <sheetPr codeName="Graph38"/>
  <sheetViews>
    <sheetView zoomScale="72" workbookViewId="0" zoomToFit="1"/>
  </sheetViews>
  <pageMargins left="0.7" right="0.7" top="0.75" bottom="0.75" header="0.3" footer="0.3"/>
  <drawing r:id="rId1"/>
</chartsheet>
</file>

<file path=xl/chartsheets/sheet24.xml><?xml version="1.0" encoding="utf-8"?>
<chartsheet xmlns="http://schemas.openxmlformats.org/spreadsheetml/2006/main" xmlns:r="http://schemas.openxmlformats.org/officeDocument/2006/relationships">
  <sheetPr codeName="Graph37"/>
  <sheetViews>
    <sheetView zoomScale="72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>
  <sheetPr codeName="Graph36"/>
  <sheetViews>
    <sheetView zoomScale="72" workbookViewId="0" zoomToFit="1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>
  <sheetPr codeName="Graph35"/>
  <sheetViews>
    <sheetView zoomScale="72" workbookViewId="0" zoomToFit="1"/>
  </sheetViews>
  <pageMargins left="0.7" right="0.7" top="0.75" bottom="0.75" header="0.3" footer="0.3"/>
  <drawing r:id="rId1"/>
</chartsheet>
</file>

<file path=xl/chartsheets/sheet27.xml><?xml version="1.0" encoding="utf-8"?>
<chartsheet xmlns="http://schemas.openxmlformats.org/spreadsheetml/2006/main" xmlns:r="http://schemas.openxmlformats.org/officeDocument/2006/relationships">
  <sheetPr codeName="Graph34"/>
  <sheetViews>
    <sheetView zoomScale="72" workbookViewId="0" zoomToFit="1"/>
  </sheetViews>
  <pageMargins left="0.7" right="0.7" top="0.75" bottom="0.75" header="0.3" footer="0.3"/>
  <drawing r:id="rId1"/>
</chartsheet>
</file>

<file path=xl/chartsheets/sheet28.xml><?xml version="1.0" encoding="utf-8"?>
<chartsheet xmlns="http://schemas.openxmlformats.org/spreadsheetml/2006/main" xmlns:r="http://schemas.openxmlformats.org/officeDocument/2006/relationships">
  <sheetPr codeName="Graph33"/>
  <sheetViews>
    <sheetView zoomScale="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5</xdr:row>
      <xdr:rowOff>104775</xdr:rowOff>
    </xdr:from>
    <xdr:to>
      <xdr:col>23</xdr:col>
      <xdr:colOff>381000</xdr:colOff>
      <xdr:row>31</xdr:row>
      <xdr:rowOff>104775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923"/>
  <sheetViews>
    <sheetView zoomScale="55" zoomScaleNormal="55" workbookViewId="0">
      <selection activeCell="D12" sqref="D12"/>
    </sheetView>
  </sheetViews>
  <sheetFormatPr baseColWidth="10" defaultRowHeight="15" x14ac:dyDescent="0.25"/>
  <cols>
    <col min="1" max="1" width="11.42578125" style="12"/>
    <col min="2" max="2" width="11.5703125" style="12" bestFit="1" customWidth="1"/>
    <col min="3" max="3" width="12.7109375" style="12" bestFit="1" customWidth="1"/>
    <col min="4" max="4" width="11.5703125" style="12" bestFit="1" customWidth="1"/>
    <col min="5" max="5" width="12" style="12" bestFit="1" customWidth="1"/>
    <col min="6" max="6" width="7" style="12" bestFit="1" customWidth="1"/>
    <col min="7" max="7" width="12" style="12" bestFit="1" customWidth="1"/>
    <col min="8" max="8" width="1.7109375" style="12" bestFit="1" customWidth="1"/>
    <col min="9" max="9" width="10" style="12" bestFit="1" customWidth="1"/>
    <col min="10" max="10" width="12" style="12" bestFit="1" customWidth="1"/>
    <col min="11" max="11" width="10" style="12" bestFit="1" customWidth="1"/>
    <col min="12" max="13" width="1.7109375" style="12" bestFit="1" customWidth="1"/>
    <col min="14" max="14" width="12" style="12" bestFit="1" customWidth="1"/>
    <col min="15" max="15" width="7.5703125" style="12" bestFit="1" customWidth="1"/>
    <col min="16" max="16" width="8" style="12" bestFit="1" customWidth="1"/>
    <col min="17" max="17" width="1.7109375" style="12" bestFit="1" customWidth="1"/>
  </cols>
  <sheetData>
    <row r="1" spans="1:17" x14ac:dyDescent="0.25">
      <c r="A1" s="12" t="s">
        <v>18</v>
      </c>
      <c r="B1" s="11" t="s">
        <v>6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  <c r="H1" s="11" t="s">
        <v>0</v>
      </c>
      <c r="I1" s="11" t="s">
        <v>12</v>
      </c>
      <c r="J1" s="11" t="s">
        <v>13</v>
      </c>
      <c r="K1" s="11" t="s">
        <v>14</v>
      </c>
      <c r="L1" s="11" t="s">
        <v>1</v>
      </c>
      <c r="M1" s="11" t="s">
        <v>0</v>
      </c>
      <c r="N1" s="11" t="s">
        <v>15</v>
      </c>
      <c r="O1" s="11" t="s">
        <v>16</v>
      </c>
      <c r="P1" s="11" t="s">
        <v>17</v>
      </c>
      <c r="Q1" s="11" t="s">
        <v>1</v>
      </c>
    </row>
    <row r="2" spans="1:17" x14ac:dyDescent="0.25">
      <c r="A2" s="12">
        <f>1</f>
        <v>1</v>
      </c>
      <c r="B2" s="12">
        <v>0.96895399999999998</v>
      </c>
      <c r="C2" s="12">
        <v>4.4412100000000003E-2</v>
      </c>
      <c r="D2" s="12">
        <v>0.829399</v>
      </c>
      <c r="E2" s="12">
        <v>21.564975983708699</v>
      </c>
      <c r="F2" s="12">
        <v>56.25</v>
      </c>
      <c r="G2" s="12">
        <v>243.844054161005</v>
      </c>
      <c r="H2" s="12" t="s">
        <v>0</v>
      </c>
      <c r="I2" s="12">
        <v>1.0751630000000001</v>
      </c>
      <c r="J2" s="12">
        <v>122.20605</v>
      </c>
      <c r="K2" s="12">
        <v>499.34541000000002</v>
      </c>
      <c r="L2" s="12" t="s">
        <v>1</v>
      </c>
      <c r="M2" s="12" t="s">
        <v>0</v>
      </c>
      <c r="N2" s="12">
        <v>14.6438105025623</v>
      </c>
      <c r="O2" s="12">
        <v>15.5</v>
      </c>
      <c r="P2" s="12">
        <v>1600.34</v>
      </c>
      <c r="Q2" s="12" t="s">
        <v>1</v>
      </c>
    </row>
    <row r="3" spans="1:17" x14ac:dyDescent="0.25">
      <c r="A3" s="12">
        <f>A2+1</f>
        <v>2</v>
      </c>
      <c r="B3" s="12">
        <v>0.99190900000000004</v>
      </c>
      <c r="C3" s="12">
        <v>3.2801400000000001E-2</v>
      </c>
      <c r="D3" s="12">
        <v>0.81539799999999996</v>
      </c>
      <c r="E3" s="12">
        <v>15.5879838493022</v>
      </c>
      <c r="F3" s="12">
        <v>56.25</v>
      </c>
      <c r="G3" s="12">
        <v>247.01763000112501</v>
      </c>
      <c r="H3" s="12" t="s">
        <v>0</v>
      </c>
      <c r="I3" s="12">
        <v>1.0935269999999999</v>
      </c>
      <c r="J3" s="12">
        <v>116.4007</v>
      </c>
      <c r="K3" s="12">
        <v>491.08481999999998</v>
      </c>
      <c r="L3" s="12" t="s">
        <v>1</v>
      </c>
      <c r="M3" s="12" t="s">
        <v>0</v>
      </c>
      <c r="N3" s="12">
        <v>13.948162084983601</v>
      </c>
      <c r="O3" s="12">
        <v>15.5</v>
      </c>
      <c r="P3" s="12">
        <v>1563.37</v>
      </c>
      <c r="Q3" s="12" t="s">
        <v>1</v>
      </c>
    </row>
    <row r="4" spans="1:17" x14ac:dyDescent="0.25">
      <c r="A4" s="12">
        <f t="shared" ref="A4:A67" si="0">A3+1</f>
        <v>3</v>
      </c>
      <c r="B4" s="12">
        <v>0.87894499999999998</v>
      </c>
      <c r="C4" s="12">
        <v>0.77771199999999996</v>
      </c>
      <c r="D4" s="12">
        <v>0.98188200000000003</v>
      </c>
      <c r="E4" s="12">
        <v>2359.9243483750902</v>
      </c>
      <c r="F4" s="12">
        <v>36</v>
      </c>
      <c r="G4" s="12">
        <v>3.7967323257646801</v>
      </c>
      <c r="H4" s="12" t="s">
        <v>0</v>
      </c>
      <c r="I4" s="12">
        <v>1.0031559999999999</v>
      </c>
      <c r="J4" s="12">
        <v>488.85599999999999</v>
      </c>
      <c r="K4" s="12">
        <v>589.31038000000001</v>
      </c>
      <c r="L4" s="12" t="s">
        <v>1</v>
      </c>
      <c r="M4" s="12" t="s">
        <v>0</v>
      </c>
      <c r="N4" s="12">
        <v>58.579052567697197</v>
      </c>
      <c r="O4" s="12">
        <v>14</v>
      </c>
      <c r="P4" s="12">
        <v>8011.21</v>
      </c>
      <c r="Q4" s="12" t="s">
        <v>1</v>
      </c>
    </row>
    <row r="5" spans="1:17" x14ac:dyDescent="0.25">
      <c r="A5" s="12">
        <f t="shared" si="0"/>
        <v>4</v>
      </c>
      <c r="B5" s="12">
        <v>0.86657899999999999</v>
      </c>
      <c r="C5" s="12">
        <v>0.72310700000000006</v>
      </c>
      <c r="D5" s="12">
        <v>1.0248200000000001</v>
      </c>
      <c r="E5" s="12">
        <v>2052.7627941452301</v>
      </c>
      <c r="F5" s="12">
        <v>36</v>
      </c>
      <c r="G5" s="12">
        <v>2.5412647776318202E-3</v>
      </c>
      <c r="H5" s="12" t="s">
        <v>0</v>
      </c>
      <c r="I5" s="12">
        <v>0.99326300000000001</v>
      </c>
      <c r="J5" s="12">
        <v>461.55349999999999</v>
      </c>
      <c r="K5" s="12">
        <v>614.64380000000006</v>
      </c>
      <c r="L5" s="12" t="s">
        <v>1</v>
      </c>
      <c r="M5" s="12" t="s">
        <v>0</v>
      </c>
      <c r="N5" s="12">
        <v>55.307425375375601</v>
      </c>
      <c r="O5" s="12">
        <v>14</v>
      </c>
      <c r="P5" s="12">
        <v>7318.4</v>
      </c>
      <c r="Q5" s="12" t="s">
        <v>1</v>
      </c>
    </row>
    <row r="6" spans="1:17" x14ac:dyDescent="0.25">
      <c r="A6" s="12">
        <f t="shared" si="0"/>
        <v>5</v>
      </c>
      <c r="B6" s="12">
        <v>0.43942399999999998</v>
      </c>
      <c r="C6" s="12">
        <v>0.13952200000000001</v>
      </c>
      <c r="D6" s="12">
        <v>0.248449</v>
      </c>
      <c r="E6" s="12">
        <v>106.96245565881701</v>
      </c>
      <c r="F6" s="12">
        <v>81</v>
      </c>
      <c r="G6" s="12">
        <v>20.0893063681741</v>
      </c>
      <c r="H6" s="12" t="s">
        <v>0</v>
      </c>
      <c r="I6" s="12">
        <v>0.65153899999999998</v>
      </c>
      <c r="J6" s="12">
        <v>169.761</v>
      </c>
      <c r="K6" s="12">
        <v>156.58491000000001</v>
      </c>
      <c r="L6" s="12" t="s">
        <v>1</v>
      </c>
      <c r="M6" s="12" t="s">
        <v>0</v>
      </c>
      <c r="N6" s="12">
        <v>20.3422654993389</v>
      </c>
      <c r="O6" s="12">
        <v>17</v>
      </c>
      <c r="P6" s="12">
        <v>8935.9699999999993</v>
      </c>
      <c r="Q6" s="12" t="s">
        <v>1</v>
      </c>
    </row>
    <row r="7" spans="1:17" x14ac:dyDescent="0.25">
      <c r="A7" s="12">
        <f t="shared" si="0"/>
        <v>6</v>
      </c>
      <c r="B7" s="12">
        <v>0.466364</v>
      </c>
      <c r="C7" s="12">
        <v>2.6960700000000001E-2</v>
      </c>
      <c r="D7" s="12">
        <v>0.26536300000000002</v>
      </c>
      <c r="E7" s="12">
        <v>12.947186457828201</v>
      </c>
      <c r="F7" s="12">
        <v>121</v>
      </c>
      <c r="G7" s="12">
        <v>46.400357965847199</v>
      </c>
      <c r="H7" s="12" t="s">
        <v>0</v>
      </c>
      <c r="I7" s="12">
        <v>0.67309099999999999</v>
      </c>
      <c r="J7" s="12">
        <v>113.48035</v>
      </c>
      <c r="K7" s="12">
        <v>166.56416999999999</v>
      </c>
      <c r="L7" s="12" t="s">
        <v>1</v>
      </c>
      <c r="M7" s="12" t="s">
        <v>0</v>
      </c>
      <c r="N7" s="12">
        <v>13.598219901260601</v>
      </c>
      <c r="O7" s="12">
        <v>19</v>
      </c>
      <c r="P7" s="12">
        <v>4813.7</v>
      </c>
      <c r="Q7" s="12" t="s">
        <v>1</v>
      </c>
    </row>
    <row r="8" spans="1:17" x14ac:dyDescent="0.25">
      <c r="A8" s="12">
        <f t="shared" si="0"/>
        <v>7</v>
      </c>
      <c r="B8" s="12">
        <v>0.96190500000000001</v>
      </c>
      <c r="C8" s="12">
        <v>2.6350200000000001E-2</v>
      </c>
      <c r="D8" s="12">
        <v>0.80021299999999995</v>
      </c>
      <c r="E8" s="12">
        <v>12.685294766392101</v>
      </c>
      <c r="F8" s="12">
        <v>56.25</v>
      </c>
      <c r="G8" s="12">
        <v>247.37515487633701</v>
      </c>
      <c r="H8" s="12" t="s">
        <v>0</v>
      </c>
      <c r="I8" s="12">
        <v>1.0695239999999999</v>
      </c>
      <c r="J8" s="12">
        <v>113.1751</v>
      </c>
      <c r="K8" s="12">
        <v>482.12567000000001</v>
      </c>
      <c r="L8" s="12" t="s">
        <v>1</v>
      </c>
      <c r="M8" s="12" t="s">
        <v>0</v>
      </c>
      <c r="N8" s="12">
        <v>13.5616421446282</v>
      </c>
      <c r="O8" s="12">
        <v>15.5</v>
      </c>
      <c r="P8" s="12">
        <v>1559.22</v>
      </c>
      <c r="Q8" s="12" t="s">
        <v>1</v>
      </c>
    </row>
    <row r="9" spans="1:17" x14ac:dyDescent="0.25">
      <c r="A9" s="12">
        <f t="shared" si="0"/>
        <v>8</v>
      </c>
      <c r="B9" s="12">
        <v>0.98205100000000001</v>
      </c>
      <c r="C9" s="12">
        <v>2.5618200000000001E-2</v>
      </c>
      <c r="D9" s="12">
        <v>0.79131099999999999</v>
      </c>
      <c r="E9" s="12">
        <v>12.3748097958608</v>
      </c>
      <c r="F9" s="12">
        <v>56.25</v>
      </c>
      <c r="G9" s="12">
        <v>247.04346650328301</v>
      </c>
      <c r="H9" s="12" t="s">
        <v>0</v>
      </c>
      <c r="I9" s="12">
        <v>1.0856399999999999</v>
      </c>
      <c r="J9" s="12">
        <v>112.8091</v>
      </c>
      <c r="K9" s="12">
        <v>476.87349</v>
      </c>
      <c r="L9" s="12" t="s">
        <v>1</v>
      </c>
      <c r="M9" s="12" t="s">
        <v>0</v>
      </c>
      <c r="N9" s="12">
        <v>13.517784785324499</v>
      </c>
      <c r="O9" s="12">
        <v>15.5</v>
      </c>
      <c r="P9" s="12">
        <v>1563.07</v>
      </c>
      <c r="Q9" s="12" t="s">
        <v>1</v>
      </c>
    </row>
    <row r="10" spans="1:17" x14ac:dyDescent="0.25">
      <c r="A10" s="12">
        <f t="shared" si="0"/>
        <v>9</v>
      </c>
      <c r="B10" s="12">
        <v>0.82905399999999996</v>
      </c>
      <c r="C10" s="12">
        <v>0.29377599999999998</v>
      </c>
      <c r="D10" s="12">
        <v>0.60955599999999999</v>
      </c>
      <c r="E10" s="12">
        <v>383.54501236872198</v>
      </c>
      <c r="F10" s="12">
        <v>42.25</v>
      </c>
      <c r="G10" s="12">
        <v>5.8158938457496703</v>
      </c>
      <c r="H10" s="12" t="s">
        <v>0</v>
      </c>
      <c r="I10" s="12">
        <v>0.96324299999999996</v>
      </c>
      <c r="J10" s="12">
        <v>246.88800000000001</v>
      </c>
      <c r="K10" s="12">
        <v>369.63803999999999</v>
      </c>
      <c r="L10" s="12" t="s">
        <v>1</v>
      </c>
      <c r="M10" s="12" t="s">
        <v>0</v>
      </c>
      <c r="N10" s="12">
        <v>29.584305256217799</v>
      </c>
      <c r="O10" s="12">
        <v>14.5</v>
      </c>
      <c r="P10" s="12">
        <v>6419.76</v>
      </c>
      <c r="Q10" s="12" t="s">
        <v>1</v>
      </c>
    </row>
    <row r="11" spans="1:17" x14ac:dyDescent="0.25">
      <c r="A11" s="12">
        <f t="shared" si="0"/>
        <v>10</v>
      </c>
      <c r="B11" s="12">
        <v>0.83987599999999996</v>
      </c>
      <c r="C11" s="12">
        <v>0.27517799999999998</v>
      </c>
      <c r="D11" s="12">
        <v>0.64142399999999999</v>
      </c>
      <c r="E11" s="12">
        <v>341.14151966479301</v>
      </c>
      <c r="F11" s="12">
        <v>49</v>
      </c>
      <c r="G11" s="12">
        <v>51.617729176956203</v>
      </c>
      <c r="H11" s="12" t="s">
        <v>0</v>
      </c>
      <c r="I11" s="12">
        <v>0.97189999999999999</v>
      </c>
      <c r="J11" s="12">
        <v>237.589</v>
      </c>
      <c r="K11" s="12">
        <v>388.44015999999999</v>
      </c>
      <c r="L11" s="12" t="s">
        <v>1</v>
      </c>
      <c r="M11" s="12" t="s">
        <v>0</v>
      </c>
      <c r="N11" s="12">
        <v>28.470016774891999</v>
      </c>
      <c r="O11" s="12">
        <v>15</v>
      </c>
      <c r="P11" s="12">
        <v>4677.6400000000003</v>
      </c>
      <c r="Q11" s="12" t="s">
        <v>1</v>
      </c>
    </row>
    <row r="12" spans="1:17" x14ac:dyDescent="0.25">
      <c r="A12" s="12">
        <f t="shared" si="0"/>
        <v>11</v>
      </c>
      <c r="B12" s="12">
        <v>1.0129699999999999</v>
      </c>
      <c r="C12" s="12">
        <v>3.0441699999999999E-2</v>
      </c>
      <c r="D12" s="12">
        <v>0.76445700000000005</v>
      </c>
      <c r="E12" s="12">
        <v>14.4915893147099</v>
      </c>
      <c r="F12" s="12">
        <v>56.25</v>
      </c>
      <c r="G12" s="12">
        <v>239.82468155451301</v>
      </c>
      <c r="H12" s="12" t="s">
        <v>0</v>
      </c>
      <c r="I12" s="12">
        <v>1.1103700000000001</v>
      </c>
      <c r="J12" s="12">
        <v>115.22085</v>
      </c>
      <c r="K12" s="12">
        <v>461.02963</v>
      </c>
      <c r="L12" s="12" t="s">
        <v>1</v>
      </c>
      <c r="M12" s="12" t="s">
        <v>0</v>
      </c>
      <c r="N12" s="12">
        <v>13.806782015654401</v>
      </c>
      <c r="O12" s="12">
        <v>15.5</v>
      </c>
      <c r="P12" s="12">
        <v>1647.51</v>
      </c>
      <c r="Q12" s="12" t="s">
        <v>1</v>
      </c>
    </row>
    <row r="13" spans="1:17" x14ac:dyDescent="0.25">
      <c r="A13" s="12">
        <f t="shared" si="0"/>
        <v>12</v>
      </c>
      <c r="B13" s="12">
        <v>1.05322</v>
      </c>
      <c r="C13" s="12">
        <v>5.2935299999999998E-2</v>
      </c>
      <c r="D13" s="12">
        <v>0.73239799999999999</v>
      </c>
      <c r="E13" s="12">
        <v>26.5685932694829</v>
      </c>
      <c r="F13" s="12">
        <v>49</v>
      </c>
      <c r="G13" s="12">
        <v>228.066266484518</v>
      </c>
      <c r="H13" s="12" t="s">
        <v>0</v>
      </c>
      <c r="I13" s="12">
        <v>1.1425700000000001</v>
      </c>
      <c r="J13" s="12">
        <v>126.46765000000001</v>
      </c>
      <c r="K13" s="12">
        <v>442.11482000000001</v>
      </c>
      <c r="L13" s="12" t="s">
        <v>1</v>
      </c>
      <c r="M13" s="12" t="s">
        <v>0</v>
      </c>
      <c r="N13" s="12">
        <v>15.154473132094299</v>
      </c>
      <c r="O13" s="12">
        <v>15</v>
      </c>
      <c r="P13" s="12">
        <v>1787.82</v>
      </c>
      <c r="Q13" s="12" t="s">
        <v>1</v>
      </c>
    </row>
    <row r="14" spans="1:17" x14ac:dyDescent="0.25">
      <c r="A14" s="12">
        <f t="shared" si="0"/>
        <v>13</v>
      </c>
      <c r="B14" s="12">
        <v>1.00705</v>
      </c>
      <c r="C14" s="12">
        <v>5.9606399999999997E-2</v>
      </c>
      <c r="D14" s="12">
        <v>0.69437599999999999</v>
      </c>
      <c r="E14" s="12">
        <v>30.848785000056001</v>
      </c>
      <c r="F14" s="12">
        <v>49</v>
      </c>
      <c r="G14" s="12">
        <v>214.00403386451401</v>
      </c>
      <c r="H14" s="12" t="s">
        <v>0</v>
      </c>
      <c r="I14" s="12">
        <v>1.10564</v>
      </c>
      <c r="J14" s="12">
        <v>129.8032</v>
      </c>
      <c r="K14" s="12">
        <v>419.68184000000002</v>
      </c>
      <c r="L14" s="12" t="s">
        <v>1</v>
      </c>
      <c r="M14" s="12" t="s">
        <v>0</v>
      </c>
      <c r="N14" s="12">
        <v>15.554168254568401</v>
      </c>
      <c r="O14" s="12">
        <v>15</v>
      </c>
      <c r="P14" s="12">
        <v>1960.46</v>
      </c>
      <c r="Q14" s="12" t="s">
        <v>1</v>
      </c>
    </row>
    <row r="15" spans="1:17" x14ac:dyDescent="0.25">
      <c r="A15" s="12">
        <f t="shared" si="0"/>
        <v>14</v>
      </c>
      <c r="B15" s="12">
        <v>1.0839300000000001</v>
      </c>
      <c r="C15" s="12">
        <v>-3.7201600000000001E-3</v>
      </c>
      <c r="D15" s="12">
        <v>0.71110300000000004</v>
      </c>
      <c r="E15" s="12">
        <v>3.09757820179306</v>
      </c>
      <c r="F15" s="12">
        <v>72.25</v>
      </c>
      <c r="G15" s="12">
        <v>290.88751024882703</v>
      </c>
      <c r="H15" s="12" t="s">
        <v>0</v>
      </c>
      <c r="I15" s="12">
        <v>1.1671400000000001</v>
      </c>
      <c r="J15" s="12">
        <v>98.139920000000004</v>
      </c>
      <c r="K15" s="12">
        <v>429.55077</v>
      </c>
      <c r="L15" s="12" t="s">
        <v>1</v>
      </c>
      <c r="M15" s="12" t="s">
        <v>0</v>
      </c>
      <c r="N15" s="12">
        <v>11.759993807316601</v>
      </c>
      <c r="O15" s="12">
        <v>16.5</v>
      </c>
      <c r="P15" s="12">
        <v>1074.77</v>
      </c>
      <c r="Q15" s="12" t="s">
        <v>1</v>
      </c>
    </row>
    <row r="16" spans="1:17" x14ac:dyDescent="0.25">
      <c r="A16" s="12">
        <f t="shared" si="0"/>
        <v>15</v>
      </c>
      <c r="B16" s="12">
        <v>0.96514</v>
      </c>
      <c r="C16" s="12">
        <v>1.0749E-2</v>
      </c>
      <c r="D16" s="12">
        <v>0.73679499999999998</v>
      </c>
      <c r="E16" s="12">
        <v>6.9006309979628302</v>
      </c>
      <c r="F16" s="12">
        <v>72.25</v>
      </c>
      <c r="G16" s="12">
        <v>266.02950564833901</v>
      </c>
      <c r="H16" s="12" t="s">
        <v>0</v>
      </c>
      <c r="I16" s="12">
        <v>1.0721099999999999</v>
      </c>
      <c r="J16" s="12">
        <v>105.3745</v>
      </c>
      <c r="K16" s="12">
        <v>444.70904999999999</v>
      </c>
      <c r="L16" s="12" t="s">
        <v>1</v>
      </c>
      <c r="M16" s="12" t="s">
        <v>0</v>
      </c>
      <c r="N16" s="12">
        <v>12.6269052129764</v>
      </c>
      <c r="O16" s="12">
        <v>16.5</v>
      </c>
      <c r="P16" s="12">
        <v>1346.7</v>
      </c>
      <c r="Q16" s="12" t="s">
        <v>1</v>
      </c>
    </row>
    <row r="17" spans="1:17" x14ac:dyDescent="0.25">
      <c r="A17" s="12">
        <f t="shared" si="0"/>
        <v>16</v>
      </c>
      <c r="B17" s="12">
        <v>0.98671399999999998</v>
      </c>
      <c r="C17" s="12">
        <v>3.3625200000000001E-2</v>
      </c>
      <c r="D17" s="12">
        <v>0.71862499999999996</v>
      </c>
      <c r="E17" s="12">
        <v>15.980162860664199</v>
      </c>
      <c r="F17" s="12">
        <v>56.25</v>
      </c>
      <c r="G17" s="12">
        <v>400</v>
      </c>
      <c r="H17" s="12" t="s">
        <v>0</v>
      </c>
      <c r="I17" s="12">
        <v>1.0893710000000001</v>
      </c>
      <c r="J17" s="12">
        <v>116.8126</v>
      </c>
      <c r="K17" s="12">
        <v>433.98874999999998</v>
      </c>
      <c r="L17" s="12" t="s">
        <v>1</v>
      </c>
      <c r="M17" s="12" t="s">
        <v>0</v>
      </c>
      <c r="N17" s="12">
        <v>13.997519588527799</v>
      </c>
      <c r="O17" s="12">
        <v>15.5</v>
      </c>
      <c r="P17" s="12">
        <v>0</v>
      </c>
      <c r="Q17" s="12" t="s">
        <v>1</v>
      </c>
    </row>
    <row r="18" spans="1:17" x14ac:dyDescent="0.25">
      <c r="A18" s="12">
        <f t="shared" si="0"/>
        <v>17</v>
      </c>
      <c r="B18" s="12">
        <v>1.06952</v>
      </c>
      <c r="C18" s="12">
        <v>0.11164300000000001</v>
      </c>
      <c r="D18" s="12">
        <v>0.91157999999999995</v>
      </c>
      <c r="E18" s="12">
        <v>75.202044502497799</v>
      </c>
      <c r="F18" s="12">
        <v>36</v>
      </c>
      <c r="G18" s="12">
        <v>190.843248856445</v>
      </c>
      <c r="H18" s="12" t="s">
        <v>0</v>
      </c>
      <c r="I18" s="12">
        <v>1.15561</v>
      </c>
      <c r="J18" s="12">
        <v>155.82149999999999</v>
      </c>
      <c r="K18" s="12">
        <v>547.83219999999994</v>
      </c>
      <c r="L18" s="12" t="s">
        <v>1</v>
      </c>
      <c r="M18" s="12" t="s">
        <v>0</v>
      </c>
      <c r="N18" s="12">
        <v>18.671911237005201</v>
      </c>
      <c r="O18" s="12">
        <v>14</v>
      </c>
      <c r="P18" s="12">
        <v>2257.67</v>
      </c>
      <c r="Q18" s="12" t="s">
        <v>1</v>
      </c>
    </row>
    <row r="19" spans="1:17" x14ac:dyDescent="0.25">
      <c r="A19" s="12">
        <f t="shared" si="0"/>
        <v>18</v>
      </c>
      <c r="B19" s="12">
        <v>1.07578</v>
      </c>
      <c r="C19" s="12">
        <v>0.105698</v>
      </c>
      <c r="D19" s="12">
        <v>0.89186900000000002</v>
      </c>
      <c r="E19" s="12">
        <v>69.151198764578595</v>
      </c>
      <c r="F19" s="12">
        <v>36</v>
      </c>
      <c r="G19" s="12">
        <v>188.97360634190201</v>
      </c>
      <c r="H19" s="12" t="s">
        <v>0</v>
      </c>
      <c r="I19" s="12">
        <v>1.16062</v>
      </c>
      <c r="J19" s="12">
        <v>152.84899999999999</v>
      </c>
      <c r="K19" s="12">
        <v>536.20271000000002</v>
      </c>
      <c r="L19" s="12" t="s">
        <v>1</v>
      </c>
      <c r="M19" s="12" t="s">
        <v>0</v>
      </c>
      <c r="N19" s="12">
        <v>18.315719978725699</v>
      </c>
      <c r="O19" s="12">
        <v>14</v>
      </c>
      <c r="P19" s="12">
        <v>2282.4299999999998</v>
      </c>
      <c r="Q19" s="12" t="s">
        <v>1</v>
      </c>
    </row>
    <row r="20" spans="1:17" x14ac:dyDescent="0.25">
      <c r="A20" s="12">
        <f t="shared" si="0"/>
        <v>19</v>
      </c>
      <c r="B20" s="12">
        <v>0.22173100000000001</v>
      </c>
      <c r="C20" s="12">
        <v>-2.2548200000000001E-2</v>
      </c>
      <c r="D20" s="12">
        <v>0.48509600000000003</v>
      </c>
      <c r="E20" s="12">
        <v>0.39932618705115702</v>
      </c>
      <c r="F20" s="12">
        <v>144</v>
      </c>
      <c r="G20" s="12">
        <v>229.32745926064899</v>
      </c>
      <c r="H20" s="12" t="s">
        <v>0</v>
      </c>
      <c r="I20" s="12">
        <v>0.47738399999999998</v>
      </c>
      <c r="J20" s="12">
        <v>88.725899999999996</v>
      </c>
      <c r="K20" s="12">
        <v>296.20663999999999</v>
      </c>
      <c r="L20" s="12" t="s">
        <v>1</v>
      </c>
      <c r="M20" s="12" t="s">
        <v>0</v>
      </c>
      <c r="N20" s="12">
        <v>10.6319226115998</v>
      </c>
      <c r="O20" s="12">
        <v>20</v>
      </c>
      <c r="P20" s="12">
        <v>1772.6</v>
      </c>
      <c r="Q20" s="12" t="s">
        <v>1</v>
      </c>
    </row>
    <row r="21" spans="1:17" x14ac:dyDescent="0.25">
      <c r="A21" s="12">
        <f t="shared" si="0"/>
        <v>20</v>
      </c>
      <c r="B21" s="12">
        <v>0.269534</v>
      </c>
      <c r="C21" s="12">
        <v>-4.6451600000000003E-2</v>
      </c>
      <c r="D21" s="12">
        <v>0.408078</v>
      </c>
      <c r="E21" s="12">
        <v>0.64037743418666104</v>
      </c>
      <c r="F21" s="12">
        <v>156.25</v>
      </c>
      <c r="G21" s="12">
        <v>213.804486413961</v>
      </c>
      <c r="H21" s="12" t="s">
        <v>0</v>
      </c>
      <c r="I21" s="12">
        <v>0.51562699999999995</v>
      </c>
      <c r="J21" s="12">
        <v>76.774199999999993</v>
      </c>
      <c r="K21" s="12">
        <v>250.76602</v>
      </c>
      <c r="L21" s="12" t="s">
        <v>1</v>
      </c>
      <c r="M21" s="12" t="s">
        <v>0</v>
      </c>
      <c r="N21" s="12">
        <v>9.1997641384025108</v>
      </c>
      <c r="O21" s="12">
        <v>20.5</v>
      </c>
      <c r="P21" s="12">
        <v>1962.95</v>
      </c>
      <c r="Q21" s="12" t="s">
        <v>1</v>
      </c>
    </row>
    <row r="22" spans="1:17" x14ac:dyDescent="0.25">
      <c r="A22" s="12">
        <f t="shared" si="0"/>
        <v>21</v>
      </c>
      <c r="B22" s="12">
        <v>0.28137200000000001</v>
      </c>
      <c r="C22" s="12">
        <v>-1.57336E-3</v>
      </c>
      <c r="D22" s="12">
        <v>0.52071500000000004</v>
      </c>
      <c r="E22" s="12">
        <v>3.5668783106656599</v>
      </c>
      <c r="F22" s="12">
        <v>132.25</v>
      </c>
      <c r="G22" s="12">
        <v>207.62283391930899</v>
      </c>
      <c r="H22" s="12" t="s">
        <v>0</v>
      </c>
      <c r="I22" s="12">
        <v>0.52509700000000004</v>
      </c>
      <c r="J22" s="12">
        <v>99.213319999999996</v>
      </c>
      <c r="K22" s="12">
        <v>317.22185000000002</v>
      </c>
      <c r="L22" s="12" t="s">
        <v>1</v>
      </c>
      <c r="M22" s="12" t="s">
        <v>0</v>
      </c>
      <c r="N22" s="12">
        <v>11.8886180955041</v>
      </c>
      <c r="O22" s="12">
        <v>19.5</v>
      </c>
      <c r="P22" s="12">
        <v>2040.67</v>
      </c>
      <c r="Q22" s="12" t="s">
        <v>1</v>
      </c>
    </row>
    <row r="23" spans="1:17" x14ac:dyDescent="0.25">
      <c r="A23" s="12">
        <f t="shared" si="0"/>
        <v>22</v>
      </c>
      <c r="B23" s="12">
        <v>0.29728700000000002</v>
      </c>
      <c r="C23" s="12">
        <v>-0.105416</v>
      </c>
      <c r="D23" s="12">
        <v>0.54971199999999998</v>
      </c>
      <c r="E23" s="12">
        <v>18.775356962385899</v>
      </c>
      <c r="F23" s="12">
        <v>210.25</v>
      </c>
      <c r="G23" s="12">
        <v>305.768148588695</v>
      </c>
      <c r="H23" s="12" t="s">
        <v>0</v>
      </c>
      <c r="I23" s="12">
        <v>0.537829</v>
      </c>
      <c r="J23" s="12">
        <v>47.292000000000002</v>
      </c>
      <c r="K23" s="12">
        <v>334.33008000000001</v>
      </c>
      <c r="L23" s="12" t="s">
        <v>1</v>
      </c>
      <c r="M23" s="12" t="s">
        <v>0</v>
      </c>
      <c r="N23" s="12">
        <v>5.6669460005227199</v>
      </c>
      <c r="O23" s="12">
        <v>22.5</v>
      </c>
      <c r="P23" s="12">
        <v>917.52700000000004</v>
      </c>
      <c r="Q23" s="12" t="s">
        <v>1</v>
      </c>
    </row>
    <row r="24" spans="1:17" x14ac:dyDescent="0.25">
      <c r="A24" s="12">
        <f t="shared" si="0"/>
        <v>23</v>
      </c>
      <c r="B24" s="12">
        <v>0.86257200000000001</v>
      </c>
      <c r="C24" s="12">
        <v>0.34081699999999998</v>
      </c>
      <c r="D24" s="12">
        <v>0.58203800000000006</v>
      </c>
      <c r="E24" s="12">
        <v>501.88274766705098</v>
      </c>
      <c r="F24" s="12">
        <v>49</v>
      </c>
      <c r="G24" s="12">
        <v>21.013055999999999</v>
      </c>
      <c r="H24" s="12" t="s">
        <v>0</v>
      </c>
      <c r="I24" s="12">
        <v>0.99005699999999996</v>
      </c>
      <c r="J24" s="12">
        <v>270.4085</v>
      </c>
      <c r="K24" s="12">
        <v>353.40242000000001</v>
      </c>
      <c r="L24" s="12" t="s">
        <v>1</v>
      </c>
      <c r="M24" s="12" t="s">
        <v>0</v>
      </c>
      <c r="N24" s="12">
        <v>32.402739735734301</v>
      </c>
      <c r="O24" s="12">
        <v>15</v>
      </c>
      <c r="P24" s="12">
        <v>5626.84</v>
      </c>
      <c r="Q24" s="12" t="s">
        <v>1</v>
      </c>
    </row>
    <row r="25" spans="1:17" x14ac:dyDescent="0.25">
      <c r="A25" s="12">
        <f t="shared" si="0"/>
        <v>24</v>
      </c>
      <c r="B25" s="12">
        <v>0.84879800000000005</v>
      </c>
      <c r="C25" s="12">
        <v>0.34243299999999999</v>
      </c>
      <c r="D25" s="12">
        <v>0.58901700000000001</v>
      </c>
      <c r="E25" s="12">
        <v>506.23026530661298</v>
      </c>
      <c r="F25" s="12">
        <v>42.25</v>
      </c>
      <c r="G25" s="12">
        <v>400</v>
      </c>
      <c r="H25" s="12" t="s">
        <v>0</v>
      </c>
      <c r="I25" s="12">
        <v>0.97903799999999996</v>
      </c>
      <c r="J25" s="12">
        <v>271.2165</v>
      </c>
      <c r="K25" s="12">
        <v>357.52003000000002</v>
      </c>
      <c r="L25" s="12" t="s">
        <v>1</v>
      </c>
      <c r="M25" s="12" t="s">
        <v>0</v>
      </c>
      <c r="N25" s="12">
        <v>32.499561446984103</v>
      </c>
      <c r="O25" s="12">
        <v>14.5</v>
      </c>
      <c r="P25" s="12">
        <v>0</v>
      </c>
      <c r="Q25" s="12" t="s">
        <v>1</v>
      </c>
    </row>
    <row r="26" spans="1:17" x14ac:dyDescent="0.25">
      <c r="A26" s="12">
        <f t="shared" si="0"/>
        <v>25</v>
      </c>
      <c r="B26" s="12">
        <v>0.189109</v>
      </c>
      <c r="C26" s="12">
        <v>3.62052E-2</v>
      </c>
      <c r="D26" s="12">
        <v>0.18557799999999999</v>
      </c>
      <c r="E26" s="12">
        <v>17.239924492676501</v>
      </c>
      <c r="F26" s="12">
        <v>110.25</v>
      </c>
      <c r="G26" s="12">
        <v>39.234950185025298</v>
      </c>
      <c r="H26" s="12" t="s">
        <v>0</v>
      </c>
      <c r="I26" s="12">
        <v>0.45128699999999999</v>
      </c>
      <c r="J26" s="12">
        <v>118.1026</v>
      </c>
      <c r="K26" s="12">
        <v>119.49102000000001</v>
      </c>
      <c r="L26" s="12" t="s">
        <v>1</v>
      </c>
      <c r="M26" s="12" t="s">
        <v>0</v>
      </c>
      <c r="N26" s="12">
        <v>14.152098805745901</v>
      </c>
      <c r="O26" s="12">
        <v>18.5</v>
      </c>
      <c r="P26" s="12">
        <v>5013.72</v>
      </c>
      <c r="Q26" s="12" t="s">
        <v>1</v>
      </c>
    </row>
    <row r="27" spans="1:17" x14ac:dyDescent="0.25">
      <c r="A27" s="12">
        <f t="shared" si="0"/>
        <v>26</v>
      </c>
      <c r="B27" s="12">
        <v>0.190301</v>
      </c>
      <c r="C27" s="12">
        <v>0.10786999999999999</v>
      </c>
      <c r="D27" s="12">
        <v>0.17579</v>
      </c>
      <c r="E27" s="12">
        <v>71.332451654671004</v>
      </c>
      <c r="F27" s="12">
        <v>90.25</v>
      </c>
      <c r="G27" s="12">
        <v>2.34929106774254</v>
      </c>
      <c r="H27" s="12" t="s">
        <v>0</v>
      </c>
      <c r="I27" s="12">
        <v>0.45223999999999998</v>
      </c>
      <c r="J27" s="12">
        <v>153.935</v>
      </c>
      <c r="K27" s="12">
        <v>113.7161</v>
      </c>
      <c r="L27" s="12" t="s">
        <v>1</v>
      </c>
      <c r="M27" s="12" t="s">
        <v>0</v>
      </c>
      <c r="N27" s="12">
        <v>18.445854110430201</v>
      </c>
      <c r="O27" s="12">
        <v>17.5</v>
      </c>
      <c r="P27" s="12">
        <v>7859.45</v>
      </c>
      <c r="Q27" s="12" t="s">
        <v>1</v>
      </c>
    </row>
    <row r="28" spans="1:17" x14ac:dyDescent="0.25">
      <c r="A28" s="12">
        <f t="shared" si="0"/>
        <v>27</v>
      </c>
      <c r="B28" s="12">
        <v>0.23291999999999999</v>
      </c>
      <c r="C28" s="12">
        <v>0.102877</v>
      </c>
      <c r="D28" s="12">
        <v>0.15631500000000001</v>
      </c>
      <c r="E28" s="12">
        <v>66.368743456616201</v>
      </c>
      <c r="F28" s="12">
        <v>90.25</v>
      </c>
      <c r="G28" s="12">
        <v>10.0497685119159</v>
      </c>
      <c r="H28" s="12" t="s">
        <v>0</v>
      </c>
      <c r="I28" s="12">
        <v>0.48632999999999998</v>
      </c>
      <c r="J28" s="12">
        <v>151.4385</v>
      </c>
      <c r="K28" s="12">
        <v>102.22584999999999</v>
      </c>
      <c r="L28" s="12" t="s">
        <v>1</v>
      </c>
      <c r="M28" s="12" t="s">
        <v>0</v>
      </c>
      <c r="N28" s="12">
        <v>18.1467013850156</v>
      </c>
      <c r="O28" s="12">
        <v>17.5</v>
      </c>
      <c r="P28" s="12">
        <v>8457.1</v>
      </c>
      <c r="Q28" s="12" t="s">
        <v>1</v>
      </c>
    </row>
    <row r="29" spans="1:17" x14ac:dyDescent="0.25">
      <c r="A29" s="12">
        <f t="shared" si="0"/>
        <v>28</v>
      </c>
      <c r="B29" s="12">
        <v>0.19328699999999999</v>
      </c>
      <c r="C29" s="12">
        <v>0.13204299999999999</v>
      </c>
      <c r="D29" s="12">
        <v>0.21652299999999999</v>
      </c>
      <c r="E29" s="12">
        <v>97.894511192357001</v>
      </c>
      <c r="F29" s="12">
        <v>81</v>
      </c>
      <c r="G29" s="12">
        <v>2.5193951773315799</v>
      </c>
      <c r="H29" s="12" t="s">
        <v>0</v>
      </c>
      <c r="I29" s="12">
        <v>0.45462900000000001</v>
      </c>
      <c r="J29" s="12">
        <v>166.0215</v>
      </c>
      <c r="K29" s="12">
        <v>137.74857</v>
      </c>
      <c r="L29" s="12" t="s">
        <v>1</v>
      </c>
      <c r="M29" s="12" t="s">
        <v>0</v>
      </c>
      <c r="N29" s="12">
        <v>19.894165512682498</v>
      </c>
      <c r="O29" s="12">
        <v>17</v>
      </c>
      <c r="P29" s="12">
        <v>6720.65</v>
      </c>
      <c r="Q29" s="12" t="s">
        <v>1</v>
      </c>
    </row>
    <row r="30" spans="1:17" x14ac:dyDescent="0.25">
      <c r="A30" s="12">
        <f t="shared" si="0"/>
        <v>29</v>
      </c>
      <c r="B30" s="12">
        <v>0.30259999999999998</v>
      </c>
      <c r="C30" s="12">
        <v>5.5214300000000001E-2</v>
      </c>
      <c r="D30" s="12">
        <v>0.130609</v>
      </c>
      <c r="E30" s="12">
        <v>27.994872611814898</v>
      </c>
      <c r="F30" s="12">
        <v>110.25</v>
      </c>
      <c r="G30" s="12">
        <v>22.029520904484801</v>
      </c>
      <c r="H30" s="12" t="s">
        <v>0</v>
      </c>
      <c r="I30" s="12">
        <v>0.54200000000000004</v>
      </c>
      <c r="J30" s="12">
        <v>127.60715</v>
      </c>
      <c r="K30" s="12">
        <v>87.059309999999996</v>
      </c>
      <c r="L30" s="12" t="s">
        <v>1</v>
      </c>
      <c r="M30" s="12" t="s">
        <v>0</v>
      </c>
      <c r="N30" s="12">
        <v>15.2910181073036</v>
      </c>
      <c r="O30" s="12">
        <v>18.5</v>
      </c>
      <c r="P30" s="12">
        <v>9013.15</v>
      </c>
      <c r="Q30" s="12" t="s">
        <v>1</v>
      </c>
    </row>
    <row r="31" spans="1:17" x14ac:dyDescent="0.25">
      <c r="A31" s="12">
        <f t="shared" si="0"/>
        <v>30</v>
      </c>
      <c r="B31" s="12">
        <v>0.18556700000000001</v>
      </c>
      <c r="C31" s="12">
        <v>2.47881E-2</v>
      </c>
      <c r="D31" s="12">
        <v>0.17333100000000001</v>
      </c>
      <c r="E31" s="12">
        <v>12.0273695602516</v>
      </c>
      <c r="F31" s="12">
        <v>132.25</v>
      </c>
      <c r="G31" s="12">
        <v>39.212643999999997</v>
      </c>
      <c r="H31" s="12" t="s">
        <v>0</v>
      </c>
      <c r="I31" s="12">
        <v>0.44845299999999999</v>
      </c>
      <c r="J31" s="12">
        <v>112.39404999999999</v>
      </c>
      <c r="K31" s="12">
        <v>112.26528999999999</v>
      </c>
      <c r="L31" s="12" t="s">
        <v>1</v>
      </c>
      <c r="M31" s="12" t="s">
        <v>0</v>
      </c>
      <c r="N31" s="12">
        <v>13.468049820900999</v>
      </c>
      <c r="O31" s="12">
        <v>19.5</v>
      </c>
      <c r="P31" s="12">
        <v>5014.37</v>
      </c>
      <c r="Q31" s="12" t="s">
        <v>1</v>
      </c>
    </row>
    <row r="32" spans="1:17" x14ac:dyDescent="0.25">
      <c r="A32" s="12">
        <f t="shared" si="0"/>
        <v>31</v>
      </c>
      <c r="B32" s="12">
        <v>0.51371900000000004</v>
      </c>
      <c r="C32" s="12">
        <v>4.4155199999999999E-2</v>
      </c>
      <c r="D32" s="12">
        <v>0.26020799999999999</v>
      </c>
      <c r="E32" s="12">
        <v>21.422257688104001</v>
      </c>
      <c r="F32" s="12">
        <v>100</v>
      </c>
      <c r="G32" s="12">
        <v>25.066894003377701</v>
      </c>
      <c r="H32" s="12" t="s">
        <v>0</v>
      </c>
      <c r="I32" s="12">
        <v>0.71097500000000002</v>
      </c>
      <c r="J32" s="12">
        <v>122.0776</v>
      </c>
      <c r="K32" s="12">
        <v>163.52271999999999</v>
      </c>
      <c r="L32" s="12" t="s">
        <v>1</v>
      </c>
      <c r="M32" s="12" t="s">
        <v>0</v>
      </c>
      <c r="N32" s="12">
        <v>14.6284184867083</v>
      </c>
      <c r="O32" s="12">
        <v>18</v>
      </c>
      <c r="P32" s="12">
        <v>5472.56</v>
      </c>
      <c r="Q32" s="12" t="s">
        <v>1</v>
      </c>
    </row>
    <row r="33" spans="1:17" x14ac:dyDescent="0.25">
      <c r="A33" s="12">
        <f t="shared" si="0"/>
        <v>32</v>
      </c>
      <c r="B33" s="12">
        <v>0.470086</v>
      </c>
      <c r="C33" s="12">
        <v>9.5678700000000005E-2</v>
      </c>
      <c r="D33" s="12">
        <v>0.27420099999999997</v>
      </c>
      <c r="E33" s="12">
        <v>59.527696171240699</v>
      </c>
      <c r="F33" s="12">
        <v>90.25</v>
      </c>
      <c r="G33" s="12">
        <v>1.74117062788515</v>
      </c>
      <c r="H33" s="12" t="s">
        <v>0</v>
      </c>
      <c r="I33" s="12">
        <v>0.676068</v>
      </c>
      <c r="J33" s="12">
        <v>147.83935</v>
      </c>
      <c r="K33" s="12">
        <v>171.77859000000001</v>
      </c>
      <c r="L33" s="12" t="s">
        <v>1</v>
      </c>
      <c r="M33" s="12" t="s">
        <v>0</v>
      </c>
      <c r="N33" s="12">
        <v>17.715419377534801</v>
      </c>
      <c r="O33" s="12">
        <v>17.5</v>
      </c>
      <c r="P33" s="12">
        <v>6818.37</v>
      </c>
      <c r="Q33" s="12" t="s">
        <v>1</v>
      </c>
    </row>
    <row r="34" spans="1:17" x14ac:dyDescent="0.25">
      <c r="A34" s="12">
        <f t="shared" si="0"/>
        <v>33</v>
      </c>
      <c r="B34" s="12">
        <v>0.88294499999999998</v>
      </c>
      <c r="C34" s="12">
        <v>3.0884999999999999E-2</v>
      </c>
      <c r="D34" s="12">
        <v>0.76382899999999998</v>
      </c>
      <c r="E34" s="12">
        <v>14.694511505214299</v>
      </c>
      <c r="F34" s="12">
        <v>64</v>
      </c>
      <c r="G34" s="12">
        <v>235.90687616363201</v>
      </c>
      <c r="H34" s="12" t="s">
        <v>0</v>
      </c>
      <c r="I34" s="12">
        <v>1.006356</v>
      </c>
      <c r="J34" s="12">
        <v>115.4425</v>
      </c>
      <c r="K34" s="12">
        <v>460.65911</v>
      </c>
      <c r="L34" s="12" t="s">
        <v>1</v>
      </c>
      <c r="M34" s="12" t="s">
        <v>0</v>
      </c>
      <c r="N34" s="12">
        <v>13.8333420803802</v>
      </c>
      <c r="O34" s="12">
        <v>16</v>
      </c>
      <c r="P34" s="12">
        <v>1693.87</v>
      </c>
      <c r="Q34" s="12" t="s">
        <v>1</v>
      </c>
    </row>
    <row r="35" spans="1:17" x14ac:dyDescent="0.25">
      <c r="A35" s="12">
        <f t="shared" si="0"/>
        <v>34</v>
      </c>
      <c r="B35" s="12">
        <v>0.87981200000000004</v>
      </c>
      <c r="C35" s="12">
        <v>1.1385899999999999E-2</v>
      </c>
      <c r="D35" s="12">
        <v>0.760656</v>
      </c>
      <c r="E35" s="12">
        <v>7.1025699108123597</v>
      </c>
      <c r="F35" s="12">
        <v>81</v>
      </c>
      <c r="G35" s="12">
        <v>266.660846910114</v>
      </c>
      <c r="H35" s="12" t="s">
        <v>0</v>
      </c>
      <c r="I35" s="12">
        <v>1.003849</v>
      </c>
      <c r="J35" s="12">
        <v>105.69295</v>
      </c>
      <c r="K35" s="12">
        <v>458.78703999999999</v>
      </c>
      <c r="L35" s="12" t="s">
        <v>1</v>
      </c>
      <c r="M35" s="12" t="s">
        <v>0</v>
      </c>
      <c r="N35" s="12">
        <v>12.6650647104361</v>
      </c>
      <c r="O35" s="12">
        <v>17</v>
      </c>
      <c r="P35" s="12">
        <v>1339.64</v>
      </c>
      <c r="Q35" s="12" t="s">
        <v>1</v>
      </c>
    </row>
    <row r="36" spans="1:17" x14ac:dyDescent="0.25">
      <c r="A36" s="12">
        <f t="shared" si="0"/>
        <v>35</v>
      </c>
      <c r="B36" s="12">
        <v>0.97567599999999999</v>
      </c>
      <c r="C36" s="12">
        <v>9.5862799999999998E-2</v>
      </c>
      <c r="D36" s="12">
        <v>0.83467800000000003</v>
      </c>
      <c r="E36" s="12">
        <v>59.698023780289603</v>
      </c>
      <c r="F36" s="12">
        <v>42.25</v>
      </c>
      <c r="G36" s="12">
        <v>180.910606940138</v>
      </c>
      <c r="H36" s="12" t="s">
        <v>0</v>
      </c>
      <c r="I36" s="12">
        <v>1.0805400000000001</v>
      </c>
      <c r="J36" s="12">
        <v>147.9314</v>
      </c>
      <c r="K36" s="12">
        <v>502.46001999999999</v>
      </c>
      <c r="L36" s="12" t="s">
        <v>1</v>
      </c>
      <c r="M36" s="12" t="s">
        <v>0</v>
      </c>
      <c r="N36" s="12">
        <v>17.7264496232286</v>
      </c>
      <c r="O36" s="12">
        <v>14.5</v>
      </c>
      <c r="P36" s="12">
        <v>2390.64</v>
      </c>
      <c r="Q36" s="12" t="s">
        <v>1</v>
      </c>
    </row>
    <row r="37" spans="1:17" x14ac:dyDescent="0.25">
      <c r="A37" s="12">
        <f t="shared" si="0"/>
        <v>36</v>
      </c>
      <c r="B37" s="12">
        <v>1.0220400000000001</v>
      </c>
      <c r="C37" s="12">
        <v>5.7678800000000002E-2</v>
      </c>
      <c r="D37" s="12">
        <v>0.81866300000000003</v>
      </c>
      <c r="E37" s="12">
        <v>29.579209777191402</v>
      </c>
      <c r="F37" s="12">
        <v>49</v>
      </c>
      <c r="G37" s="12">
        <v>237.84230922424399</v>
      </c>
      <c r="H37" s="12" t="s">
        <v>0</v>
      </c>
      <c r="I37" s="12">
        <v>1.1176299999999999</v>
      </c>
      <c r="J37" s="12">
        <v>128.83940000000001</v>
      </c>
      <c r="K37" s="12">
        <v>493.01116999999999</v>
      </c>
      <c r="L37" s="12" t="s">
        <v>1</v>
      </c>
      <c r="M37" s="12" t="s">
        <v>0</v>
      </c>
      <c r="N37" s="12">
        <v>15.438677208402</v>
      </c>
      <c r="O37" s="12">
        <v>15</v>
      </c>
      <c r="P37" s="12">
        <v>1670.92</v>
      </c>
      <c r="Q37" s="12" t="s">
        <v>1</v>
      </c>
    </row>
    <row r="38" spans="1:17" x14ac:dyDescent="0.25">
      <c r="A38" s="12">
        <f t="shared" si="0"/>
        <v>37</v>
      </c>
      <c r="B38" s="12">
        <v>0.92916399999999999</v>
      </c>
      <c r="C38" s="12">
        <v>0.72041900000000003</v>
      </c>
      <c r="D38" s="12">
        <v>1.02406</v>
      </c>
      <c r="E38" s="12">
        <v>2038.19521177827</v>
      </c>
      <c r="F38" s="12">
        <v>30.25</v>
      </c>
      <c r="G38" s="12">
        <v>5.7510407205854704E-3</v>
      </c>
      <c r="H38" s="12" t="s">
        <v>0</v>
      </c>
      <c r="I38" s="12">
        <v>1.043331</v>
      </c>
      <c r="J38" s="12">
        <v>460.20949999999999</v>
      </c>
      <c r="K38" s="12">
        <v>614.19539999999995</v>
      </c>
      <c r="L38" s="12" t="s">
        <v>1</v>
      </c>
      <c r="M38" s="12" t="s">
        <v>0</v>
      </c>
      <c r="N38" s="12">
        <v>55.146375400227598</v>
      </c>
      <c r="O38" s="12">
        <v>13.5</v>
      </c>
      <c r="P38" s="12">
        <v>7327.68</v>
      </c>
      <c r="Q38" s="12" t="s">
        <v>1</v>
      </c>
    </row>
    <row r="39" spans="1:17" x14ac:dyDescent="0.25">
      <c r="A39" s="12">
        <f t="shared" si="0"/>
        <v>38</v>
      </c>
      <c r="B39" s="12">
        <v>0.88089300000000004</v>
      </c>
      <c r="C39" s="12">
        <v>0.70884999999999998</v>
      </c>
      <c r="D39" s="12">
        <v>1.00339</v>
      </c>
      <c r="E39" s="12">
        <v>1976.08924972416</v>
      </c>
      <c r="F39" s="12">
        <v>36</v>
      </c>
      <c r="G39" s="12">
        <v>1.3775684743854299E-2</v>
      </c>
      <c r="H39" s="12" t="s">
        <v>0</v>
      </c>
      <c r="I39" s="12">
        <v>1.0047140000000001</v>
      </c>
      <c r="J39" s="12">
        <v>454.42500000000001</v>
      </c>
      <c r="K39" s="12">
        <v>602.00009999999997</v>
      </c>
      <c r="L39" s="12" t="s">
        <v>1</v>
      </c>
      <c r="M39" s="12" t="s">
        <v>0</v>
      </c>
      <c r="N39" s="12">
        <v>54.453225414182903</v>
      </c>
      <c r="O39" s="12">
        <v>14</v>
      </c>
      <c r="P39" s="12">
        <v>7342.84</v>
      </c>
      <c r="Q39" s="12" t="s">
        <v>1</v>
      </c>
    </row>
    <row r="40" spans="1:17" x14ac:dyDescent="0.25">
      <c r="A40" s="12">
        <f t="shared" si="0"/>
        <v>39</v>
      </c>
      <c r="B40" s="12">
        <v>1.0986400000000001</v>
      </c>
      <c r="C40" s="12">
        <v>1.20494E-2</v>
      </c>
      <c r="D40" s="12">
        <v>0.81059300000000001</v>
      </c>
      <c r="E40" s="12">
        <v>7.3160400431500596</v>
      </c>
      <c r="F40" s="12">
        <v>56.25</v>
      </c>
      <c r="G40" s="12">
        <v>280.21200679226803</v>
      </c>
      <c r="H40" s="12" t="s">
        <v>0</v>
      </c>
      <c r="I40" s="12">
        <v>1.1789099999999999</v>
      </c>
      <c r="J40" s="12">
        <v>106.0247</v>
      </c>
      <c r="K40" s="12">
        <v>488.24986999999999</v>
      </c>
      <c r="L40" s="12" t="s">
        <v>1</v>
      </c>
      <c r="M40" s="12" t="s">
        <v>0</v>
      </c>
      <c r="N40" s="12">
        <v>12.7048179316083</v>
      </c>
      <c r="O40" s="12">
        <v>15.5</v>
      </c>
      <c r="P40" s="12">
        <v>1190.07</v>
      </c>
      <c r="Q40" s="12" t="s">
        <v>1</v>
      </c>
    </row>
    <row r="41" spans="1:17" x14ac:dyDescent="0.25">
      <c r="A41" s="12">
        <f t="shared" si="0"/>
        <v>40</v>
      </c>
      <c r="B41" s="12">
        <v>1.0476000000000001</v>
      </c>
      <c r="C41" s="12">
        <v>9.3521400000000001E-3</v>
      </c>
      <c r="D41" s="12">
        <v>0.75145600000000001</v>
      </c>
      <c r="E41" s="12">
        <v>6.4679331206473103</v>
      </c>
      <c r="F41" s="12">
        <v>64</v>
      </c>
      <c r="G41" s="12">
        <v>271.71864308050198</v>
      </c>
      <c r="H41" s="12" t="s">
        <v>0</v>
      </c>
      <c r="I41" s="12">
        <v>1.1379999999999999</v>
      </c>
      <c r="J41" s="12">
        <v>104.67607</v>
      </c>
      <c r="K41" s="12">
        <v>453.35903999999999</v>
      </c>
      <c r="L41" s="12" t="s">
        <v>1</v>
      </c>
      <c r="M41" s="12" t="s">
        <v>0</v>
      </c>
      <c r="N41" s="12">
        <v>12.543213148882201</v>
      </c>
      <c r="O41" s="12">
        <v>16</v>
      </c>
      <c r="P41" s="12">
        <v>1283.3800000000001</v>
      </c>
      <c r="Q41" s="12" t="s">
        <v>1</v>
      </c>
    </row>
    <row r="42" spans="1:17" x14ac:dyDescent="0.25">
      <c r="A42" s="12">
        <f t="shared" si="0"/>
        <v>41</v>
      </c>
      <c r="B42" s="12">
        <v>0.97958199999999995</v>
      </c>
      <c r="C42" s="12">
        <v>-7.6740600000000006E-2</v>
      </c>
      <c r="D42" s="12">
        <v>0.80350299999999997</v>
      </c>
      <c r="E42" s="12">
        <v>6.8381407389550501</v>
      </c>
      <c r="F42" s="12">
        <v>132.25</v>
      </c>
      <c r="G42" s="12">
        <v>341.10477060047998</v>
      </c>
      <c r="H42" s="12" t="s">
        <v>0</v>
      </c>
      <c r="I42" s="12">
        <v>1.0836650000000001</v>
      </c>
      <c r="J42" s="12">
        <v>61.6297</v>
      </c>
      <c r="K42" s="12">
        <v>484.06677000000002</v>
      </c>
      <c r="L42" s="12" t="s">
        <v>1</v>
      </c>
      <c r="M42" s="12" t="s">
        <v>0</v>
      </c>
      <c r="N42" s="12">
        <v>7.3850161111480901</v>
      </c>
      <c r="O42" s="12">
        <v>19.5</v>
      </c>
      <c r="P42" s="12">
        <v>558.80700000000002</v>
      </c>
      <c r="Q42" s="12" t="s">
        <v>1</v>
      </c>
    </row>
    <row r="43" spans="1:17" x14ac:dyDescent="0.25">
      <c r="A43" s="12">
        <f t="shared" si="0"/>
        <v>42</v>
      </c>
      <c r="B43" s="12">
        <v>1.0119400000000001</v>
      </c>
      <c r="C43" s="12">
        <v>-4.0255300000000001E-2</v>
      </c>
      <c r="D43" s="12">
        <v>0.80201</v>
      </c>
      <c r="E43" s="12">
        <v>0.18403079701609501</v>
      </c>
      <c r="F43" s="12">
        <v>100</v>
      </c>
      <c r="G43" s="12">
        <v>323.71038803504501</v>
      </c>
      <c r="H43" s="12" t="s">
        <v>0</v>
      </c>
      <c r="I43" s="12">
        <v>1.10955</v>
      </c>
      <c r="J43" s="12">
        <v>79.872349999999997</v>
      </c>
      <c r="K43" s="12">
        <v>483.1859</v>
      </c>
      <c r="L43" s="12" t="s">
        <v>1</v>
      </c>
      <c r="M43" s="12" t="s">
        <v>0</v>
      </c>
      <c r="N43" s="12">
        <v>9.5710118917544502</v>
      </c>
      <c r="O43" s="12">
        <v>18</v>
      </c>
      <c r="P43" s="12">
        <v>732.93700000000001</v>
      </c>
      <c r="Q43" s="12" t="s">
        <v>1</v>
      </c>
    </row>
    <row r="44" spans="1:17" x14ac:dyDescent="0.25">
      <c r="A44" s="12">
        <f t="shared" si="0"/>
        <v>43</v>
      </c>
      <c r="B44" s="12">
        <v>1.06768</v>
      </c>
      <c r="C44" s="12">
        <v>-3.8037300000000003E-2</v>
      </c>
      <c r="D44" s="12">
        <v>0.70792999999999995</v>
      </c>
      <c r="E44" s="12">
        <v>8.7673974070093405E-2</v>
      </c>
      <c r="F44" s="12">
        <v>90.25</v>
      </c>
      <c r="G44" s="12">
        <v>313.50136878994903</v>
      </c>
      <c r="H44" s="12" t="s">
        <v>0</v>
      </c>
      <c r="I44" s="12">
        <v>1.1541399999999999</v>
      </c>
      <c r="J44" s="12">
        <v>80.981350000000006</v>
      </c>
      <c r="K44" s="12">
        <v>427.67869999999999</v>
      </c>
      <c r="L44" s="12" t="s">
        <v>1</v>
      </c>
      <c r="M44" s="12" t="s">
        <v>0</v>
      </c>
      <c r="N44" s="12">
        <v>9.7039020870217101</v>
      </c>
      <c r="O44" s="12">
        <v>17.5</v>
      </c>
      <c r="P44" s="12">
        <v>837.32100000000003</v>
      </c>
      <c r="Q44" s="12" t="s">
        <v>1</v>
      </c>
    </row>
    <row r="45" spans="1:17" x14ac:dyDescent="0.25">
      <c r="A45" s="12">
        <f t="shared" si="0"/>
        <v>44</v>
      </c>
      <c r="B45" s="12">
        <v>1.04996</v>
      </c>
      <c r="C45" s="12">
        <v>-3.7117299999999999E-2</v>
      </c>
      <c r="D45" s="12">
        <v>0.75248899999999996</v>
      </c>
      <c r="E45" s="12">
        <v>5.8069741855731001E-2</v>
      </c>
      <c r="F45" s="12">
        <v>90.25</v>
      </c>
      <c r="G45" s="12">
        <v>318.11683667542798</v>
      </c>
      <c r="H45" s="12" t="s">
        <v>0</v>
      </c>
      <c r="I45" s="12">
        <v>1.1399600000000001</v>
      </c>
      <c r="J45" s="12">
        <v>81.44135</v>
      </c>
      <c r="K45" s="12">
        <v>453.96850999999998</v>
      </c>
      <c r="L45" s="12" t="s">
        <v>1</v>
      </c>
      <c r="M45" s="12" t="s">
        <v>0</v>
      </c>
      <c r="N45" s="12">
        <v>9.7590233582777497</v>
      </c>
      <c r="O45" s="12">
        <v>17.5</v>
      </c>
      <c r="P45" s="12">
        <v>789.92200000000003</v>
      </c>
      <c r="Q45" s="12" t="s">
        <v>1</v>
      </c>
    </row>
    <row r="46" spans="1:17" x14ac:dyDescent="0.25">
      <c r="A46" s="12">
        <f t="shared" si="0"/>
        <v>45</v>
      </c>
      <c r="B46" s="12">
        <v>0.91186199999999995</v>
      </c>
      <c r="C46" s="12">
        <v>0.72537499999999999</v>
      </c>
      <c r="D46" s="12">
        <v>1.03664</v>
      </c>
      <c r="E46" s="12">
        <v>2065.09454117314</v>
      </c>
      <c r="F46" s="12">
        <v>30.25</v>
      </c>
      <c r="G46" s="12">
        <v>3.8507975229874199E-3</v>
      </c>
      <c r="H46" s="12" t="s">
        <v>0</v>
      </c>
      <c r="I46" s="12">
        <v>1.0294890000000001</v>
      </c>
      <c r="J46" s="12">
        <v>462.6875</v>
      </c>
      <c r="K46" s="12">
        <v>621.61760000000004</v>
      </c>
      <c r="L46" s="12" t="s">
        <v>1</v>
      </c>
      <c r="M46" s="12" t="s">
        <v>0</v>
      </c>
      <c r="N46" s="12">
        <v>55.443311291906802</v>
      </c>
      <c r="O46" s="12">
        <v>13.5</v>
      </c>
      <c r="P46" s="12">
        <v>7277.35</v>
      </c>
      <c r="Q46" s="12" t="s">
        <v>1</v>
      </c>
    </row>
    <row r="47" spans="1:17" x14ac:dyDescent="0.25">
      <c r="A47" s="12">
        <f t="shared" si="0"/>
        <v>46</v>
      </c>
      <c r="B47" s="12">
        <v>0.90129099999999995</v>
      </c>
      <c r="C47" s="12">
        <v>0.69798700000000002</v>
      </c>
      <c r="D47" s="12">
        <v>1.01108</v>
      </c>
      <c r="E47" s="12">
        <v>1918.6480567255901</v>
      </c>
      <c r="F47" s="12">
        <v>30.25</v>
      </c>
      <c r="G47" s="12">
        <v>4.3996499155563799E-2</v>
      </c>
      <c r="H47" s="12" t="s">
        <v>0</v>
      </c>
      <c r="I47" s="12">
        <v>1.0210319999999999</v>
      </c>
      <c r="J47" s="12">
        <v>448.99349999999998</v>
      </c>
      <c r="K47" s="12">
        <v>606.53719999999998</v>
      </c>
      <c r="L47" s="12" t="s">
        <v>1</v>
      </c>
      <c r="M47" s="12" t="s">
        <v>0</v>
      </c>
      <c r="N47" s="12">
        <v>53.802375012384701</v>
      </c>
      <c r="O47" s="12">
        <v>13.5</v>
      </c>
      <c r="P47" s="12">
        <v>7223.44</v>
      </c>
      <c r="Q47" s="12" t="s">
        <v>1</v>
      </c>
    </row>
    <row r="48" spans="1:17" x14ac:dyDescent="0.25">
      <c r="A48" s="12">
        <f t="shared" si="0"/>
        <v>47</v>
      </c>
      <c r="B48" s="12">
        <v>1.0411300000000001</v>
      </c>
      <c r="C48" s="12">
        <v>0.29291200000000001</v>
      </c>
      <c r="D48" s="12">
        <v>0.93908700000000001</v>
      </c>
      <c r="E48" s="12">
        <v>381.52008731738499</v>
      </c>
      <c r="F48" s="12">
        <v>36</v>
      </c>
      <c r="G48" s="12">
        <v>112.884512069056</v>
      </c>
      <c r="H48" s="12" t="s">
        <v>0</v>
      </c>
      <c r="I48" s="12">
        <v>1.1329</v>
      </c>
      <c r="J48" s="12">
        <v>246.45599999999999</v>
      </c>
      <c r="K48" s="12">
        <v>564.06133</v>
      </c>
      <c r="L48" s="12" t="s">
        <v>1</v>
      </c>
      <c r="M48" s="12" t="s">
        <v>0</v>
      </c>
      <c r="N48" s="12">
        <v>29.532539192777399</v>
      </c>
      <c r="O48" s="12">
        <v>14</v>
      </c>
      <c r="P48" s="12">
        <v>3421.98</v>
      </c>
      <c r="Q48" s="12" t="s">
        <v>1</v>
      </c>
    </row>
    <row r="49" spans="1:17" x14ac:dyDescent="0.25">
      <c r="A49" s="12">
        <f t="shared" si="0"/>
        <v>48</v>
      </c>
      <c r="B49" s="12">
        <v>1.0645899999999999</v>
      </c>
      <c r="C49" s="12">
        <v>0.235931</v>
      </c>
      <c r="D49" s="12">
        <v>0.97001099999999996</v>
      </c>
      <c r="E49" s="12">
        <v>259.80782579714798</v>
      </c>
      <c r="F49" s="12">
        <v>36</v>
      </c>
      <c r="G49" s="12">
        <v>140.89624958979101</v>
      </c>
      <c r="H49" s="12" t="s">
        <v>0</v>
      </c>
      <c r="I49" s="12">
        <v>1.15167</v>
      </c>
      <c r="J49" s="12">
        <v>217.96549999999999</v>
      </c>
      <c r="K49" s="12">
        <v>582.30649000000005</v>
      </c>
      <c r="L49" s="12" t="s">
        <v>1</v>
      </c>
      <c r="M49" s="12" t="s">
        <v>0</v>
      </c>
      <c r="N49" s="12">
        <v>26.1185553259945</v>
      </c>
      <c r="O49" s="12">
        <v>14</v>
      </c>
      <c r="P49" s="12">
        <v>2967.46</v>
      </c>
      <c r="Q49" s="12" t="s">
        <v>1</v>
      </c>
    </row>
    <row r="50" spans="1:17" x14ac:dyDescent="0.25">
      <c r="A50" s="12">
        <f t="shared" si="0"/>
        <v>49</v>
      </c>
      <c r="B50" s="12">
        <v>1.0442899999999999</v>
      </c>
      <c r="C50" s="12">
        <v>0.218779</v>
      </c>
      <c r="D50" s="12">
        <v>0.97984300000000002</v>
      </c>
      <c r="E50" s="12">
        <v>227.73535648288299</v>
      </c>
      <c r="F50" s="12">
        <v>36</v>
      </c>
      <c r="G50" s="12">
        <v>151.26236838506199</v>
      </c>
      <c r="H50" s="12" t="s">
        <v>0</v>
      </c>
      <c r="I50" s="12">
        <v>1.1354299999999999</v>
      </c>
      <c r="J50" s="12">
        <v>209.3895</v>
      </c>
      <c r="K50" s="12">
        <v>588.10736999999995</v>
      </c>
      <c r="L50" s="12" t="s">
        <v>1</v>
      </c>
      <c r="M50" s="12" t="s">
        <v>0</v>
      </c>
      <c r="N50" s="12">
        <v>25.090903103621098</v>
      </c>
      <c r="O50" s="12">
        <v>14</v>
      </c>
      <c r="P50" s="12">
        <v>2810.91</v>
      </c>
      <c r="Q50" s="12" t="s">
        <v>1</v>
      </c>
    </row>
    <row r="51" spans="1:17" x14ac:dyDescent="0.25">
      <c r="A51" s="12">
        <f t="shared" si="0"/>
        <v>50</v>
      </c>
      <c r="B51" s="12">
        <v>1.0541400000000001</v>
      </c>
      <c r="C51" s="12">
        <v>0.267683</v>
      </c>
      <c r="D51" s="12">
        <v>0.96914800000000001</v>
      </c>
      <c r="E51" s="12">
        <v>324.75493291188502</v>
      </c>
      <c r="F51" s="12">
        <v>36</v>
      </c>
      <c r="G51" s="12">
        <v>128.36703754100199</v>
      </c>
      <c r="H51" s="12" t="s">
        <v>0</v>
      </c>
      <c r="I51" s="12">
        <v>1.14331</v>
      </c>
      <c r="J51" s="12">
        <v>233.8415</v>
      </c>
      <c r="K51" s="12">
        <v>581.79732000000001</v>
      </c>
      <c r="L51" s="12" t="s">
        <v>1</v>
      </c>
      <c r="M51" s="12" t="s">
        <v>0</v>
      </c>
      <c r="N51" s="12">
        <v>28.0209581574311</v>
      </c>
      <c r="O51" s="12">
        <v>14</v>
      </c>
      <c r="P51" s="12">
        <v>3164.58</v>
      </c>
      <c r="Q51" s="12" t="s">
        <v>1</v>
      </c>
    </row>
    <row r="52" spans="1:17" x14ac:dyDescent="0.25">
      <c r="A52" s="12">
        <f t="shared" si="0"/>
        <v>51</v>
      </c>
      <c r="B52" s="12">
        <v>0.37195699999999998</v>
      </c>
      <c r="C52" s="12">
        <v>4.6942499999999998E-2</v>
      </c>
      <c r="D52" s="12">
        <v>0.36879099999999998</v>
      </c>
      <c r="E52" s="12">
        <v>22.9960334522026</v>
      </c>
      <c r="F52" s="12">
        <v>110.25</v>
      </c>
      <c r="G52" s="12">
        <v>72.636158441733897</v>
      </c>
      <c r="H52" s="12" t="s">
        <v>0</v>
      </c>
      <c r="I52" s="12">
        <v>0.59756500000000001</v>
      </c>
      <c r="J52" s="12">
        <v>123.47125</v>
      </c>
      <c r="K52" s="12">
        <v>227.58669</v>
      </c>
      <c r="L52" s="12" t="s">
        <v>1</v>
      </c>
      <c r="M52" s="12" t="s">
        <v>0</v>
      </c>
      <c r="N52" s="12">
        <v>14.7954179642865</v>
      </c>
      <c r="O52" s="12">
        <v>18.5</v>
      </c>
      <c r="P52" s="12">
        <v>4189.22</v>
      </c>
      <c r="Q52" s="12" t="s">
        <v>1</v>
      </c>
    </row>
    <row r="53" spans="1:17" x14ac:dyDescent="0.25">
      <c r="A53" s="12">
        <f t="shared" si="0"/>
        <v>52</v>
      </c>
      <c r="B53" s="12">
        <v>0.266704</v>
      </c>
      <c r="C53" s="12">
        <v>-1.2907999999999999E-2</v>
      </c>
      <c r="D53" s="12">
        <v>0.433892</v>
      </c>
      <c r="E53" s="12">
        <v>1.46291360352487</v>
      </c>
      <c r="F53" s="12">
        <v>132.25</v>
      </c>
      <c r="G53" s="12">
        <v>185.35889977481699</v>
      </c>
      <c r="H53" s="12" t="s">
        <v>0</v>
      </c>
      <c r="I53" s="12">
        <v>0.51336300000000001</v>
      </c>
      <c r="J53" s="12">
        <v>93.546000000000006</v>
      </c>
      <c r="K53" s="12">
        <v>265.99628000000001</v>
      </c>
      <c r="L53" s="12" t="s">
        <v>1</v>
      </c>
      <c r="M53" s="12" t="s">
        <v>0</v>
      </c>
      <c r="N53" s="12">
        <v>11.2095096541677</v>
      </c>
      <c r="O53" s="12">
        <v>19.5</v>
      </c>
      <c r="P53" s="12">
        <v>2330.65</v>
      </c>
      <c r="Q53" s="12" t="s">
        <v>1</v>
      </c>
    </row>
    <row r="54" spans="1:17" x14ac:dyDescent="0.25">
      <c r="A54" s="12">
        <f t="shared" si="0"/>
        <v>53</v>
      </c>
      <c r="B54" s="12">
        <v>0.41522399999999998</v>
      </c>
      <c r="C54" s="12">
        <v>-3.5217900000000003E-2</v>
      </c>
      <c r="D54" s="12">
        <v>0.37183699999999997</v>
      </c>
      <c r="E54" s="12">
        <v>1.61735270054102E-2</v>
      </c>
      <c r="F54" s="12">
        <v>144</v>
      </c>
      <c r="G54" s="12">
        <v>158.895349383373</v>
      </c>
      <c r="H54" s="12" t="s">
        <v>0</v>
      </c>
      <c r="I54" s="12">
        <v>0.63217900000000005</v>
      </c>
      <c r="J54" s="12">
        <v>82.391050000000007</v>
      </c>
      <c r="K54" s="12">
        <v>229.38382999999999</v>
      </c>
      <c r="L54" s="12" t="s">
        <v>1</v>
      </c>
      <c r="M54" s="12" t="s">
        <v>0</v>
      </c>
      <c r="N54" s="12">
        <v>9.8728248176513507</v>
      </c>
      <c r="O54" s="12">
        <v>20</v>
      </c>
      <c r="P54" s="12">
        <v>2699.04</v>
      </c>
      <c r="Q54" s="12" t="s">
        <v>1</v>
      </c>
    </row>
    <row r="55" spans="1:17" x14ac:dyDescent="0.25">
      <c r="A55" s="12">
        <f t="shared" si="0"/>
        <v>54</v>
      </c>
      <c r="B55" s="12">
        <v>0.42202000000000001</v>
      </c>
      <c r="C55" s="12">
        <v>-3.4413199999999998E-2</v>
      </c>
      <c r="D55" s="12">
        <v>0.361151</v>
      </c>
      <c r="E55" s="12">
        <v>6.2350044443296804E-3</v>
      </c>
      <c r="F55" s="12">
        <v>156.25</v>
      </c>
      <c r="G55" s="12">
        <v>160.53028849615299</v>
      </c>
      <c r="H55" s="12" t="s">
        <v>0</v>
      </c>
      <c r="I55" s="12">
        <v>0.63761000000000001</v>
      </c>
      <c r="J55" s="12">
        <v>82.793400000000005</v>
      </c>
      <c r="K55" s="12">
        <v>223.07909000000001</v>
      </c>
      <c r="L55" s="12" t="s">
        <v>1</v>
      </c>
      <c r="M55" s="12" t="s">
        <v>0</v>
      </c>
      <c r="N55" s="12">
        <v>9.9210379556727997</v>
      </c>
      <c r="O55" s="12">
        <v>20.5</v>
      </c>
      <c r="P55" s="12">
        <v>2675.43</v>
      </c>
      <c r="Q55" s="12" t="s">
        <v>1</v>
      </c>
    </row>
    <row r="56" spans="1:17" x14ac:dyDescent="0.25">
      <c r="A56" s="12">
        <f t="shared" si="0"/>
        <v>55</v>
      </c>
      <c r="B56" s="12">
        <v>0.77956400000000003</v>
      </c>
      <c r="C56" s="12">
        <v>0.29489900000000002</v>
      </c>
      <c r="D56" s="12">
        <v>0.54665600000000003</v>
      </c>
      <c r="E56" s="12">
        <v>386.18495634856799</v>
      </c>
      <c r="F56" s="12">
        <v>42.25</v>
      </c>
      <c r="G56" s="12">
        <v>0.339809141677613</v>
      </c>
      <c r="H56" s="12" t="s">
        <v>0</v>
      </c>
      <c r="I56" s="12">
        <v>0.923651</v>
      </c>
      <c r="J56" s="12">
        <v>247.4495</v>
      </c>
      <c r="K56" s="12">
        <v>332.52704</v>
      </c>
      <c r="L56" s="12" t="s">
        <v>1</v>
      </c>
      <c r="M56" s="12" t="s">
        <v>0</v>
      </c>
      <c r="N56" s="12">
        <v>29.651589155805301</v>
      </c>
      <c r="O56" s="12">
        <v>14.5</v>
      </c>
      <c r="P56" s="12">
        <v>7087.23</v>
      </c>
      <c r="Q56" s="12" t="s">
        <v>1</v>
      </c>
    </row>
    <row r="57" spans="1:17" x14ac:dyDescent="0.25">
      <c r="A57" s="12">
        <f t="shared" si="0"/>
        <v>56</v>
      </c>
      <c r="B57" s="12">
        <v>0.74689399999999995</v>
      </c>
      <c r="C57" s="12">
        <v>0.30237599999999998</v>
      </c>
      <c r="D57" s="12">
        <v>0.56890099999999999</v>
      </c>
      <c r="E57" s="12">
        <v>403.99268659266198</v>
      </c>
      <c r="F57" s="12">
        <v>49</v>
      </c>
      <c r="G57" s="12">
        <v>1.67606719159316</v>
      </c>
      <c r="H57" s="12" t="s">
        <v>0</v>
      </c>
      <c r="I57" s="12">
        <v>0.89751499999999995</v>
      </c>
      <c r="J57" s="12">
        <v>251.18799999999999</v>
      </c>
      <c r="K57" s="12">
        <v>345.65159</v>
      </c>
      <c r="L57" s="12" t="s">
        <v>1</v>
      </c>
      <c r="M57" s="12" t="s">
        <v>0</v>
      </c>
      <c r="N57" s="12">
        <v>30.099569313611202</v>
      </c>
      <c r="O57" s="12">
        <v>15</v>
      </c>
      <c r="P57" s="12">
        <v>6827.46</v>
      </c>
      <c r="Q57" s="12" t="s">
        <v>1</v>
      </c>
    </row>
    <row r="58" spans="1:17" x14ac:dyDescent="0.25">
      <c r="A58" s="12">
        <f t="shared" si="0"/>
        <v>57</v>
      </c>
      <c r="B58" s="12">
        <v>0.97817200000000004</v>
      </c>
      <c r="C58" s="12">
        <v>0.36422700000000002</v>
      </c>
      <c r="D58" s="12">
        <v>0.60778500000000002</v>
      </c>
      <c r="E58" s="12">
        <v>566.694042616871</v>
      </c>
      <c r="F58" s="12">
        <v>30.25</v>
      </c>
      <c r="G58" s="12">
        <v>1.5978089697879501E-3</v>
      </c>
      <c r="H58" s="12" t="s">
        <v>0</v>
      </c>
      <c r="I58" s="12">
        <v>1.0825370000000001</v>
      </c>
      <c r="J58" s="12">
        <v>282.11349999999999</v>
      </c>
      <c r="K58" s="12">
        <v>368.59314999999998</v>
      </c>
      <c r="L58" s="12" t="s">
        <v>1</v>
      </c>
      <c r="M58" s="12" t="s">
        <v>0</v>
      </c>
      <c r="N58" s="12">
        <v>33.805336431499299</v>
      </c>
      <c r="O58" s="12">
        <v>13.5</v>
      </c>
      <c r="P58" s="12">
        <v>7285.41</v>
      </c>
      <c r="Q58" s="12" t="s">
        <v>1</v>
      </c>
    </row>
    <row r="59" spans="1:17" x14ac:dyDescent="0.25">
      <c r="A59" s="12">
        <f t="shared" si="0"/>
        <v>58</v>
      </c>
      <c r="B59" s="12">
        <v>0.96144399999999997</v>
      </c>
      <c r="C59" s="12">
        <v>0.410912</v>
      </c>
      <c r="D59" s="12">
        <v>0.58880999999999994</v>
      </c>
      <c r="E59" s="12">
        <v>707.689887143129</v>
      </c>
      <c r="F59" s="12">
        <v>30.25</v>
      </c>
      <c r="G59" s="12">
        <v>4.1185644406079902</v>
      </c>
      <c r="H59" s="12" t="s">
        <v>0</v>
      </c>
      <c r="I59" s="12">
        <v>1.0691550000000001</v>
      </c>
      <c r="J59" s="12">
        <v>305.45600000000002</v>
      </c>
      <c r="K59" s="12">
        <v>357.39789999999999</v>
      </c>
      <c r="L59" s="12" t="s">
        <v>1</v>
      </c>
      <c r="M59" s="12" t="s">
        <v>0</v>
      </c>
      <c r="N59" s="12">
        <v>36.602441375616799</v>
      </c>
      <c r="O59" s="12">
        <v>13.5</v>
      </c>
      <c r="P59" s="12">
        <v>8040.74</v>
      </c>
      <c r="Q59" s="12" t="s">
        <v>1</v>
      </c>
    </row>
    <row r="60" spans="1:17" x14ac:dyDescent="0.25">
      <c r="A60" s="12">
        <f t="shared" si="0"/>
        <v>59</v>
      </c>
      <c r="B60" s="12">
        <v>0.82491199999999998</v>
      </c>
      <c r="C60" s="12">
        <v>0.377357</v>
      </c>
      <c r="D60" s="12">
        <v>0.57168799999999997</v>
      </c>
      <c r="E60" s="12">
        <v>604.76709529664799</v>
      </c>
      <c r="F60" s="12">
        <v>42.25</v>
      </c>
      <c r="G60" s="12">
        <v>1.8121585475699</v>
      </c>
      <c r="H60" s="12" t="s">
        <v>0</v>
      </c>
      <c r="I60" s="12">
        <v>0.95992900000000003</v>
      </c>
      <c r="J60" s="12">
        <v>288.67849999999999</v>
      </c>
      <c r="K60" s="12">
        <v>347.29592000000002</v>
      </c>
      <c r="L60" s="12" t="s">
        <v>1</v>
      </c>
      <c r="M60" s="12" t="s">
        <v>0</v>
      </c>
      <c r="N60" s="12">
        <v>34.592012835403402</v>
      </c>
      <c r="O60" s="12">
        <v>14.5</v>
      </c>
      <c r="P60" s="12">
        <v>7791.35</v>
      </c>
      <c r="Q60" s="12" t="s">
        <v>1</v>
      </c>
    </row>
    <row r="61" spans="1:17" x14ac:dyDescent="0.25">
      <c r="A61" s="12">
        <f t="shared" si="0"/>
        <v>60</v>
      </c>
      <c r="B61" s="12">
        <v>0.86154900000000001</v>
      </c>
      <c r="C61" s="12">
        <v>0.37199100000000002</v>
      </c>
      <c r="D61" s="12">
        <v>0.61631100000000005</v>
      </c>
      <c r="E61" s="12">
        <v>589.05775416731296</v>
      </c>
      <c r="F61" s="12">
        <v>42.25</v>
      </c>
      <c r="G61" s="12">
        <v>1.8607949709138601E-2</v>
      </c>
      <c r="H61" s="12" t="s">
        <v>0</v>
      </c>
      <c r="I61" s="12">
        <v>0.98923899999999998</v>
      </c>
      <c r="J61" s="12">
        <v>285.99549999999999</v>
      </c>
      <c r="K61" s="12">
        <v>373.62349</v>
      </c>
      <c r="L61" s="12" t="s">
        <v>1</v>
      </c>
      <c r="M61" s="12" t="s">
        <v>0</v>
      </c>
      <c r="N61" s="12">
        <v>34.270512029359999</v>
      </c>
      <c r="O61" s="12">
        <v>14.5</v>
      </c>
      <c r="P61" s="12">
        <v>7250.21</v>
      </c>
      <c r="Q61" s="12" t="s">
        <v>1</v>
      </c>
    </row>
    <row r="62" spans="1:17" x14ac:dyDescent="0.25">
      <c r="A62" s="12">
        <f t="shared" si="0"/>
        <v>61</v>
      </c>
      <c r="B62" s="12">
        <v>0.14905499999999999</v>
      </c>
      <c r="C62" s="12">
        <v>2.7924E-3</v>
      </c>
      <c r="D62" s="12">
        <v>0.19497500000000001</v>
      </c>
      <c r="E62" s="12">
        <v>4.6233174524074299</v>
      </c>
      <c r="F62" s="12">
        <v>132.25</v>
      </c>
      <c r="G62" s="12">
        <v>88.3749376175642</v>
      </c>
      <c r="H62" s="12" t="s">
        <v>0</v>
      </c>
      <c r="I62" s="12">
        <v>0.41924400000000001</v>
      </c>
      <c r="J62" s="12">
        <v>101.39619999999999</v>
      </c>
      <c r="K62" s="12">
        <v>125.03525</v>
      </c>
      <c r="L62" s="12" t="s">
        <v>1</v>
      </c>
      <c r="M62" s="12" t="s">
        <v>0</v>
      </c>
      <c r="N62" s="12">
        <v>12.150190096807099</v>
      </c>
      <c r="O62" s="12">
        <v>19.5</v>
      </c>
      <c r="P62" s="12">
        <v>3868.71</v>
      </c>
      <c r="Q62" s="12" t="s">
        <v>1</v>
      </c>
    </row>
    <row r="63" spans="1:17" x14ac:dyDescent="0.25">
      <c r="A63" s="12">
        <f t="shared" si="0"/>
        <v>62</v>
      </c>
      <c r="B63" s="12">
        <v>0.211642</v>
      </c>
      <c r="C63" s="12">
        <v>1.14143E-2</v>
      </c>
      <c r="D63" s="12">
        <v>0.20901500000000001</v>
      </c>
      <c r="E63" s="12">
        <v>7.1116423927535903</v>
      </c>
      <c r="F63" s="12">
        <v>132.25</v>
      </c>
      <c r="G63" s="12">
        <v>72.024751177331495</v>
      </c>
      <c r="H63" s="12" t="s">
        <v>0</v>
      </c>
      <c r="I63" s="12">
        <v>0.46931299999999998</v>
      </c>
      <c r="J63" s="12">
        <v>105.70715</v>
      </c>
      <c r="K63" s="12">
        <v>133.31885</v>
      </c>
      <c r="L63" s="12" t="s">
        <v>1</v>
      </c>
      <c r="M63" s="12" t="s">
        <v>0</v>
      </c>
      <c r="N63" s="12">
        <v>12.666766280114</v>
      </c>
      <c r="O63" s="12">
        <v>19.5</v>
      </c>
      <c r="P63" s="12">
        <v>4202.34</v>
      </c>
      <c r="Q63" s="12" t="s">
        <v>1</v>
      </c>
    </row>
    <row r="64" spans="1:17" x14ac:dyDescent="0.25">
      <c r="A64" s="12">
        <f t="shared" si="0"/>
        <v>63</v>
      </c>
      <c r="B64" s="12">
        <v>1.03318</v>
      </c>
      <c r="C64" s="12">
        <v>0.71465000000000001</v>
      </c>
      <c r="D64" s="12">
        <v>0.81351600000000002</v>
      </c>
      <c r="E64" s="12">
        <v>2007.1053261709701</v>
      </c>
      <c r="F64" s="12">
        <v>25</v>
      </c>
      <c r="G64" s="12">
        <v>17.263911164571201</v>
      </c>
      <c r="H64" s="12" t="s">
        <v>0</v>
      </c>
      <c r="I64" s="12">
        <v>1.1265400000000001</v>
      </c>
      <c r="J64" s="12">
        <v>457.32499999999999</v>
      </c>
      <c r="K64" s="12">
        <v>489.97444000000002</v>
      </c>
      <c r="L64" s="12" t="s">
        <v>1</v>
      </c>
      <c r="M64" s="12" t="s">
        <v>0</v>
      </c>
      <c r="N64" s="12">
        <v>54.800729080796998</v>
      </c>
      <c r="O64" s="12">
        <v>13</v>
      </c>
      <c r="P64" s="12">
        <v>8816.57</v>
      </c>
      <c r="Q64" s="12" t="s">
        <v>1</v>
      </c>
    </row>
    <row r="65" spans="1:17" x14ac:dyDescent="0.25">
      <c r="A65" s="12">
        <f t="shared" si="0"/>
        <v>64</v>
      </c>
      <c r="B65" s="12">
        <v>1.0041599999999999</v>
      </c>
      <c r="C65" s="12">
        <v>0.69845299999999999</v>
      </c>
      <c r="D65" s="12">
        <v>0.85408899999999999</v>
      </c>
      <c r="E65" s="12">
        <v>1921.09477158302</v>
      </c>
      <c r="F65" s="12">
        <v>30.25</v>
      </c>
      <c r="G65" s="12">
        <v>8.3901487145805902</v>
      </c>
      <c r="H65" s="12" t="s">
        <v>0</v>
      </c>
      <c r="I65" s="12">
        <v>1.1033200000000001</v>
      </c>
      <c r="J65" s="12">
        <v>449.22649999999999</v>
      </c>
      <c r="K65" s="12">
        <v>513.91251</v>
      </c>
      <c r="L65" s="12" t="s">
        <v>1</v>
      </c>
      <c r="M65" s="12" t="s">
        <v>0</v>
      </c>
      <c r="N65" s="12">
        <v>53.830295134564402</v>
      </c>
      <c r="O65" s="12">
        <v>13.5</v>
      </c>
      <c r="P65" s="12">
        <v>8357.25</v>
      </c>
      <c r="Q65" s="12" t="s">
        <v>1</v>
      </c>
    </row>
    <row r="66" spans="1:17" x14ac:dyDescent="0.25">
      <c r="A66" s="12">
        <f t="shared" si="0"/>
        <v>65</v>
      </c>
      <c r="B66" s="12">
        <v>0.57058699999999996</v>
      </c>
      <c r="C66" s="12">
        <v>0.120175</v>
      </c>
      <c r="D66" s="12">
        <v>0.27974700000000002</v>
      </c>
      <c r="E66" s="12">
        <v>84.329346060392098</v>
      </c>
      <c r="F66" s="12">
        <v>72.25</v>
      </c>
      <c r="G66" s="12">
        <v>2.6597588508162802</v>
      </c>
      <c r="H66" s="12" t="s">
        <v>0</v>
      </c>
      <c r="I66" s="12">
        <v>0.75646899999999995</v>
      </c>
      <c r="J66" s="12">
        <v>160.08750000000001</v>
      </c>
      <c r="K66" s="12">
        <v>175.05072999999999</v>
      </c>
      <c r="L66" s="12" t="s">
        <v>1</v>
      </c>
      <c r="M66" s="12" t="s">
        <v>0</v>
      </c>
      <c r="N66" s="12">
        <v>19.183101113479701</v>
      </c>
      <c r="O66" s="12">
        <v>16.5</v>
      </c>
      <c r="P66" s="12">
        <v>7895.27</v>
      </c>
      <c r="Q66" s="12" t="s">
        <v>1</v>
      </c>
    </row>
    <row r="67" spans="1:17" x14ac:dyDescent="0.25">
      <c r="A67" s="12">
        <f t="shared" si="0"/>
        <v>66</v>
      </c>
      <c r="B67" s="12">
        <v>0.53137900000000005</v>
      </c>
      <c r="C67" s="12">
        <v>7.14592E-2</v>
      </c>
      <c r="D67" s="12">
        <v>0.33868900000000002</v>
      </c>
      <c r="E67" s="12">
        <v>39.241729549719501</v>
      </c>
      <c r="F67" s="12">
        <v>90.25</v>
      </c>
      <c r="G67" s="12">
        <v>42.577591461062099</v>
      </c>
      <c r="H67" s="12" t="s">
        <v>0</v>
      </c>
      <c r="I67" s="12">
        <v>0.72510300000000005</v>
      </c>
      <c r="J67" s="12">
        <v>135.7296</v>
      </c>
      <c r="K67" s="12">
        <v>209.82651000000001</v>
      </c>
      <c r="L67" s="12" t="s">
        <v>1</v>
      </c>
      <c r="M67" s="12" t="s">
        <v>0</v>
      </c>
      <c r="N67" s="12">
        <v>16.264321954507</v>
      </c>
      <c r="O67" s="12">
        <v>17.5</v>
      </c>
      <c r="P67" s="12">
        <v>4918.32</v>
      </c>
      <c r="Q67" s="12" t="s">
        <v>1</v>
      </c>
    </row>
    <row r="68" spans="1:17" x14ac:dyDescent="0.25">
      <c r="A68" s="12">
        <f t="shared" ref="A68:A131" si="1">A67+1</f>
        <v>67</v>
      </c>
      <c r="B68" s="12">
        <v>0.47740199999999999</v>
      </c>
      <c r="C68" s="12">
        <v>3.2667700000000001E-2</v>
      </c>
      <c r="D68" s="12">
        <v>0.21776699999999999</v>
      </c>
      <c r="E68" s="12">
        <v>15.5247940503927</v>
      </c>
      <c r="F68" s="12">
        <v>110.25</v>
      </c>
      <c r="G68" s="12">
        <v>13.6662897271533</v>
      </c>
      <c r="H68" s="12" t="s">
        <v>0</v>
      </c>
      <c r="I68" s="12">
        <v>0.681921</v>
      </c>
      <c r="J68" s="12">
        <v>116.33385</v>
      </c>
      <c r="K68" s="12">
        <v>138.48253</v>
      </c>
      <c r="L68" s="12" t="s">
        <v>1</v>
      </c>
      <c r="M68" s="12" t="s">
        <v>0</v>
      </c>
      <c r="N68" s="12">
        <v>13.9401515263239</v>
      </c>
      <c r="O68" s="12">
        <v>18.5</v>
      </c>
      <c r="P68" s="12">
        <v>5950.67</v>
      </c>
      <c r="Q68" s="12" t="s">
        <v>1</v>
      </c>
    </row>
    <row r="69" spans="1:17" x14ac:dyDescent="0.25">
      <c r="A69" s="12">
        <f t="shared" si="1"/>
        <v>68</v>
      </c>
      <c r="B69" s="12">
        <v>0.43837199999999998</v>
      </c>
      <c r="C69" s="12">
        <v>4.3145599999999999E-2</v>
      </c>
      <c r="D69" s="12">
        <v>0.24967700000000001</v>
      </c>
      <c r="E69" s="12">
        <v>20.865974279665199</v>
      </c>
      <c r="F69" s="12">
        <v>100</v>
      </c>
      <c r="G69" s="12">
        <v>12.5093030775004</v>
      </c>
      <c r="H69" s="12" t="s">
        <v>0</v>
      </c>
      <c r="I69" s="12">
        <v>0.65069699999999997</v>
      </c>
      <c r="J69" s="12">
        <v>121.5728</v>
      </c>
      <c r="K69" s="12">
        <v>157.30942999999999</v>
      </c>
      <c r="L69" s="12" t="s">
        <v>1</v>
      </c>
      <c r="M69" s="12" t="s">
        <v>0</v>
      </c>
      <c r="N69" s="12">
        <v>14.567928882947401</v>
      </c>
      <c r="O69" s="12">
        <v>18</v>
      </c>
      <c r="P69" s="12">
        <v>6009.05</v>
      </c>
      <c r="Q69" s="12" t="s">
        <v>1</v>
      </c>
    </row>
    <row r="70" spans="1:17" x14ac:dyDescent="0.25">
      <c r="A70" s="12">
        <f t="shared" si="1"/>
        <v>69</v>
      </c>
      <c r="B70" s="12">
        <v>1.02041</v>
      </c>
      <c r="C70" s="12">
        <v>-3.2254900000000003E-2</v>
      </c>
      <c r="D70" s="12">
        <v>0.727769</v>
      </c>
      <c r="E70" s="12">
        <v>2.5352493585087698E-3</v>
      </c>
      <c r="F70" s="12">
        <v>81</v>
      </c>
      <c r="G70" s="12">
        <v>305.11092416663502</v>
      </c>
      <c r="H70" s="12" t="s">
        <v>0</v>
      </c>
      <c r="I70" s="12">
        <v>1.11632</v>
      </c>
      <c r="J70" s="12">
        <v>83.872550000000004</v>
      </c>
      <c r="K70" s="12">
        <v>439.38371000000001</v>
      </c>
      <c r="L70" s="12" t="s">
        <v>1</v>
      </c>
      <c r="M70" s="12" t="s">
        <v>0</v>
      </c>
      <c r="N70" s="12">
        <v>10.050351259750901</v>
      </c>
      <c r="O70" s="12">
        <v>17</v>
      </c>
      <c r="P70" s="12">
        <v>924.39</v>
      </c>
      <c r="Q70" s="12" t="s">
        <v>1</v>
      </c>
    </row>
    <row r="71" spans="1:17" x14ac:dyDescent="0.25">
      <c r="A71" s="12">
        <f t="shared" si="1"/>
        <v>70</v>
      </c>
      <c r="B71" s="12">
        <v>1.04521</v>
      </c>
      <c r="C71" s="12">
        <v>-9.9150799999999997E-3</v>
      </c>
      <c r="D71" s="12">
        <v>0.70021900000000004</v>
      </c>
      <c r="E71" s="12">
        <v>1.9288452575827899</v>
      </c>
      <c r="F71" s="12">
        <v>72.25</v>
      </c>
      <c r="G71" s="12">
        <v>290.31398332219902</v>
      </c>
      <c r="H71" s="12" t="s">
        <v>0</v>
      </c>
      <c r="I71" s="12">
        <v>1.1361600000000001</v>
      </c>
      <c r="J71" s="12">
        <v>95.042460000000005</v>
      </c>
      <c r="K71" s="12">
        <v>423.12921</v>
      </c>
      <c r="L71" s="12" t="s">
        <v>1</v>
      </c>
      <c r="M71" s="12" t="s">
        <v>0</v>
      </c>
      <c r="N71" s="12">
        <v>11.3888287358716</v>
      </c>
      <c r="O71" s="12">
        <v>16.5</v>
      </c>
      <c r="P71" s="12">
        <v>1080.9100000000001</v>
      </c>
      <c r="Q71" s="12" t="s">
        <v>1</v>
      </c>
    </row>
    <row r="72" spans="1:17" x14ac:dyDescent="0.25">
      <c r="A72" s="12">
        <f t="shared" si="1"/>
        <v>71</v>
      </c>
      <c r="B72" s="12">
        <v>6.5149299999999993E-2</v>
      </c>
      <c r="C72" s="12">
        <v>4.52886E-3</v>
      </c>
      <c r="D72" s="12">
        <v>0.180701</v>
      </c>
      <c r="E72" s="12">
        <v>5.0815488340509498</v>
      </c>
      <c r="F72" s="12">
        <v>132.25</v>
      </c>
      <c r="G72" s="12">
        <v>91.227619537624307</v>
      </c>
      <c r="H72" s="12" t="s">
        <v>0</v>
      </c>
      <c r="I72" s="12">
        <v>0.35211940000000003</v>
      </c>
      <c r="J72" s="12">
        <v>102.26443</v>
      </c>
      <c r="K72" s="12">
        <v>116.61359</v>
      </c>
      <c r="L72" s="12" t="s">
        <v>1</v>
      </c>
      <c r="M72" s="12" t="s">
        <v>0</v>
      </c>
      <c r="N72" s="12">
        <v>12.2542290997258</v>
      </c>
      <c r="O72" s="12">
        <v>19.5</v>
      </c>
      <c r="P72" s="12">
        <v>3813.77</v>
      </c>
      <c r="Q72" s="12" t="s">
        <v>1</v>
      </c>
    </row>
    <row r="73" spans="1:17" x14ac:dyDescent="0.25">
      <c r="A73" s="12">
        <f t="shared" si="1"/>
        <v>72</v>
      </c>
      <c r="B73" s="12">
        <v>8.0671499999999993E-2</v>
      </c>
      <c r="C73" s="12">
        <v>3.4552199999999998E-2</v>
      </c>
      <c r="D73" s="12">
        <v>0.18099599999999999</v>
      </c>
      <c r="E73" s="12">
        <v>16.427297477359001</v>
      </c>
      <c r="F73" s="12">
        <v>100</v>
      </c>
      <c r="G73" s="12">
        <v>63.858927141302303</v>
      </c>
      <c r="H73" s="12" t="s">
        <v>0</v>
      </c>
      <c r="I73" s="12">
        <v>0.36453720000000001</v>
      </c>
      <c r="J73" s="12">
        <v>117.2761</v>
      </c>
      <c r="K73" s="12">
        <v>116.78764</v>
      </c>
      <c r="L73" s="12" t="s">
        <v>1</v>
      </c>
      <c r="M73" s="12" t="s">
        <v>0</v>
      </c>
      <c r="N73" s="12">
        <v>14.0530602607608</v>
      </c>
      <c r="O73" s="12">
        <v>18</v>
      </c>
      <c r="P73" s="12">
        <v>4383.22</v>
      </c>
      <c r="Q73" s="12" t="s">
        <v>1</v>
      </c>
    </row>
    <row r="74" spans="1:17" x14ac:dyDescent="0.25">
      <c r="A74" s="12">
        <f t="shared" si="1"/>
        <v>73</v>
      </c>
      <c r="B74" s="12">
        <v>0.91931399999999996</v>
      </c>
      <c r="C74" s="12">
        <v>7.3828400000000002E-2</v>
      </c>
      <c r="D74" s="12">
        <v>0.76039199999999996</v>
      </c>
      <c r="E74" s="12">
        <v>41.040310827304303</v>
      </c>
      <c r="F74" s="12">
        <v>56.25</v>
      </c>
      <c r="G74" s="12">
        <v>215.077894737474</v>
      </c>
      <c r="H74" s="12" t="s">
        <v>0</v>
      </c>
      <c r="I74" s="12">
        <v>1.0354509999999999</v>
      </c>
      <c r="J74" s="12">
        <v>136.91419999999999</v>
      </c>
      <c r="K74" s="12">
        <v>458.63128</v>
      </c>
      <c r="L74" s="12" t="s">
        <v>1</v>
      </c>
      <c r="M74" s="12" t="s">
        <v>0</v>
      </c>
      <c r="N74" s="12">
        <v>16.406271210876401</v>
      </c>
      <c r="O74" s="12">
        <v>15.5</v>
      </c>
      <c r="P74" s="12">
        <v>1947.08</v>
      </c>
      <c r="Q74" s="12" t="s">
        <v>1</v>
      </c>
    </row>
    <row r="75" spans="1:17" x14ac:dyDescent="0.25">
      <c r="A75" s="12">
        <f t="shared" si="1"/>
        <v>74</v>
      </c>
      <c r="B75" s="12">
        <v>0.955843</v>
      </c>
      <c r="C75" s="12">
        <v>4.02379E-2</v>
      </c>
      <c r="D75" s="12">
        <v>0.79121799999999998</v>
      </c>
      <c r="E75" s="12">
        <v>19.304737727696999</v>
      </c>
      <c r="F75" s="12">
        <v>56.25</v>
      </c>
      <c r="G75" s="12">
        <v>239.151395777819</v>
      </c>
      <c r="H75" s="12" t="s">
        <v>0</v>
      </c>
      <c r="I75" s="12">
        <v>1.0646739999999999</v>
      </c>
      <c r="J75" s="12">
        <v>120.11895</v>
      </c>
      <c r="K75" s="12">
        <v>476.81862000000001</v>
      </c>
      <c r="L75" s="12" t="s">
        <v>1</v>
      </c>
      <c r="M75" s="12" t="s">
        <v>0</v>
      </c>
      <c r="N75" s="12">
        <v>14.393715708565701</v>
      </c>
      <c r="O75" s="12">
        <v>15.5</v>
      </c>
      <c r="P75" s="12">
        <v>1655.45</v>
      </c>
      <c r="Q75" s="12" t="s">
        <v>1</v>
      </c>
    </row>
    <row r="76" spans="1:17" x14ac:dyDescent="0.25">
      <c r="A76" s="12">
        <f t="shared" si="1"/>
        <v>75</v>
      </c>
      <c r="B76" s="12">
        <v>0.88004099999999996</v>
      </c>
      <c r="C76" s="12">
        <v>-3.8328800000000003E-2</v>
      </c>
      <c r="D76" s="12">
        <v>0.67071400000000003</v>
      </c>
      <c r="E76" s="12">
        <v>9.8321734867671706E-2</v>
      </c>
      <c r="F76" s="12">
        <v>100</v>
      </c>
      <c r="G76" s="12">
        <v>290.92489320247699</v>
      </c>
      <c r="H76" s="12" t="s">
        <v>0</v>
      </c>
      <c r="I76" s="12">
        <v>1.004032</v>
      </c>
      <c r="J76" s="12">
        <v>80.835599999999999</v>
      </c>
      <c r="K76" s="12">
        <v>405.72125999999997</v>
      </c>
      <c r="L76" s="12" t="s">
        <v>1</v>
      </c>
      <c r="M76" s="12" t="s">
        <v>0</v>
      </c>
      <c r="N76" s="12">
        <v>9.6864370320530906</v>
      </c>
      <c r="O76" s="12">
        <v>18</v>
      </c>
      <c r="P76" s="12">
        <v>1074.3699999999999</v>
      </c>
      <c r="Q76" s="12" t="s">
        <v>1</v>
      </c>
    </row>
    <row r="77" spans="1:17" x14ac:dyDescent="0.25">
      <c r="A77" s="12">
        <f t="shared" si="1"/>
        <v>76</v>
      </c>
      <c r="B77" s="12">
        <v>0.96485900000000002</v>
      </c>
      <c r="C77" s="12">
        <v>-9.5594900000000003E-3</v>
      </c>
      <c r="D77" s="12">
        <v>0.77185199999999998</v>
      </c>
      <c r="E77" s="12">
        <v>1.98847706980227</v>
      </c>
      <c r="F77" s="12">
        <v>81</v>
      </c>
      <c r="G77" s="12">
        <v>296.55765113229398</v>
      </c>
      <c r="H77" s="12" t="s">
        <v>0</v>
      </c>
      <c r="I77" s="12">
        <v>1.071887</v>
      </c>
      <c r="J77" s="12">
        <v>95.220254999999995</v>
      </c>
      <c r="K77" s="12">
        <v>465.39267999999998</v>
      </c>
      <c r="L77" s="12" t="s">
        <v>1</v>
      </c>
      <c r="M77" s="12" t="s">
        <v>0</v>
      </c>
      <c r="N77" s="12">
        <v>11.4101337063563</v>
      </c>
      <c r="O77" s="12">
        <v>17</v>
      </c>
      <c r="P77" s="12">
        <v>1014.39</v>
      </c>
      <c r="Q77" s="12" t="s">
        <v>1</v>
      </c>
    </row>
    <row r="78" spans="1:17" x14ac:dyDescent="0.25">
      <c r="A78" s="12">
        <f t="shared" si="1"/>
        <v>77</v>
      </c>
      <c r="B78" s="12">
        <v>1.04697</v>
      </c>
      <c r="C78" s="12">
        <v>0.27989799999999998</v>
      </c>
      <c r="D78" s="12">
        <v>0.96813199999999999</v>
      </c>
      <c r="E78" s="12">
        <v>351.66799024490399</v>
      </c>
      <c r="F78" s="12">
        <v>36</v>
      </c>
      <c r="G78" s="12">
        <v>123.908614906361</v>
      </c>
      <c r="H78" s="12" t="s">
        <v>0</v>
      </c>
      <c r="I78" s="12">
        <v>1.13757</v>
      </c>
      <c r="J78" s="12">
        <v>239.94900000000001</v>
      </c>
      <c r="K78" s="12">
        <v>581.19788000000005</v>
      </c>
      <c r="L78" s="12" t="s">
        <v>1</v>
      </c>
      <c r="M78" s="12" t="s">
        <v>0</v>
      </c>
      <c r="N78" s="12">
        <v>28.752812862205602</v>
      </c>
      <c r="O78" s="12">
        <v>14</v>
      </c>
      <c r="P78" s="12">
        <v>3237.03</v>
      </c>
      <c r="Q78" s="12" t="s">
        <v>1</v>
      </c>
    </row>
    <row r="79" spans="1:17" x14ac:dyDescent="0.25">
      <c r="A79" s="12">
        <f t="shared" si="1"/>
        <v>78</v>
      </c>
      <c r="B79" s="12">
        <v>1.04579</v>
      </c>
      <c r="C79" s="12">
        <v>0.22789699999999999</v>
      </c>
      <c r="D79" s="12">
        <v>0.96987800000000002</v>
      </c>
      <c r="E79" s="12">
        <v>244.52211245003801</v>
      </c>
      <c r="F79" s="12">
        <v>36</v>
      </c>
      <c r="G79" s="12">
        <v>146.93889871195299</v>
      </c>
      <c r="H79" s="12" t="s">
        <v>0</v>
      </c>
      <c r="I79" s="12">
        <v>1.13663</v>
      </c>
      <c r="J79" s="12">
        <v>213.9485</v>
      </c>
      <c r="K79" s="12">
        <v>582.22802000000001</v>
      </c>
      <c r="L79" s="12" t="s">
        <v>1</v>
      </c>
      <c r="M79" s="12" t="s">
        <v>0</v>
      </c>
      <c r="N79" s="12">
        <v>25.637202833308699</v>
      </c>
      <c r="O79" s="12">
        <v>14</v>
      </c>
      <c r="P79" s="12">
        <v>2875.53</v>
      </c>
      <c r="Q79" s="12" t="s">
        <v>1</v>
      </c>
    </row>
    <row r="80" spans="1:17" x14ac:dyDescent="0.25">
      <c r="A80" s="12">
        <f t="shared" si="1"/>
        <v>79</v>
      </c>
      <c r="B80" s="12">
        <v>0.257853</v>
      </c>
      <c r="C80" s="12">
        <v>6.3726699999999997E-2</v>
      </c>
      <c r="D80" s="12">
        <v>0.41124500000000003</v>
      </c>
      <c r="E80" s="12">
        <v>33.651991536549701</v>
      </c>
      <c r="F80" s="12">
        <v>100</v>
      </c>
      <c r="G80" s="12">
        <v>91.726013492963006</v>
      </c>
      <c r="H80" s="12" t="s">
        <v>0</v>
      </c>
      <c r="I80" s="12">
        <v>0.50628200000000001</v>
      </c>
      <c r="J80" s="12">
        <v>131.86335</v>
      </c>
      <c r="K80" s="12">
        <v>252.63454999999999</v>
      </c>
      <c r="L80" s="12" t="s">
        <v>1</v>
      </c>
      <c r="M80" s="12" t="s">
        <v>0</v>
      </c>
      <c r="N80" s="12">
        <v>15.801033661042601</v>
      </c>
      <c r="O80" s="12">
        <v>18</v>
      </c>
      <c r="P80" s="12">
        <v>3804.26</v>
      </c>
      <c r="Q80" s="12" t="s">
        <v>1</v>
      </c>
    </row>
    <row r="81" spans="1:17" x14ac:dyDescent="0.25">
      <c r="A81" s="12">
        <f t="shared" si="1"/>
        <v>80</v>
      </c>
      <c r="B81" s="12">
        <v>0.190693</v>
      </c>
      <c r="C81" s="12">
        <v>2.9223000000000001E-3</v>
      </c>
      <c r="D81" s="12">
        <v>0.42076200000000002</v>
      </c>
      <c r="E81" s="12">
        <v>4.6568473852187902</v>
      </c>
      <c r="F81" s="12">
        <v>132.25</v>
      </c>
      <c r="G81" s="12">
        <v>191.62978678251</v>
      </c>
      <c r="H81" s="12" t="s">
        <v>0</v>
      </c>
      <c r="I81" s="12">
        <v>0.45255400000000001</v>
      </c>
      <c r="J81" s="12">
        <v>101.46115</v>
      </c>
      <c r="K81" s="12">
        <v>258.24957999999998</v>
      </c>
      <c r="L81" s="12" t="s">
        <v>1</v>
      </c>
      <c r="M81" s="12" t="s">
        <v>0</v>
      </c>
      <c r="N81" s="12">
        <v>12.157972980650699</v>
      </c>
      <c r="O81" s="12">
        <v>19.5</v>
      </c>
      <c r="P81" s="12">
        <v>2247.29</v>
      </c>
      <c r="Q81" s="12" t="s">
        <v>1</v>
      </c>
    </row>
    <row r="82" spans="1:17" x14ac:dyDescent="0.25">
      <c r="A82" s="12">
        <f t="shared" si="1"/>
        <v>81</v>
      </c>
      <c r="B82" s="12">
        <v>0.80401599999999995</v>
      </c>
      <c r="C82" s="12">
        <v>0.193328</v>
      </c>
      <c r="D82" s="12">
        <v>0.43451800000000002</v>
      </c>
      <c r="E82" s="12">
        <v>184.036927559443</v>
      </c>
      <c r="F82" s="12">
        <v>56.25</v>
      </c>
      <c r="G82" s="12">
        <v>24.404953443422698</v>
      </c>
      <c r="H82" s="12" t="s">
        <v>0</v>
      </c>
      <c r="I82" s="12">
        <v>0.94321200000000005</v>
      </c>
      <c r="J82" s="12">
        <v>196.66399999999999</v>
      </c>
      <c r="K82" s="12">
        <v>266.36561999999998</v>
      </c>
      <c r="L82" s="12" t="s">
        <v>1</v>
      </c>
      <c r="M82" s="12" t="s">
        <v>0</v>
      </c>
      <c r="N82" s="12">
        <v>23.566021065863101</v>
      </c>
      <c r="O82" s="12">
        <v>15.5</v>
      </c>
      <c r="P82" s="12">
        <v>5496.85</v>
      </c>
      <c r="Q82" s="12" t="s">
        <v>1</v>
      </c>
    </row>
    <row r="83" spans="1:17" x14ac:dyDescent="0.25">
      <c r="A83" s="12">
        <f t="shared" si="1"/>
        <v>82</v>
      </c>
      <c r="B83" s="12">
        <v>0.81675799999999998</v>
      </c>
      <c r="C83" s="12">
        <v>0.215696</v>
      </c>
      <c r="D83" s="12">
        <v>0.444135</v>
      </c>
      <c r="E83" s="12">
        <v>222.19440880665701</v>
      </c>
      <c r="F83" s="12">
        <v>42.25</v>
      </c>
      <c r="G83" s="12">
        <v>2.5082259335710202E-3</v>
      </c>
      <c r="H83" s="12" t="s">
        <v>0</v>
      </c>
      <c r="I83" s="12">
        <v>0.95340599999999998</v>
      </c>
      <c r="J83" s="12">
        <v>207.84800000000001</v>
      </c>
      <c r="K83" s="12">
        <v>272.03964999999999</v>
      </c>
      <c r="L83" s="12" t="s">
        <v>1</v>
      </c>
      <c r="M83" s="12" t="s">
        <v>0</v>
      </c>
      <c r="N83" s="12">
        <v>24.906186930488101</v>
      </c>
      <c r="O83" s="12">
        <v>14.5</v>
      </c>
      <c r="P83" s="12">
        <v>7281.72</v>
      </c>
      <c r="Q83" s="12" t="s">
        <v>1</v>
      </c>
    </row>
    <row r="84" spans="1:17" x14ac:dyDescent="0.25">
      <c r="A84" s="12">
        <f t="shared" si="1"/>
        <v>83</v>
      </c>
      <c r="B84" s="12">
        <v>0.85730200000000001</v>
      </c>
      <c r="C84" s="12">
        <v>0.24105599999999999</v>
      </c>
      <c r="D84" s="12">
        <v>0.457117</v>
      </c>
      <c r="E84" s="12">
        <v>269.80088580006901</v>
      </c>
      <c r="F84" s="12">
        <v>49</v>
      </c>
      <c r="G84" s="12">
        <v>16.5450577264027</v>
      </c>
      <c r="H84" s="12" t="s">
        <v>0</v>
      </c>
      <c r="I84" s="12">
        <v>0.98584099999999997</v>
      </c>
      <c r="J84" s="12">
        <v>220.52799999999999</v>
      </c>
      <c r="K84" s="12">
        <v>279.69902999999999</v>
      </c>
      <c r="L84" s="12" t="s">
        <v>1</v>
      </c>
      <c r="M84" s="12" t="s">
        <v>0</v>
      </c>
      <c r="N84" s="12">
        <v>26.4256167555458</v>
      </c>
      <c r="O84" s="12">
        <v>15</v>
      </c>
      <c r="P84" s="12">
        <v>5815.34</v>
      </c>
      <c r="Q84" s="12" t="s">
        <v>1</v>
      </c>
    </row>
    <row r="85" spans="1:17" x14ac:dyDescent="0.25">
      <c r="A85" s="12">
        <f t="shared" si="1"/>
        <v>84</v>
      </c>
      <c r="B85" s="12">
        <v>0.81907099999999999</v>
      </c>
      <c r="C85" s="12">
        <v>0.21753</v>
      </c>
      <c r="D85" s="12">
        <v>0.45721800000000001</v>
      </c>
      <c r="E85" s="12">
        <v>225.482357837922</v>
      </c>
      <c r="F85" s="12">
        <v>42.25</v>
      </c>
      <c r="G85" s="12">
        <v>0.21308973616063001</v>
      </c>
      <c r="H85" s="12" t="s">
        <v>0</v>
      </c>
      <c r="I85" s="12">
        <v>0.95525599999999999</v>
      </c>
      <c r="J85" s="12">
        <v>208.76499999999999</v>
      </c>
      <c r="K85" s="12">
        <v>279.75862000000001</v>
      </c>
      <c r="L85" s="12" t="s">
        <v>1</v>
      </c>
      <c r="M85" s="12" t="s">
        <v>0</v>
      </c>
      <c r="N85" s="12">
        <v>25.0160699864485</v>
      </c>
      <c r="O85" s="12">
        <v>14.5</v>
      </c>
      <c r="P85" s="12">
        <v>7131.51</v>
      </c>
      <c r="Q85" s="12" t="s">
        <v>1</v>
      </c>
    </row>
    <row r="86" spans="1:17" x14ac:dyDescent="0.25">
      <c r="A86" s="12">
        <f t="shared" si="1"/>
        <v>85</v>
      </c>
      <c r="B86" s="12">
        <v>0.31428699999999998</v>
      </c>
      <c r="C86" s="12">
        <v>4.2780099999999996E-3</v>
      </c>
      <c r="D86" s="12">
        <v>0.236626</v>
      </c>
      <c r="E86" s="12">
        <v>5.0140146970231498</v>
      </c>
      <c r="F86" s="12">
        <v>132.25</v>
      </c>
      <c r="G86" s="12">
        <v>56.286170196284402</v>
      </c>
      <c r="H86" s="12" t="s">
        <v>0</v>
      </c>
      <c r="I86" s="12">
        <v>0.55142899999999995</v>
      </c>
      <c r="J86" s="12">
        <v>102.139005</v>
      </c>
      <c r="K86" s="12">
        <v>149.60934</v>
      </c>
      <c r="L86" s="12" t="s">
        <v>1</v>
      </c>
      <c r="M86" s="12" t="s">
        <v>0</v>
      </c>
      <c r="N86" s="12">
        <v>12.2391995661448</v>
      </c>
      <c r="O86" s="12">
        <v>19.5</v>
      </c>
      <c r="P86" s="12">
        <v>4561.62</v>
      </c>
      <c r="Q86" s="12" t="s">
        <v>1</v>
      </c>
    </row>
    <row r="87" spans="1:17" x14ac:dyDescent="0.25">
      <c r="A87" s="12">
        <f t="shared" si="1"/>
        <v>86</v>
      </c>
      <c r="B87" s="12">
        <v>0.31204799999999999</v>
      </c>
      <c r="C87" s="12">
        <v>-2.5148E-2</v>
      </c>
      <c r="D87" s="12">
        <v>0.20282800000000001</v>
      </c>
      <c r="E87" s="12">
        <v>0.22672557317764699</v>
      </c>
      <c r="F87" s="12">
        <v>144</v>
      </c>
      <c r="G87" s="12">
        <v>66.990412862450697</v>
      </c>
      <c r="H87" s="12" t="s">
        <v>0</v>
      </c>
      <c r="I87" s="12">
        <v>0.54963799999999996</v>
      </c>
      <c r="J87" s="12">
        <v>87.426000000000002</v>
      </c>
      <c r="K87" s="12">
        <v>129.66852</v>
      </c>
      <c r="L87" s="12" t="s">
        <v>1</v>
      </c>
      <c r="M87" s="12" t="s">
        <v>0</v>
      </c>
      <c r="N87" s="12">
        <v>10.476157088761299</v>
      </c>
      <c r="O87" s="12">
        <v>20</v>
      </c>
      <c r="P87" s="12">
        <v>4312.5600000000004</v>
      </c>
      <c r="Q87" s="12" t="s">
        <v>1</v>
      </c>
    </row>
    <row r="88" spans="1:17" x14ac:dyDescent="0.25">
      <c r="A88" s="12">
        <f t="shared" si="1"/>
        <v>87</v>
      </c>
      <c r="B88" s="12">
        <v>0.58222799999999997</v>
      </c>
      <c r="C88" s="12">
        <v>0.103992</v>
      </c>
      <c r="D88" s="12">
        <v>0.20345099999999999</v>
      </c>
      <c r="E88" s="12">
        <v>67.461680306100007</v>
      </c>
      <c r="F88" s="12">
        <v>81</v>
      </c>
      <c r="G88" s="12">
        <v>7.4448243805591998</v>
      </c>
      <c r="H88" s="12" t="s">
        <v>0</v>
      </c>
      <c r="I88" s="12">
        <v>0.76578199999999996</v>
      </c>
      <c r="J88" s="12">
        <v>151.99600000000001</v>
      </c>
      <c r="K88" s="12">
        <v>130.03609</v>
      </c>
      <c r="L88" s="12" t="s">
        <v>1</v>
      </c>
      <c r="M88" s="12" t="s">
        <v>0</v>
      </c>
      <c r="N88" s="12">
        <v>18.213505969200899</v>
      </c>
      <c r="O88" s="12">
        <v>17</v>
      </c>
      <c r="P88" s="12">
        <v>8295.91</v>
      </c>
      <c r="Q88" s="12" t="s">
        <v>1</v>
      </c>
    </row>
    <row r="89" spans="1:17" x14ac:dyDescent="0.25">
      <c r="A89" s="12">
        <f t="shared" si="1"/>
        <v>88</v>
      </c>
      <c r="B89" s="12">
        <v>0.56291800000000003</v>
      </c>
      <c r="C89" s="12">
        <v>6.3981099999999999E-2</v>
      </c>
      <c r="D89" s="12">
        <v>0.24317800000000001</v>
      </c>
      <c r="E89" s="12">
        <v>33.829065238290298</v>
      </c>
      <c r="F89" s="12">
        <v>90.25</v>
      </c>
      <c r="G89" s="12">
        <v>7.0697710639894904</v>
      </c>
      <c r="H89" s="12" t="s">
        <v>0</v>
      </c>
      <c r="I89" s="12">
        <v>0.75033399999999995</v>
      </c>
      <c r="J89" s="12">
        <v>131.99055000000001</v>
      </c>
      <c r="K89" s="12">
        <v>153.47502</v>
      </c>
      <c r="L89" s="12" t="s">
        <v>1</v>
      </c>
      <c r="M89" s="12" t="s">
        <v>0</v>
      </c>
      <c r="N89" s="12">
        <v>15.816275890833399</v>
      </c>
      <c r="O89" s="12">
        <v>17.5</v>
      </c>
      <c r="P89" s="12">
        <v>6329.5</v>
      </c>
      <c r="Q89" s="12" t="s">
        <v>1</v>
      </c>
    </row>
    <row r="90" spans="1:17" x14ac:dyDescent="0.25">
      <c r="A90" s="12">
        <f t="shared" si="1"/>
        <v>89</v>
      </c>
      <c r="B90" s="12">
        <v>0.83489199999999997</v>
      </c>
      <c r="C90" s="12">
        <v>0.62663800000000003</v>
      </c>
      <c r="D90" s="12">
        <v>0.98045400000000005</v>
      </c>
      <c r="E90" s="12">
        <v>1562.4264724622899</v>
      </c>
      <c r="F90" s="12">
        <v>42.25</v>
      </c>
      <c r="G90" s="12">
        <v>2.05125177406642</v>
      </c>
      <c r="H90" s="12" t="s">
        <v>0</v>
      </c>
      <c r="I90" s="12">
        <v>0.96791300000000002</v>
      </c>
      <c r="J90" s="12">
        <v>413.31900000000002</v>
      </c>
      <c r="K90" s="12">
        <v>588.46785999999997</v>
      </c>
      <c r="L90" s="12" t="s">
        <v>1</v>
      </c>
      <c r="M90" s="12" t="s">
        <v>0</v>
      </c>
      <c r="N90" s="12">
        <v>49.527540683203298</v>
      </c>
      <c r="O90" s="12">
        <v>14.5</v>
      </c>
      <c r="P90" s="12">
        <v>6777.24</v>
      </c>
      <c r="Q90" s="12" t="s">
        <v>1</v>
      </c>
    </row>
    <row r="91" spans="1:17" x14ac:dyDescent="0.25">
      <c r="A91" s="12">
        <f t="shared" si="1"/>
        <v>90</v>
      </c>
      <c r="B91" s="12">
        <v>0.912323</v>
      </c>
      <c r="C91" s="12">
        <v>0.69749799999999995</v>
      </c>
      <c r="D91" s="12">
        <v>1.00776</v>
      </c>
      <c r="E91" s="12">
        <v>1916.0822576534599</v>
      </c>
      <c r="F91" s="12">
        <v>30.25</v>
      </c>
      <c r="G91" s="12">
        <v>2.1766353912553899E-2</v>
      </c>
      <c r="H91" s="12" t="s">
        <v>0</v>
      </c>
      <c r="I91" s="12">
        <v>1.0298579999999999</v>
      </c>
      <c r="J91" s="12">
        <v>448.74900000000002</v>
      </c>
      <c r="K91" s="12">
        <v>604.57839999999999</v>
      </c>
      <c r="L91" s="12" t="s">
        <v>1</v>
      </c>
      <c r="M91" s="12" t="s">
        <v>0</v>
      </c>
      <c r="N91" s="12">
        <v>53.7730768584236</v>
      </c>
      <c r="O91" s="12">
        <v>13.5</v>
      </c>
      <c r="P91" s="12">
        <v>7246.15</v>
      </c>
      <c r="Q91" s="12" t="s">
        <v>1</v>
      </c>
    </row>
    <row r="92" spans="1:17" x14ac:dyDescent="0.25">
      <c r="A92" s="12">
        <f t="shared" si="1"/>
        <v>91</v>
      </c>
      <c r="B92" s="12">
        <v>1.09212</v>
      </c>
      <c r="C92" s="12">
        <v>3.4644099999999997E-2</v>
      </c>
      <c r="D92" s="12">
        <v>0.72546299999999997</v>
      </c>
      <c r="E92" s="12">
        <v>16.471961194344001</v>
      </c>
      <c r="F92" s="12">
        <v>56.25</v>
      </c>
      <c r="G92" s="12">
        <v>259.38382091123998</v>
      </c>
      <c r="H92" s="12" t="s">
        <v>0</v>
      </c>
      <c r="I92" s="12">
        <v>1.1736899999999999</v>
      </c>
      <c r="J92" s="12">
        <v>117.32205</v>
      </c>
      <c r="K92" s="12">
        <v>438.02316999999999</v>
      </c>
      <c r="L92" s="12" t="s">
        <v>1</v>
      </c>
      <c r="M92" s="12" t="s">
        <v>0</v>
      </c>
      <c r="N92" s="12">
        <v>14.058566396443901</v>
      </c>
      <c r="O92" s="12">
        <v>15.5</v>
      </c>
      <c r="P92" s="12">
        <v>1421.53</v>
      </c>
      <c r="Q92" s="12" t="s">
        <v>1</v>
      </c>
    </row>
    <row r="93" spans="1:17" x14ac:dyDescent="0.25">
      <c r="A93" s="12">
        <f t="shared" si="1"/>
        <v>92</v>
      </c>
      <c r="B93" s="12">
        <v>1.0596699999999999</v>
      </c>
      <c r="C93" s="12">
        <v>1.9119799999999999E-2</v>
      </c>
      <c r="D93" s="12">
        <v>0.81984800000000002</v>
      </c>
      <c r="E93" s="12">
        <v>9.7871173377725391</v>
      </c>
      <c r="F93" s="12">
        <v>56.25</v>
      </c>
      <c r="G93" s="12">
        <v>277.91813035766501</v>
      </c>
      <c r="H93" s="12" t="s">
        <v>0</v>
      </c>
      <c r="I93" s="12">
        <v>1.1477299999999999</v>
      </c>
      <c r="J93" s="12">
        <v>109.5599</v>
      </c>
      <c r="K93" s="12">
        <v>493.71032000000002</v>
      </c>
      <c r="L93" s="12" t="s">
        <v>1</v>
      </c>
      <c r="M93" s="12" t="s">
        <v>0</v>
      </c>
      <c r="N93" s="12">
        <v>13.128436884096001</v>
      </c>
      <c r="O93" s="12">
        <v>15.5</v>
      </c>
      <c r="P93" s="12">
        <v>1215.1300000000001</v>
      </c>
      <c r="Q93" s="12" t="s">
        <v>1</v>
      </c>
    </row>
    <row r="94" spans="1:17" x14ac:dyDescent="0.25">
      <c r="A94" s="12">
        <f t="shared" si="1"/>
        <v>93</v>
      </c>
      <c r="B94" s="12">
        <v>1.0648</v>
      </c>
      <c r="C94" s="12">
        <v>4.6295299999999998E-2</v>
      </c>
      <c r="D94" s="12">
        <v>0.66484900000000002</v>
      </c>
      <c r="E94" s="12">
        <v>22.625636915848101</v>
      </c>
      <c r="F94" s="12">
        <v>49</v>
      </c>
      <c r="G94" s="12">
        <v>214.328797808969</v>
      </c>
      <c r="H94" s="12" t="s">
        <v>0</v>
      </c>
      <c r="I94" s="12">
        <v>1.1517999999999999</v>
      </c>
      <c r="J94" s="12">
        <v>123.14765</v>
      </c>
      <c r="K94" s="12">
        <v>402.26091000000002</v>
      </c>
      <c r="L94" s="12" t="s">
        <v>1</v>
      </c>
      <c r="M94" s="12" t="s">
        <v>0</v>
      </c>
      <c r="N94" s="12">
        <v>14.756641348246401</v>
      </c>
      <c r="O94" s="12">
        <v>15</v>
      </c>
      <c r="P94" s="12">
        <v>1956.41</v>
      </c>
      <c r="Q94" s="12" t="s">
        <v>1</v>
      </c>
    </row>
    <row r="95" spans="1:17" x14ac:dyDescent="0.25">
      <c r="A95" s="12">
        <f t="shared" si="1"/>
        <v>94</v>
      </c>
      <c r="B95" s="12">
        <v>1.0549200000000001</v>
      </c>
      <c r="C95" s="12">
        <v>6.9471599999999994E-2</v>
      </c>
      <c r="D95" s="12">
        <v>0.660103</v>
      </c>
      <c r="E95" s="12">
        <v>37.763926022022503</v>
      </c>
      <c r="F95" s="12">
        <v>49</v>
      </c>
      <c r="G95" s="12">
        <v>200.962083080502</v>
      </c>
      <c r="H95" s="12" t="s">
        <v>0</v>
      </c>
      <c r="I95" s="12">
        <v>1.1439299999999999</v>
      </c>
      <c r="J95" s="12">
        <v>134.73580000000001</v>
      </c>
      <c r="K95" s="12">
        <v>399.46077000000002</v>
      </c>
      <c r="L95" s="12" t="s">
        <v>1</v>
      </c>
      <c r="M95" s="12" t="s">
        <v>0</v>
      </c>
      <c r="N95" s="12">
        <v>16.1452360428239</v>
      </c>
      <c r="O95" s="12">
        <v>15</v>
      </c>
      <c r="P95" s="12">
        <v>2125.7199999999998</v>
      </c>
      <c r="Q95" s="12" t="s">
        <v>1</v>
      </c>
    </row>
    <row r="96" spans="1:17" x14ac:dyDescent="0.25">
      <c r="A96" s="12">
        <f t="shared" si="1"/>
        <v>95</v>
      </c>
      <c r="B96" s="12">
        <v>0.98456299999999997</v>
      </c>
      <c r="C96" s="12">
        <v>0.10608099999999999</v>
      </c>
      <c r="D96" s="12">
        <v>0.68344800000000006</v>
      </c>
      <c r="E96" s="12">
        <v>69.533370732516602</v>
      </c>
      <c r="F96" s="12">
        <v>42.25</v>
      </c>
      <c r="G96" s="12">
        <v>138.74839085832201</v>
      </c>
      <c r="H96" s="12" t="s">
        <v>0</v>
      </c>
      <c r="I96" s="12">
        <v>1.08765</v>
      </c>
      <c r="J96" s="12">
        <v>153.04050000000001</v>
      </c>
      <c r="K96" s="12">
        <v>413.23432000000003</v>
      </c>
      <c r="L96" s="12" t="s">
        <v>1</v>
      </c>
      <c r="M96" s="12" t="s">
        <v>0</v>
      </c>
      <c r="N96" s="12">
        <v>18.338667203607301</v>
      </c>
      <c r="O96" s="12">
        <v>14.5</v>
      </c>
      <c r="P96" s="12">
        <v>3000.61</v>
      </c>
      <c r="Q96" s="12" t="s">
        <v>1</v>
      </c>
    </row>
    <row r="97" spans="1:17" x14ac:dyDescent="0.25">
      <c r="A97" s="12">
        <f t="shared" si="1"/>
        <v>96</v>
      </c>
      <c r="B97" s="12">
        <v>1.0609299999999999</v>
      </c>
      <c r="C97" s="12">
        <v>8.9717099999999994E-2</v>
      </c>
      <c r="D97" s="12">
        <v>0.63149</v>
      </c>
      <c r="E97" s="12">
        <v>54.143600826175302</v>
      </c>
      <c r="F97" s="12">
        <v>49</v>
      </c>
      <c r="G97" s="12">
        <v>180.12066711878401</v>
      </c>
      <c r="H97" s="12" t="s">
        <v>0</v>
      </c>
      <c r="I97" s="12">
        <v>1.1487400000000001</v>
      </c>
      <c r="J97" s="12">
        <v>144.85855000000001</v>
      </c>
      <c r="K97" s="12">
        <v>382.57909999999998</v>
      </c>
      <c r="L97" s="12" t="s">
        <v>1</v>
      </c>
      <c r="M97" s="12" t="s">
        <v>0</v>
      </c>
      <c r="N97" s="12">
        <v>17.358233539795702</v>
      </c>
      <c r="O97" s="12">
        <v>15</v>
      </c>
      <c r="P97" s="12">
        <v>2401.37</v>
      </c>
      <c r="Q97" s="12" t="s">
        <v>1</v>
      </c>
    </row>
    <row r="98" spans="1:17" x14ac:dyDescent="0.25">
      <c r="A98" s="12">
        <f t="shared" si="1"/>
        <v>97</v>
      </c>
      <c r="B98" s="12">
        <v>1.06978</v>
      </c>
      <c r="C98" s="12">
        <v>1.6995699999999999E-2</v>
      </c>
      <c r="D98" s="12">
        <v>0.73263800000000001</v>
      </c>
      <c r="E98" s="12">
        <v>9.0070372952903206</v>
      </c>
      <c r="F98" s="12">
        <v>56.25</v>
      </c>
      <c r="G98" s="12">
        <v>268.54140135560101</v>
      </c>
      <c r="H98" s="12" t="s">
        <v>0</v>
      </c>
      <c r="I98" s="12">
        <v>1.1558200000000001</v>
      </c>
      <c r="J98" s="12">
        <v>108.49785</v>
      </c>
      <c r="K98" s="12">
        <v>442.25641999999999</v>
      </c>
      <c r="L98" s="12" t="s">
        <v>1</v>
      </c>
      <c r="M98" s="12" t="s">
        <v>0</v>
      </c>
      <c r="N98" s="12">
        <v>13.001172653362399</v>
      </c>
      <c r="O98" s="12">
        <v>15.5</v>
      </c>
      <c r="P98" s="12">
        <v>1318.66</v>
      </c>
      <c r="Q98" s="12" t="s">
        <v>1</v>
      </c>
    </row>
    <row r="99" spans="1:17" x14ac:dyDescent="0.25">
      <c r="A99" s="12">
        <f t="shared" si="1"/>
        <v>98</v>
      </c>
      <c r="B99" s="12">
        <v>1.0986499999999999</v>
      </c>
      <c r="C99" s="12">
        <v>-2.94069E-2</v>
      </c>
      <c r="D99" s="12">
        <v>0.68140599999999996</v>
      </c>
      <c r="E99" s="12">
        <v>4.8835494136231603E-2</v>
      </c>
      <c r="F99" s="12">
        <v>72.25</v>
      </c>
      <c r="G99" s="12">
        <v>297.90570849615301</v>
      </c>
      <c r="H99" s="12" t="s">
        <v>0</v>
      </c>
      <c r="I99" s="12">
        <v>1.17892</v>
      </c>
      <c r="J99" s="12">
        <v>85.296549999999996</v>
      </c>
      <c r="K99" s="12">
        <v>412.02954</v>
      </c>
      <c r="L99" s="12" t="s">
        <v>1</v>
      </c>
      <c r="M99" s="12" t="s">
        <v>0</v>
      </c>
      <c r="N99" s="12">
        <v>10.220987542943501</v>
      </c>
      <c r="O99" s="12">
        <v>16.5</v>
      </c>
      <c r="P99" s="12">
        <v>1000.12</v>
      </c>
      <c r="Q99" s="12" t="s">
        <v>1</v>
      </c>
    </row>
    <row r="100" spans="1:17" x14ac:dyDescent="0.25">
      <c r="A100" s="12">
        <f t="shared" si="1"/>
        <v>99</v>
      </c>
      <c r="B100" s="12">
        <v>0.98204800000000003</v>
      </c>
      <c r="C100" s="12">
        <v>0.10588400000000001</v>
      </c>
      <c r="D100" s="12">
        <v>0.77180000000000004</v>
      </c>
      <c r="E100" s="12">
        <v>69.336665104154605</v>
      </c>
      <c r="F100" s="12">
        <v>42.25</v>
      </c>
      <c r="G100" s="12">
        <v>161.890415270407</v>
      </c>
      <c r="H100" s="12" t="s">
        <v>0</v>
      </c>
      <c r="I100" s="12">
        <v>1.0856380000000001</v>
      </c>
      <c r="J100" s="12">
        <v>152.94200000000001</v>
      </c>
      <c r="K100" s="12">
        <v>465.36200000000002</v>
      </c>
      <c r="L100" s="12" t="s">
        <v>1</v>
      </c>
      <c r="M100" s="12" t="s">
        <v>0</v>
      </c>
      <c r="N100" s="12">
        <v>18.3268640618275</v>
      </c>
      <c r="O100" s="12">
        <v>14.5</v>
      </c>
      <c r="P100" s="12">
        <v>2655.88</v>
      </c>
      <c r="Q100" s="12" t="s">
        <v>1</v>
      </c>
    </row>
    <row r="101" spans="1:17" x14ac:dyDescent="0.25">
      <c r="A101" s="12">
        <f t="shared" si="1"/>
        <v>100</v>
      </c>
      <c r="B101" s="12">
        <v>0.96742099999999998</v>
      </c>
      <c r="C101" s="12">
        <v>0.124949</v>
      </c>
      <c r="D101" s="12">
        <v>0.77474799999999999</v>
      </c>
      <c r="E101" s="12">
        <v>89.664471813040194</v>
      </c>
      <c r="F101" s="12">
        <v>42.25</v>
      </c>
      <c r="G101" s="12">
        <v>150.200805825483</v>
      </c>
      <c r="H101" s="12" t="s">
        <v>0</v>
      </c>
      <c r="I101" s="12">
        <v>1.073936</v>
      </c>
      <c r="J101" s="12">
        <v>162.47450000000001</v>
      </c>
      <c r="K101" s="12">
        <v>467.10131999999999</v>
      </c>
      <c r="L101" s="12" t="s">
        <v>1</v>
      </c>
      <c r="M101" s="12" t="s">
        <v>0</v>
      </c>
      <c r="N101" s="12">
        <v>19.469132579758298</v>
      </c>
      <c r="O101" s="12">
        <v>14.5</v>
      </c>
      <c r="P101" s="12">
        <v>2826.69</v>
      </c>
      <c r="Q101" s="12" t="s">
        <v>1</v>
      </c>
    </row>
    <row r="102" spans="1:17" x14ac:dyDescent="0.25">
      <c r="A102" s="12">
        <f t="shared" si="1"/>
        <v>101</v>
      </c>
      <c r="B102" s="12">
        <v>0.98600699999999997</v>
      </c>
      <c r="C102" s="12">
        <v>0.106478</v>
      </c>
      <c r="D102" s="12">
        <v>0.72393399999999997</v>
      </c>
      <c r="E102" s="12">
        <v>69.930624031343598</v>
      </c>
      <c r="F102" s="12">
        <v>42.25</v>
      </c>
      <c r="G102" s="12">
        <v>149.90614348958499</v>
      </c>
      <c r="H102" s="12" t="s">
        <v>0</v>
      </c>
      <c r="I102" s="12">
        <v>1.088805</v>
      </c>
      <c r="J102" s="12">
        <v>153.239</v>
      </c>
      <c r="K102" s="12">
        <v>437.12106</v>
      </c>
      <c r="L102" s="12" t="s">
        <v>1</v>
      </c>
      <c r="M102" s="12" t="s">
        <v>0</v>
      </c>
      <c r="N102" s="12">
        <v>18.362453230442799</v>
      </c>
      <c r="O102" s="12">
        <v>14.5</v>
      </c>
      <c r="P102" s="12">
        <v>2831.08</v>
      </c>
      <c r="Q102" s="12" t="s">
        <v>1</v>
      </c>
    </row>
    <row r="103" spans="1:17" x14ac:dyDescent="0.25">
      <c r="A103" s="12">
        <f t="shared" si="1"/>
        <v>102</v>
      </c>
      <c r="B103" s="12">
        <v>0.97638800000000003</v>
      </c>
      <c r="C103" s="12">
        <v>9.5809699999999998E-2</v>
      </c>
      <c r="D103" s="12">
        <v>0.71316999999999997</v>
      </c>
      <c r="E103" s="12">
        <v>59.648871183200598</v>
      </c>
      <c r="F103" s="12">
        <v>42.25</v>
      </c>
      <c r="G103" s="12">
        <v>154.277497707637</v>
      </c>
      <c r="H103" s="12" t="s">
        <v>0</v>
      </c>
      <c r="I103" s="12">
        <v>1.08111</v>
      </c>
      <c r="J103" s="12">
        <v>147.90485000000001</v>
      </c>
      <c r="K103" s="12">
        <v>430.77030000000002</v>
      </c>
      <c r="L103" s="12" t="s">
        <v>1</v>
      </c>
      <c r="M103" s="12" t="s">
        <v>0</v>
      </c>
      <c r="N103" s="12">
        <v>17.723268167246299</v>
      </c>
      <c r="O103" s="12">
        <v>14.5</v>
      </c>
      <c r="P103" s="12">
        <v>2766.39</v>
      </c>
      <c r="Q103" s="12" t="s">
        <v>1</v>
      </c>
    </row>
    <row r="104" spans="1:17" x14ac:dyDescent="0.25">
      <c r="A104" s="12">
        <f t="shared" si="1"/>
        <v>103</v>
      </c>
      <c r="B104" s="12">
        <v>1.08073</v>
      </c>
      <c r="C104" s="12">
        <v>0.26825500000000002</v>
      </c>
      <c r="D104" s="12">
        <v>0.94411800000000001</v>
      </c>
      <c r="E104" s="12">
        <v>325.99130177834502</v>
      </c>
      <c r="F104" s="12">
        <v>36</v>
      </c>
      <c r="G104" s="12">
        <v>123.646479030962</v>
      </c>
      <c r="H104" s="12" t="s">
        <v>0</v>
      </c>
      <c r="I104" s="12">
        <v>1.1645799999999999</v>
      </c>
      <c r="J104" s="12">
        <v>234.1275</v>
      </c>
      <c r="K104" s="12">
        <v>567.02962000000002</v>
      </c>
      <c r="L104" s="12" t="s">
        <v>1</v>
      </c>
      <c r="M104" s="12" t="s">
        <v>0</v>
      </c>
      <c r="N104" s="12">
        <v>28.055229208690299</v>
      </c>
      <c r="O104" s="12">
        <v>14</v>
      </c>
      <c r="P104" s="12">
        <v>3241.33</v>
      </c>
      <c r="Q104" s="12" t="s">
        <v>1</v>
      </c>
    </row>
    <row r="105" spans="1:17" x14ac:dyDescent="0.25">
      <c r="A105" s="12">
        <f t="shared" si="1"/>
        <v>104</v>
      </c>
      <c r="B105" s="12">
        <v>1.10823</v>
      </c>
      <c r="C105" s="12">
        <v>0.229156</v>
      </c>
      <c r="D105" s="12">
        <v>0.88592000000000004</v>
      </c>
      <c r="E105" s="12">
        <v>246.88690162027001</v>
      </c>
      <c r="F105" s="12">
        <v>36</v>
      </c>
      <c r="G105" s="12">
        <v>127.555673701632</v>
      </c>
      <c r="H105" s="12" t="s">
        <v>0</v>
      </c>
      <c r="I105" s="12">
        <v>1.18658</v>
      </c>
      <c r="J105" s="12">
        <v>214.578</v>
      </c>
      <c r="K105" s="12">
        <v>532.69280000000003</v>
      </c>
      <c r="L105" s="12" t="s">
        <v>1</v>
      </c>
      <c r="M105" s="12" t="s">
        <v>0</v>
      </c>
      <c r="N105" s="12">
        <v>25.7126350947341</v>
      </c>
      <c r="O105" s="12">
        <v>14</v>
      </c>
      <c r="P105" s="12">
        <v>3177.67</v>
      </c>
      <c r="Q105" s="12" t="s">
        <v>1</v>
      </c>
    </row>
    <row r="106" spans="1:17" x14ac:dyDescent="0.25">
      <c r="A106" s="12">
        <f t="shared" si="1"/>
        <v>105</v>
      </c>
      <c r="B106" s="12">
        <v>1.0549200000000001</v>
      </c>
      <c r="C106" s="12">
        <v>0.24521899999999999</v>
      </c>
      <c r="D106" s="12">
        <v>0.95039399999999996</v>
      </c>
      <c r="E106" s="12">
        <v>278.056975942755</v>
      </c>
      <c r="F106" s="12">
        <v>36</v>
      </c>
      <c r="G106" s="12">
        <v>134.61784731169001</v>
      </c>
      <c r="H106" s="12" t="s">
        <v>0</v>
      </c>
      <c r="I106" s="12">
        <v>1.1439299999999999</v>
      </c>
      <c r="J106" s="12">
        <v>222.6095</v>
      </c>
      <c r="K106" s="12">
        <v>570.73245999999995</v>
      </c>
      <c r="L106" s="12" t="s">
        <v>1</v>
      </c>
      <c r="M106" s="12" t="s">
        <v>0</v>
      </c>
      <c r="N106" s="12">
        <v>26.6750405079794</v>
      </c>
      <c r="O106" s="12">
        <v>14</v>
      </c>
      <c r="P106" s="12">
        <v>3065.09</v>
      </c>
      <c r="Q106" s="12" t="s">
        <v>1</v>
      </c>
    </row>
    <row r="107" spans="1:17" x14ac:dyDescent="0.25">
      <c r="A107" s="12">
        <f t="shared" si="1"/>
        <v>106</v>
      </c>
      <c r="B107" s="12">
        <v>0.99831599999999998</v>
      </c>
      <c r="C107" s="12">
        <v>0.203125</v>
      </c>
      <c r="D107" s="12">
        <v>0.96097999999999995</v>
      </c>
      <c r="E107" s="12">
        <v>200.307485152054</v>
      </c>
      <c r="F107" s="12">
        <v>42.25</v>
      </c>
      <c r="G107" s="12">
        <v>149.47976546143701</v>
      </c>
      <c r="H107" s="12" t="s">
        <v>0</v>
      </c>
      <c r="I107" s="12">
        <v>1.098652</v>
      </c>
      <c r="J107" s="12">
        <v>201.5625</v>
      </c>
      <c r="K107" s="12">
        <v>576.97820000000002</v>
      </c>
      <c r="L107" s="12" t="s">
        <v>1</v>
      </c>
      <c r="M107" s="12" t="s">
        <v>0</v>
      </c>
      <c r="N107" s="12">
        <v>24.153002690314601</v>
      </c>
      <c r="O107" s="12">
        <v>14.5</v>
      </c>
      <c r="P107" s="12">
        <v>2837.44</v>
      </c>
      <c r="Q107" s="12" t="s">
        <v>1</v>
      </c>
    </row>
    <row r="108" spans="1:17" x14ac:dyDescent="0.25">
      <c r="A108" s="12">
        <f t="shared" si="1"/>
        <v>107</v>
      </c>
      <c r="B108" s="12">
        <v>1.0668200000000001</v>
      </c>
      <c r="C108" s="12">
        <v>0.2092</v>
      </c>
      <c r="D108" s="12">
        <v>1.0425800000000001</v>
      </c>
      <c r="E108" s="12">
        <v>210.74279030883699</v>
      </c>
      <c r="F108" s="12">
        <v>36</v>
      </c>
      <c r="G108" s="12">
        <v>164.37417715969201</v>
      </c>
      <c r="H108" s="12" t="s">
        <v>0</v>
      </c>
      <c r="I108" s="12">
        <v>1.1534500000000001</v>
      </c>
      <c r="J108" s="12">
        <v>204.6</v>
      </c>
      <c r="K108" s="12">
        <v>625.12220000000002</v>
      </c>
      <c r="L108" s="12" t="s">
        <v>1</v>
      </c>
      <c r="M108" s="12" t="s">
        <v>0</v>
      </c>
      <c r="N108" s="12">
        <v>24.516982823880301</v>
      </c>
      <c r="O108" s="12">
        <v>14</v>
      </c>
      <c r="P108" s="12">
        <v>2620.39</v>
      </c>
      <c r="Q108" s="12" t="s">
        <v>1</v>
      </c>
    </row>
    <row r="109" spans="1:17" x14ac:dyDescent="0.25">
      <c r="A109" s="12">
        <f t="shared" si="1"/>
        <v>108</v>
      </c>
      <c r="B109" s="12">
        <v>1.00691</v>
      </c>
      <c r="C109" s="12">
        <v>0.27416699999999999</v>
      </c>
      <c r="D109" s="12">
        <v>1.00878</v>
      </c>
      <c r="E109" s="12">
        <v>338.90760228217601</v>
      </c>
      <c r="F109" s="12">
        <v>36</v>
      </c>
      <c r="G109" s="12">
        <v>132.944690711953</v>
      </c>
      <c r="H109" s="12" t="s">
        <v>0</v>
      </c>
      <c r="I109" s="12">
        <v>1.1055200000000001</v>
      </c>
      <c r="J109" s="12">
        <v>237.08349999999999</v>
      </c>
      <c r="K109" s="12">
        <v>605.18020000000001</v>
      </c>
      <c r="L109" s="12" t="s">
        <v>1</v>
      </c>
      <c r="M109" s="12" t="s">
        <v>0</v>
      </c>
      <c r="N109" s="12">
        <v>28.409443290935599</v>
      </c>
      <c r="O109" s="12">
        <v>14</v>
      </c>
      <c r="P109" s="12">
        <v>3091.49</v>
      </c>
      <c r="Q109" s="12" t="s">
        <v>1</v>
      </c>
    </row>
    <row r="110" spans="1:17" x14ac:dyDescent="0.25">
      <c r="A110" s="12">
        <f t="shared" si="1"/>
        <v>109</v>
      </c>
      <c r="B110" s="12">
        <v>0.76821899999999999</v>
      </c>
      <c r="C110" s="12">
        <v>0.19078899999999999</v>
      </c>
      <c r="D110" s="12">
        <v>0.57199800000000001</v>
      </c>
      <c r="E110" s="12">
        <v>179.932668678043</v>
      </c>
      <c r="F110" s="12">
        <v>56.25</v>
      </c>
      <c r="G110" s="12">
        <v>62.964007602927303</v>
      </c>
      <c r="H110" s="12" t="s">
        <v>0</v>
      </c>
      <c r="I110" s="12">
        <v>0.91457500000000003</v>
      </c>
      <c r="J110" s="12">
        <v>195.39449999999999</v>
      </c>
      <c r="K110" s="12">
        <v>347.47881999999998</v>
      </c>
      <c r="L110" s="12" t="s">
        <v>1</v>
      </c>
      <c r="M110" s="12" t="s">
        <v>0</v>
      </c>
      <c r="N110" s="12">
        <v>23.413898340081499</v>
      </c>
      <c r="O110" s="12">
        <v>15.5</v>
      </c>
      <c r="P110" s="12">
        <v>4403.7299999999996</v>
      </c>
      <c r="Q110" s="12" t="s">
        <v>1</v>
      </c>
    </row>
    <row r="111" spans="1:17" x14ac:dyDescent="0.25">
      <c r="A111" s="12">
        <f t="shared" si="1"/>
        <v>110</v>
      </c>
      <c r="B111" s="12">
        <v>0.71031999999999995</v>
      </c>
      <c r="C111" s="12">
        <v>0.209617</v>
      </c>
      <c r="D111" s="12">
        <v>0.57149499999999998</v>
      </c>
      <c r="E111" s="12">
        <v>211.46880827819501</v>
      </c>
      <c r="F111" s="12">
        <v>56.25</v>
      </c>
      <c r="G111" s="12">
        <v>21.744207771814501</v>
      </c>
      <c r="H111" s="12" t="s">
        <v>0</v>
      </c>
      <c r="I111" s="12">
        <v>0.86824999999999997</v>
      </c>
      <c r="J111" s="12">
        <v>204.80850000000001</v>
      </c>
      <c r="K111" s="12">
        <v>347.18205</v>
      </c>
      <c r="L111" s="12" t="s">
        <v>1</v>
      </c>
      <c r="M111" s="12" t="s">
        <v>0</v>
      </c>
      <c r="N111" s="12">
        <v>24.541967139221398</v>
      </c>
      <c r="O111" s="12">
        <v>15.5</v>
      </c>
      <c r="P111" s="12">
        <v>5597.98</v>
      </c>
      <c r="Q111" s="12" t="s">
        <v>1</v>
      </c>
    </row>
    <row r="112" spans="1:17" x14ac:dyDescent="0.25">
      <c r="A112" s="12">
        <f t="shared" si="1"/>
        <v>111</v>
      </c>
      <c r="B112" s="12">
        <v>0.88334699999999999</v>
      </c>
      <c r="C112" s="12">
        <v>0.42060199999999998</v>
      </c>
      <c r="D112" s="12">
        <v>0.58244200000000002</v>
      </c>
      <c r="E112" s="12">
        <v>738.91614990388098</v>
      </c>
      <c r="F112" s="12">
        <v>36</v>
      </c>
      <c r="G112" s="12">
        <v>6.4244888159129196</v>
      </c>
      <c r="H112" s="12" t="s">
        <v>0</v>
      </c>
      <c r="I112" s="12">
        <v>1.006677</v>
      </c>
      <c r="J112" s="12">
        <v>310.30099999999999</v>
      </c>
      <c r="K112" s="12">
        <v>353.64078000000001</v>
      </c>
      <c r="L112" s="12" t="s">
        <v>1</v>
      </c>
      <c r="M112" s="12" t="s">
        <v>0</v>
      </c>
      <c r="N112" s="12">
        <v>37.1830121565635</v>
      </c>
      <c r="O112" s="12">
        <v>14</v>
      </c>
      <c r="P112" s="12">
        <v>8225.15</v>
      </c>
      <c r="Q112" s="12" t="s">
        <v>1</v>
      </c>
    </row>
    <row r="113" spans="1:17" x14ac:dyDescent="0.25">
      <c r="A113" s="12">
        <f t="shared" si="1"/>
        <v>112</v>
      </c>
      <c r="B113" s="12">
        <v>0.90854999999999997</v>
      </c>
      <c r="C113" s="12">
        <v>0.30902400000000002</v>
      </c>
      <c r="D113" s="12">
        <v>0.57938299999999998</v>
      </c>
      <c r="E113" s="12">
        <v>420.16310141996598</v>
      </c>
      <c r="F113" s="12">
        <v>36</v>
      </c>
      <c r="G113" s="12">
        <v>0.99294399774816999</v>
      </c>
      <c r="H113" s="12" t="s">
        <v>0</v>
      </c>
      <c r="I113" s="12">
        <v>1.02684</v>
      </c>
      <c r="J113" s="12">
        <v>254.512</v>
      </c>
      <c r="K113" s="12">
        <v>351.83596999999997</v>
      </c>
      <c r="L113" s="12" t="s">
        <v>1</v>
      </c>
      <c r="M113" s="12" t="s">
        <v>0</v>
      </c>
      <c r="N113" s="12">
        <v>30.497880412861299</v>
      </c>
      <c r="O113" s="12">
        <v>14</v>
      </c>
      <c r="P113" s="12">
        <v>6936.29</v>
      </c>
      <c r="Q113" s="12" t="s">
        <v>1</v>
      </c>
    </row>
    <row r="114" spans="1:17" x14ac:dyDescent="0.25">
      <c r="A114" s="12">
        <f t="shared" si="1"/>
        <v>113</v>
      </c>
      <c r="B114" s="12">
        <v>0.97564399999999996</v>
      </c>
      <c r="C114" s="12">
        <v>0.30814999999999998</v>
      </c>
      <c r="D114" s="12">
        <v>0.60311199999999998</v>
      </c>
      <c r="E114" s="12">
        <v>418.01909200476098</v>
      </c>
      <c r="F114" s="12">
        <v>30.25</v>
      </c>
      <c r="G114" s="12">
        <v>3.0168358859072901</v>
      </c>
      <c r="H114" s="12" t="s">
        <v>0</v>
      </c>
      <c r="I114" s="12">
        <v>1.0805149999999999</v>
      </c>
      <c r="J114" s="12">
        <v>254.07499999999999</v>
      </c>
      <c r="K114" s="12">
        <v>365.83607999999998</v>
      </c>
      <c r="L114" s="12" t="s">
        <v>1</v>
      </c>
      <c r="M114" s="12" t="s">
        <v>0</v>
      </c>
      <c r="N114" s="12">
        <v>30.4455152051681</v>
      </c>
      <c r="O114" s="12">
        <v>13.5</v>
      </c>
      <c r="P114" s="12">
        <v>6666.03</v>
      </c>
      <c r="Q114" s="12" t="s">
        <v>1</v>
      </c>
    </row>
    <row r="115" spans="1:17" x14ac:dyDescent="0.25">
      <c r="A115" s="12">
        <f t="shared" si="1"/>
        <v>114</v>
      </c>
      <c r="B115" s="12">
        <v>0.97198700000000005</v>
      </c>
      <c r="C115" s="12">
        <v>0.36793999999999999</v>
      </c>
      <c r="D115" s="12">
        <v>0.66295199999999999</v>
      </c>
      <c r="E115" s="12">
        <v>577.33511001007696</v>
      </c>
      <c r="F115" s="12">
        <v>30.25</v>
      </c>
      <c r="G115" s="12">
        <v>1.83918183524113</v>
      </c>
      <c r="H115" s="12" t="s">
        <v>0</v>
      </c>
      <c r="I115" s="12">
        <v>1.0775889999999999</v>
      </c>
      <c r="J115" s="12">
        <v>283.97000000000003</v>
      </c>
      <c r="K115" s="12">
        <v>401.14168000000001</v>
      </c>
      <c r="L115" s="12" t="s">
        <v>1</v>
      </c>
      <c r="M115" s="12" t="s">
        <v>0</v>
      </c>
      <c r="N115" s="12">
        <v>34.027798692557703</v>
      </c>
      <c r="O115" s="12">
        <v>13.5</v>
      </c>
      <c r="P115" s="12">
        <v>6805</v>
      </c>
      <c r="Q115" s="12" t="s">
        <v>1</v>
      </c>
    </row>
    <row r="116" spans="1:17" x14ac:dyDescent="0.25">
      <c r="A116" s="12">
        <f t="shared" si="1"/>
        <v>115</v>
      </c>
      <c r="B116" s="12">
        <v>0.91632800000000003</v>
      </c>
      <c r="C116" s="12">
        <v>0.31020199999999998</v>
      </c>
      <c r="D116" s="12">
        <v>0.56431500000000001</v>
      </c>
      <c r="E116" s="12">
        <v>423.06153055703902</v>
      </c>
      <c r="F116" s="12">
        <v>42.25</v>
      </c>
      <c r="G116" s="12">
        <v>25.760491668230401</v>
      </c>
      <c r="H116" s="12" t="s">
        <v>0</v>
      </c>
      <c r="I116" s="12">
        <v>1.0330619999999999</v>
      </c>
      <c r="J116" s="12">
        <v>255.101</v>
      </c>
      <c r="K116" s="12">
        <v>342.94585000000001</v>
      </c>
      <c r="L116" s="12" t="s">
        <v>1</v>
      </c>
      <c r="M116" s="12" t="s">
        <v>0</v>
      </c>
      <c r="N116" s="12">
        <v>30.568459605839202</v>
      </c>
      <c r="O116" s="12">
        <v>14.5</v>
      </c>
      <c r="P116" s="12">
        <v>5447.45</v>
      </c>
      <c r="Q116" s="12" t="s">
        <v>1</v>
      </c>
    </row>
    <row r="117" spans="1:17" x14ac:dyDescent="0.25">
      <c r="A117" s="12">
        <f t="shared" si="1"/>
        <v>116</v>
      </c>
      <c r="B117" s="12">
        <v>0.93825099999999995</v>
      </c>
      <c r="C117" s="12">
        <v>0.319573</v>
      </c>
      <c r="D117" s="12">
        <v>0.56062900000000004</v>
      </c>
      <c r="E117" s="12">
        <v>446.47342138003802</v>
      </c>
      <c r="F117" s="12">
        <v>42.25</v>
      </c>
      <c r="G117" s="12">
        <v>22.6988286012385</v>
      </c>
      <c r="H117" s="12" t="s">
        <v>0</v>
      </c>
      <c r="I117" s="12">
        <v>1.0506</v>
      </c>
      <c r="J117" s="12">
        <v>259.78649999999999</v>
      </c>
      <c r="K117" s="12">
        <v>340.77111000000002</v>
      </c>
      <c r="L117" s="12" t="s">
        <v>1</v>
      </c>
      <c r="M117" s="12" t="s">
        <v>0</v>
      </c>
      <c r="N117" s="12">
        <v>31.129917685122098</v>
      </c>
      <c r="O117" s="12">
        <v>14.5</v>
      </c>
      <c r="P117" s="12">
        <v>5561.02</v>
      </c>
      <c r="Q117" s="12" t="s">
        <v>1</v>
      </c>
    </row>
    <row r="118" spans="1:17" x14ac:dyDescent="0.25">
      <c r="A118" s="12">
        <f t="shared" si="1"/>
        <v>117</v>
      </c>
      <c r="B118" s="12">
        <v>1.0222100000000001</v>
      </c>
      <c r="C118" s="12">
        <v>0.70685500000000001</v>
      </c>
      <c r="D118" s="12">
        <v>0.79619700000000004</v>
      </c>
      <c r="E118" s="12">
        <v>1965.47661305725</v>
      </c>
      <c r="F118" s="12">
        <v>25</v>
      </c>
      <c r="G118" s="12">
        <v>20.1807715976731</v>
      </c>
      <c r="H118" s="12" t="s">
        <v>0</v>
      </c>
      <c r="I118" s="12">
        <v>1.1177600000000001</v>
      </c>
      <c r="J118" s="12">
        <v>453.42750000000001</v>
      </c>
      <c r="K118" s="12">
        <v>479.75623000000002</v>
      </c>
      <c r="L118" s="12" t="s">
        <v>1</v>
      </c>
      <c r="M118" s="12" t="s">
        <v>0</v>
      </c>
      <c r="N118" s="12">
        <v>54.333696135752703</v>
      </c>
      <c r="O118" s="12">
        <v>13</v>
      </c>
      <c r="P118" s="12">
        <v>8939.69</v>
      </c>
      <c r="Q118" s="12" t="s">
        <v>1</v>
      </c>
    </row>
    <row r="119" spans="1:17" x14ac:dyDescent="0.25">
      <c r="A119" s="12">
        <f t="shared" si="1"/>
        <v>118</v>
      </c>
      <c r="B119" s="12">
        <v>1.02942</v>
      </c>
      <c r="C119" s="12">
        <v>0.70388300000000004</v>
      </c>
      <c r="D119" s="12">
        <v>0.81389299999999998</v>
      </c>
      <c r="E119" s="12">
        <v>1949.71970165792</v>
      </c>
      <c r="F119" s="12">
        <v>25</v>
      </c>
      <c r="G119" s="12">
        <v>15.440378139238099</v>
      </c>
      <c r="H119" s="12" t="s">
        <v>0</v>
      </c>
      <c r="I119" s="12">
        <v>1.1235299999999999</v>
      </c>
      <c r="J119" s="12">
        <v>451.94150000000002</v>
      </c>
      <c r="K119" s="12">
        <v>490.19686999999999</v>
      </c>
      <c r="L119" s="12" t="s">
        <v>1</v>
      </c>
      <c r="M119" s="12" t="s">
        <v>0</v>
      </c>
      <c r="N119" s="12">
        <v>54.155630463825602</v>
      </c>
      <c r="O119" s="12">
        <v>13</v>
      </c>
      <c r="P119" s="12">
        <v>8734.24</v>
      </c>
      <c r="Q119" s="12" t="s">
        <v>1</v>
      </c>
    </row>
    <row r="120" spans="1:17" x14ac:dyDescent="0.25">
      <c r="A120" s="12">
        <f t="shared" si="1"/>
        <v>119</v>
      </c>
      <c r="B120" s="12">
        <v>0.50276699999999996</v>
      </c>
      <c r="C120" s="12">
        <v>-4.8499900000000002E-3</v>
      </c>
      <c r="D120" s="12">
        <v>0.28418900000000002</v>
      </c>
      <c r="E120" s="12">
        <v>2.8638816328358199</v>
      </c>
      <c r="F120" s="12">
        <v>132.25</v>
      </c>
      <c r="G120" s="12">
        <v>89.964445412647706</v>
      </c>
      <c r="H120" s="12" t="s">
        <v>0</v>
      </c>
      <c r="I120" s="12">
        <v>0.70221299999999998</v>
      </c>
      <c r="J120" s="12">
        <v>97.575005000000004</v>
      </c>
      <c r="K120" s="12">
        <v>177.67151000000001</v>
      </c>
      <c r="L120" s="12" t="s">
        <v>1</v>
      </c>
      <c r="M120" s="12" t="s">
        <v>0</v>
      </c>
      <c r="N120" s="12">
        <v>11.6923006922044</v>
      </c>
      <c r="O120" s="12">
        <v>19.5</v>
      </c>
      <c r="P120" s="12">
        <v>3837.99</v>
      </c>
      <c r="Q120" s="12" t="s">
        <v>1</v>
      </c>
    </row>
    <row r="121" spans="1:17" x14ac:dyDescent="0.25">
      <c r="A121" s="12">
        <f t="shared" si="1"/>
        <v>120</v>
      </c>
      <c r="B121" s="12">
        <v>0.50005500000000003</v>
      </c>
      <c r="C121" s="12">
        <v>8.3057900000000004E-2</v>
      </c>
      <c r="D121" s="12">
        <v>0.22519400000000001</v>
      </c>
      <c r="E121" s="12">
        <v>48.431180034240001</v>
      </c>
      <c r="F121" s="12">
        <v>81</v>
      </c>
      <c r="G121" s="12">
        <v>6.1014413818727702</v>
      </c>
      <c r="H121" s="12" t="s">
        <v>0</v>
      </c>
      <c r="I121" s="12">
        <v>0.700044</v>
      </c>
      <c r="J121" s="12">
        <v>141.52895000000001</v>
      </c>
      <c r="K121" s="12">
        <v>142.86446000000001</v>
      </c>
      <c r="L121" s="12" t="s">
        <v>1</v>
      </c>
      <c r="M121" s="12" t="s">
        <v>0</v>
      </c>
      <c r="N121" s="12">
        <v>16.959251398982499</v>
      </c>
      <c r="O121" s="12">
        <v>17</v>
      </c>
      <c r="P121" s="12">
        <v>8201.59</v>
      </c>
      <c r="Q121" s="12" t="s">
        <v>1</v>
      </c>
    </row>
    <row r="122" spans="1:17" x14ac:dyDescent="0.25">
      <c r="A122" s="12">
        <f t="shared" si="1"/>
        <v>121</v>
      </c>
      <c r="B122" s="12">
        <v>0.493342</v>
      </c>
      <c r="C122" s="12">
        <v>3.2826800000000003E-2</v>
      </c>
      <c r="D122" s="12">
        <v>0.227189</v>
      </c>
      <c r="E122" s="12">
        <v>15.600002999859001</v>
      </c>
      <c r="F122" s="12">
        <v>110.25</v>
      </c>
      <c r="G122" s="12">
        <v>18.116801023831801</v>
      </c>
      <c r="H122" s="12" t="s">
        <v>0</v>
      </c>
      <c r="I122" s="12">
        <v>0.69467299999999998</v>
      </c>
      <c r="J122" s="12">
        <v>116.4134</v>
      </c>
      <c r="K122" s="12">
        <v>144.04150999999999</v>
      </c>
      <c r="L122" s="12" t="s">
        <v>1</v>
      </c>
      <c r="M122" s="12" t="s">
        <v>0</v>
      </c>
      <c r="N122" s="12">
        <v>13.9496839113856</v>
      </c>
      <c r="O122" s="12">
        <v>18.5</v>
      </c>
      <c r="P122" s="12">
        <v>5746.42</v>
      </c>
      <c r="Q122" s="12" t="s">
        <v>1</v>
      </c>
    </row>
    <row r="123" spans="1:17" x14ac:dyDescent="0.25">
      <c r="A123" s="12">
        <f t="shared" si="1"/>
        <v>122</v>
      </c>
      <c r="B123" s="12">
        <v>0.49687599999999998</v>
      </c>
      <c r="C123" s="12">
        <v>4.2717499999999999E-2</v>
      </c>
      <c r="D123" s="12">
        <v>0.222164</v>
      </c>
      <c r="E123" s="12">
        <v>20.632303214970801</v>
      </c>
      <c r="F123" s="12">
        <v>110.25</v>
      </c>
      <c r="G123" s="12">
        <v>11.8394440090073</v>
      </c>
      <c r="H123" s="12" t="s">
        <v>0</v>
      </c>
      <c r="I123" s="12">
        <v>0.69750000000000001</v>
      </c>
      <c r="J123" s="12">
        <v>121.35875</v>
      </c>
      <c r="K123" s="12">
        <v>141.07676000000001</v>
      </c>
      <c r="L123" s="12" t="s">
        <v>1</v>
      </c>
      <c r="M123" s="12" t="s">
        <v>0</v>
      </c>
      <c r="N123" s="12">
        <v>14.542279517485699</v>
      </c>
      <c r="O123" s="12">
        <v>18.5</v>
      </c>
      <c r="P123" s="12">
        <v>6044.09</v>
      </c>
      <c r="Q123" s="12" t="s">
        <v>1</v>
      </c>
    </row>
    <row r="124" spans="1:17" x14ac:dyDescent="0.25">
      <c r="A124" s="12">
        <f t="shared" si="1"/>
        <v>123</v>
      </c>
      <c r="B124" s="12">
        <v>0.495564</v>
      </c>
      <c r="C124" s="12">
        <v>7.3885000000000006E-2</v>
      </c>
      <c r="D124" s="12">
        <v>0.266594</v>
      </c>
      <c r="E124" s="12">
        <v>41.083771663386798</v>
      </c>
      <c r="F124" s="12">
        <v>90.25</v>
      </c>
      <c r="G124" s="12">
        <v>3.6092712696565901</v>
      </c>
      <c r="H124" s="12" t="s">
        <v>0</v>
      </c>
      <c r="I124" s="12">
        <v>0.69645100000000004</v>
      </c>
      <c r="J124" s="12">
        <v>136.9425</v>
      </c>
      <c r="K124" s="12">
        <v>167.29046</v>
      </c>
      <c r="L124" s="12" t="s">
        <v>1</v>
      </c>
      <c r="M124" s="12" t="s">
        <v>0</v>
      </c>
      <c r="N124" s="12">
        <v>16.409662367347099</v>
      </c>
      <c r="O124" s="12">
        <v>17.5</v>
      </c>
      <c r="P124" s="12">
        <v>6606.57</v>
      </c>
      <c r="Q124" s="12" t="s">
        <v>1</v>
      </c>
    </row>
    <row r="125" spans="1:17" x14ac:dyDescent="0.25">
      <c r="A125" s="12">
        <f t="shared" si="1"/>
        <v>124</v>
      </c>
      <c r="B125" s="12">
        <v>0.49435000000000001</v>
      </c>
      <c r="C125" s="12">
        <v>7.4457899999999994E-2</v>
      </c>
      <c r="D125" s="12">
        <v>0.26244600000000001</v>
      </c>
      <c r="E125" s="12">
        <v>41.524972858560901</v>
      </c>
      <c r="F125" s="12">
        <v>90.25</v>
      </c>
      <c r="G125" s="12">
        <v>2.6854678896603401</v>
      </c>
      <c r="H125" s="12" t="s">
        <v>0</v>
      </c>
      <c r="I125" s="12">
        <v>0.69547999999999999</v>
      </c>
      <c r="J125" s="12">
        <v>137.22895</v>
      </c>
      <c r="K125" s="12">
        <v>164.84314000000001</v>
      </c>
      <c r="L125" s="12" t="s">
        <v>1</v>
      </c>
      <c r="M125" s="12" t="s">
        <v>0</v>
      </c>
      <c r="N125" s="12">
        <v>16.4439873415891</v>
      </c>
      <c r="O125" s="12">
        <v>17.5</v>
      </c>
      <c r="P125" s="12">
        <v>6701.86</v>
      </c>
      <c r="Q125" s="12" t="s">
        <v>1</v>
      </c>
    </row>
    <row r="126" spans="1:17" x14ac:dyDescent="0.25">
      <c r="A126" s="12">
        <f t="shared" si="1"/>
        <v>125</v>
      </c>
      <c r="B126" s="12">
        <v>0.51898299999999997</v>
      </c>
      <c r="C126" s="12">
        <v>9.0543899999999997E-2</v>
      </c>
      <c r="D126" s="12">
        <v>0.25058599999999998</v>
      </c>
      <c r="E126" s="12">
        <v>54.875068027039397</v>
      </c>
      <c r="F126" s="12">
        <v>81</v>
      </c>
      <c r="G126" s="12">
        <v>1.0921681553762399</v>
      </c>
      <c r="H126" s="12" t="s">
        <v>0</v>
      </c>
      <c r="I126" s="12">
        <v>0.71518599999999999</v>
      </c>
      <c r="J126" s="12">
        <v>145.27195</v>
      </c>
      <c r="K126" s="12">
        <v>157.84574000000001</v>
      </c>
      <c r="L126" s="12" t="s">
        <v>1</v>
      </c>
      <c r="M126" s="12" t="s">
        <v>0</v>
      </c>
      <c r="N126" s="12">
        <v>17.407770786615799</v>
      </c>
      <c r="O126" s="12">
        <v>17</v>
      </c>
      <c r="P126" s="12">
        <v>7681.45</v>
      </c>
      <c r="Q126" s="12" t="s">
        <v>1</v>
      </c>
    </row>
    <row r="127" spans="1:17" x14ac:dyDescent="0.25">
      <c r="A127" s="12">
        <f t="shared" si="1"/>
        <v>126</v>
      </c>
      <c r="B127" s="12">
        <v>0.47298600000000002</v>
      </c>
      <c r="C127" s="12">
        <v>9.7755999999999996E-2</v>
      </c>
      <c r="D127" s="12">
        <v>0.29541000000000001</v>
      </c>
      <c r="E127" s="12">
        <v>61.463712348927899</v>
      </c>
      <c r="F127" s="12">
        <v>90.25</v>
      </c>
      <c r="G127" s="12">
        <v>5.7364843242634604</v>
      </c>
      <c r="H127" s="12" t="s">
        <v>0</v>
      </c>
      <c r="I127" s="12">
        <v>0.67838799999999999</v>
      </c>
      <c r="J127" s="12">
        <v>148.87799999999999</v>
      </c>
      <c r="K127" s="12">
        <v>184.2919</v>
      </c>
      <c r="L127" s="12" t="s">
        <v>1</v>
      </c>
      <c r="M127" s="12" t="s">
        <v>0</v>
      </c>
      <c r="N127" s="12">
        <v>17.839879613165401</v>
      </c>
      <c r="O127" s="12">
        <v>17.5</v>
      </c>
      <c r="P127" s="12">
        <v>6425.79</v>
      </c>
      <c r="Q127" s="12" t="s">
        <v>1</v>
      </c>
    </row>
    <row r="128" spans="1:17" x14ac:dyDescent="0.25">
      <c r="A128" s="12">
        <f t="shared" si="1"/>
        <v>127</v>
      </c>
      <c r="B128" s="12">
        <v>0.997668</v>
      </c>
      <c r="C128" s="12">
        <v>6.6826999999999998E-2</v>
      </c>
      <c r="D128" s="12">
        <v>0.69246600000000003</v>
      </c>
      <c r="E128" s="12">
        <v>35.841610845243103</v>
      </c>
      <c r="F128" s="12">
        <v>56.25</v>
      </c>
      <c r="G128" s="12">
        <v>203.92622473259499</v>
      </c>
      <c r="H128" s="12" t="s">
        <v>0</v>
      </c>
      <c r="I128" s="12">
        <v>1.0981339999999999</v>
      </c>
      <c r="J128" s="12">
        <v>133.4135</v>
      </c>
      <c r="K128" s="12">
        <v>418.55493999999999</v>
      </c>
      <c r="L128" s="12" t="s">
        <v>1</v>
      </c>
      <c r="M128" s="12" t="s">
        <v>0</v>
      </c>
      <c r="N128" s="12">
        <v>15.986786353732899</v>
      </c>
      <c r="O128" s="12">
        <v>15.5</v>
      </c>
      <c r="P128" s="12">
        <v>2087.6999999999998</v>
      </c>
      <c r="Q128" s="12" t="s">
        <v>1</v>
      </c>
    </row>
    <row r="129" spans="1:17" x14ac:dyDescent="0.25">
      <c r="A129" s="12">
        <f t="shared" si="1"/>
        <v>128</v>
      </c>
      <c r="B129" s="12">
        <v>0.95041900000000001</v>
      </c>
      <c r="C129" s="12">
        <v>4.9689299999999999E-2</v>
      </c>
      <c r="D129" s="12">
        <v>0.78644999999999998</v>
      </c>
      <c r="E129" s="12">
        <v>24.601509803881701</v>
      </c>
      <c r="F129" s="12">
        <v>56.25</v>
      </c>
      <c r="G129" s="12">
        <v>233.392170155</v>
      </c>
      <c r="H129" s="12" t="s">
        <v>0</v>
      </c>
      <c r="I129" s="12">
        <v>1.060335</v>
      </c>
      <c r="J129" s="12">
        <v>124.84465</v>
      </c>
      <c r="K129" s="12">
        <v>474.00549999999998</v>
      </c>
      <c r="L129" s="12" t="s">
        <v>1</v>
      </c>
      <c r="M129" s="12" t="s">
        <v>0</v>
      </c>
      <c r="N129" s="12">
        <v>14.959990907641</v>
      </c>
      <c r="O129" s="12">
        <v>15.5</v>
      </c>
      <c r="P129" s="12">
        <v>1723.83</v>
      </c>
      <c r="Q129" s="12" t="s">
        <v>1</v>
      </c>
    </row>
    <row r="130" spans="1:17" x14ac:dyDescent="0.25">
      <c r="A130" s="12">
        <f t="shared" si="1"/>
        <v>129</v>
      </c>
      <c r="B130" s="12">
        <v>1.0207200000000001</v>
      </c>
      <c r="C130" s="12">
        <v>4.2355999999999998E-2</v>
      </c>
      <c r="D130" s="12">
        <v>0.76987899999999998</v>
      </c>
      <c r="E130" s="12">
        <v>20.436009277800501</v>
      </c>
      <c r="F130" s="12">
        <v>56.25</v>
      </c>
      <c r="G130" s="12">
        <v>235.47112705948501</v>
      </c>
      <c r="H130" s="12" t="s">
        <v>0</v>
      </c>
      <c r="I130" s="12">
        <v>1.1165700000000001</v>
      </c>
      <c r="J130" s="12">
        <v>121.178</v>
      </c>
      <c r="K130" s="12">
        <v>464.22861</v>
      </c>
      <c r="L130" s="12" t="s">
        <v>1</v>
      </c>
      <c r="M130" s="12" t="s">
        <v>0</v>
      </c>
      <c r="N130" s="12">
        <v>14.5206204527476</v>
      </c>
      <c r="O130" s="12">
        <v>15.5</v>
      </c>
      <c r="P130" s="12">
        <v>1699.05</v>
      </c>
      <c r="Q130" s="12" t="s">
        <v>1</v>
      </c>
    </row>
    <row r="131" spans="1:17" x14ac:dyDescent="0.25">
      <c r="A131" s="12">
        <f t="shared" si="1"/>
        <v>130</v>
      </c>
      <c r="B131" s="12">
        <v>1.02735</v>
      </c>
      <c r="C131" s="12">
        <v>3.6995599999999997E-2</v>
      </c>
      <c r="D131" s="12">
        <v>0.77249400000000001</v>
      </c>
      <c r="E131" s="12">
        <v>17.635423703723799</v>
      </c>
      <c r="F131" s="12">
        <v>56.25</v>
      </c>
      <c r="G131" s="12">
        <v>238.83373721148399</v>
      </c>
      <c r="H131" s="12" t="s">
        <v>0</v>
      </c>
      <c r="I131" s="12">
        <v>1.12188</v>
      </c>
      <c r="J131" s="12">
        <v>118.4978</v>
      </c>
      <c r="K131" s="12">
        <v>465.77145999999999</v>
      </c>
      <c r="L131" s="12" t="s">
        <v>1</v>
      </c>
      <c r="M131" s="12" t="s">
        <v>0</v>
      </c>
      <c r="N131" s="12">
        <v>14.1994551674858</v>
      </c>
      <c r="O131" s="12">
        <v>15.5</v>
      </c>
      <c r="P131" s="12">
        <v>1659.2</v>
      </c>
      <c r="Q131" s="12" t="s">
        <v>1</v>
      </c>
    </row>
    <row r="132" spans="1:17" x14ac:dyDescent="0.25">
      <c r="A132" s="12">
        <f t="shared" ref="A132:A195" si="2">A131+1</f>
        <v>131</v>
      </c>
      <c r="B132" s="12">
        <v>0.96353299999999997</v>
      </c>
      <c r="C132" s="12">
        <v>1.3945900000000001E-2</v>
      </c>
      <c r="D132" s="12">
        <v>0.78463700000000003</v>
      </c>
      <c r="E132" s="12">
        <v>7.9436358208359996</v>
      </c>
      <c r="F132" s="12">
        <v>72.25</v>
      </c>
      <c r="G132" s="12">
        <v>271.31595320397798</v>
      </c>
      <c r="H132" s="12" t="s">
        <v>0</v>
      </c>
      <c r="I132" s="12">
        <v>1.0708260000000001</v>
      </c>
      <c r="J132" s="12">
        <v>106.97295</v>
      </c>
      <c r="K132" s="12">
        <v>472.93583000000001</v>
      </c>
      <c r="L132" s="12" t="s">
        <v>1</v>
      </c>
      <c r="M132" s="12" t="s">
        <v>0</v>
      </c>
      <c r="N132" s="12">
        <v>12.818445639148599</v>
      </c>
      <c r="O132" s="12">
        <v>16.5</v>
      </c>
      <c r="P132" s="12">
        <v>1287.8399999999999</v>
      </c>
      <c r="Q132" s="12" t="s">
        <v>1</v>
      </c>
    </row>
    <row r="133" spans="1:17" x14ac:dyDescent="0.25">
      <c r="A133" s="12">
        <f t="shared" si="2"/>
        <v>132</v>
      </c>
      <c r="B133" s="12">
        <v>0.97657300000000002</v>
      </c>
      <c r="C133" s="12">
        <v>4.36642E-2</v>
      </c>
      <c r="D133" s="12">
        <v>0.71816899999999995</v>
      </c>
      <c r="E133" s="12">
        <v>21.150805634842499</v>
      </c>
      <c r="F133" s="12">
        <v>56.25</v>
      </c>
      <c r="G133" s="12">
        <v>225.25897858885301</v>
      </c>
      <c r="H133" s="12" t="s">
        <v>0</v>
      </c>
      <c r="I133" s="12">
        <v>1.0812580000000001</v>
      </c>
      <c r="J133" s="12">
        <v>121.8321</v>
      </c>
      <c r="K133" s="12">
        <v>433.71971000000002</v>
      </c>
      <c r="L133" s="12" t="s">
        <v>1</v>
      </c>
      <c r="M133" s="12" t="s">
        <v>0</v>
      </c>
      <c r="N133" s="12">
        <v>14.599000503896701</v>
      </c>
      <c r="O133" s="12">
        <v>15.5</v>
      </c>
      <c r="P133" s="12">
        <v>1821.85</v>
      </c>
      <c r="Q133" s="12" t="s">
        <v>1</v>
      </c>
    </row>
    <row r="134" spans="1:17" x14ac:dyDescent="0.25">
      <c r="A134" s="12">
        <f t="shared" si="2"/>
        <v>133</v>
      </c>
      <c r="B134" s="12">
        <v>0.99561699999999997</v>
      </c>
      <c r="C134" s="12">
        <v>-2.6357700000000001E-2</v>
      </c>
      <c r="D134" s="12">
        <v>0.63822500000000004</v>
      </c>
      <c r="E134" s="12">
        <v>0.16295641896223301</v>
      </c>
      <c r="F134" s="12">
        <v>81</v>
      </c>
      <c r="G134" s="12">
        <v>288.87426025520699</v>
      </c>
      <c r="H134" s="12" t="s">
        <v>0</v>
      </c>
      <c r="I134" s="12">
        <v>1.0964929999999999</v>
      </c>
      <c r="J134" s="12">
        <v>86.821150000000003</v>
      </c>
      <c r="K134" s="12">
        <v>386.55275</v>
      </c>
      <c r="L134" s="12" t="s">
        <v>1</v>
      </c>
      <c r="M134" s="12" t="s">
        <v>0</v>
      </c>
      <c r="N134" s="12">
        <v>10.4036786085021</v>
      </c>
      <c r="O134" s="12">
        <v>17</v>
      </c>
      <c r="P134" s="12">
        <v>1096.3499999999999</v>
      </c>
      <c r="Q134" s="12" t="s">
        <v>1</v>
      </c>
    </row>
    <row r="135" spans="1:17" x14ac:dyDescent="0.25">
      <c r="A135" s="12">
        <f t="shared" si="2"/>
        <v>134</v>
      </c>
      <c r="B135" s="12">
        <v>0.99618300000000004</v>
      </c>
      <c r="C135" s="12">
        <v>-1.70014E-2</v>
      </c>
      <c r="D135" s="12">
        <v>0.70258299999999996</v>
      </c>
      <c r="E135" s="12">
        <v>0.92978952888242605</v>
      </c>
      <c r="F135" s="12">
        <v>81</v>
      </c>
      <c r="G135" s="12">
        <v>295.56580602814699</v>
      </c>
      <c r="H135" s="12" t="s">
        <v>0</v>
      </c>
      <c r="I135" s="12">
        <v>1.096946</v>
      </c>
      <c r="J135" s="12">
        <v>91.499300000000005</v>
      </c>
      <c r="K135" s="12">
        <v>424.52397000000002</v>
      </c>
      <c r="L135" s="12" t="s">
        <v>1</v>
      </c>
      <c r="M135" s="12" t="s">
        <v>0</v>
      </c>
      <c r="N135" s="12">
        <v>10.9642559457335</v>
      </c>
      <c r="O135" s="12">
        <v>17</v>
      </c>
      <c r="P135" s="12">
        <v>1024.9100000000001</v>
      </c>
      <c r="Q135" s="12" t="s">
        <v>1</v>
      </c>
    </row>
    <row r="136" spans="1:17" x14ac:dyDescent="0.25">
      <c r="A136" s="12">
        <f t="shared" si="2"/>
        <v>135</v>
      </c>
      <c r="B136" s="12">
        <v>0.94888399999999995</v>
      </c>
      <c r="C136" s="12">
        <v>-0.100103</v>
      </c>
      <c r="D136" s="12">
        <v>0.77232800000000001</v>
      </c>
      <c r="E136" s="12">
        <v>16.118046197155</v>
      </c>
      <c r="F136" s="12">
        <v>156.25</v>
      </c>
      <c r="G136" s="12">
        <v>351.54164414493499</v>
      </c>
      <c r="H136" s="12" t="s">
        <v>0</v>
      </c>
      <c r="I136" s="12">
        <v>1.059107</v>
      </c>
      <c r="J136" s="12">
        <v>49.948500000000003</v>
      </c>
      <c r="K136" s="12">
        <v>465.67352</v>
      </c>
      <c r="L136" s="12" t="s">
        <v>1</v>
      </c>
      <c r="M136" s="12" t="s">
        <v>0</v>
      </c>
      <c r="N136" s="12">
        <v>5.9852713420263299</v>
      </c>
      <c r="O136" s="12">
        <v>20.5</v>
      </c>
      <c r="P136" s="12">
        <v>456.45299999999997</v>
      </c>
      <c r="Q136" s="12" t="s">
        <v>1</v>
      </c>
    </row>
    <row r="137" spans="1:17" x14ac:dyDescent="0.25">
      <c r="A137" s="12">
        <f t="shared" si="2"/>
        <v>136</v>
      </c>
      <c r="B137" s="12">
        <v>0.933917</v>
      </c>
      <c r="C137" s="12">
        <v>-6.9835700000000001E-2</v>
      </c>
      <c r="D137" s="12">
        <v>0.84168399999999999</v>
      </c>
      <c r="E137" s="12">
        <v>4.8456370448715997</v>
      </c>
      <c r="F137" s="12">
        <v>132.25</v>
      </c>
      <c r="G137" s="12">
        <v>343.06488996176301</v>
      </c>
      <c r="H137" s="12" t="s">
        <v>0</v>
      </c>
      <c r="I137" s="12">
        <v>1.0471330000000001</v>
      </c>
      <c r="J137" s="12">
        <v>65.082149999999999</v>
      </c>
      <c r="K137" s="12">
        <v>506.59356000000002</v>
      </c>
      <c r="L137" s="12" t="s">
        <v>1</v>
      </c>
      <c r="M137" s="12" t="s">
        <v>0</v>
      </c>
      <c r="N137" s="12">
        <v>7.7987192262522198</v>
      </c>
      <c r="O137" s="12">
        <v>19.5</v>
      </c>
      <c r="P137" s="12">
        <v>539.46600000000001</v>
      </c>
      <c r="Q137" s="12" t="s">
        <v>1</v>
      </c>
    </row>
    <row r="138" spans="1:17" x14ac:dyDescent="0.25">
      <c r="A138" s="12">
        <f t="shared" si="2"/>
        <v>137</v>
      </c>
      <c r="B138" s="12">
        <v>0.90346599999999999</v>
      </c>
      <c r="C138" s="12">
        <v>4.5328399999999998E-2</v>
      </c>
      <c r="D138" s="12">
        <v>0.76707199999999998</v>
      </c>
      <c r="E138" s="12">
        <v>22.077876514048601</v>
      </c>
      <c r="F138" s="12">
        <v>64</v>
      </c>
      <c r="G138" s="12">
        <v>228.41808928429299</v>
      </c>
      <c r="H138" s="12" t="s">
        <v>0</v>
      </c>
      <c r="I138" s="12">
        <v>1.022772</v>
      </c>
      <c r="J138" s="12">
        <v>122.66419999999999</v>
      </c>
      <c r="K138" s="12">
        <v>462.57247999999998</v>
      </c>
      <c r="L138" s="12" t="s">
        <v>1</v>
      </c>
      <c r="M138" s="12" t="s">
        <v>0</v>
      </c>
      <c r="N138" s="12">
        <v>14.6987100904448</v>
      </c>
      <c r="O138" s="12">
        <v>16</v>
      </c>
      <c r="P138" s="12">
        <v>1783.57</v>
      </c>
      <c r="Q138" s="12" t="s">
        <v>1</v>
      </c>
    </row>
    <row r="139" spans="1:17" x14ac:dyDescent="0.25">
      <c r="A139" s="12">
        <f t="shared" si="2"/>
        <v>138</v>
      </c>
      <c r="B139" s="12">
        <v>0.94398400000000005</v>
      </c>
      <c r="C139" s="12">
        <v>7.4979799999999996E-3</v>
      </c>
      <c r="D139" s="12">
        <v>0.73306000000000004</v>
      </c>
      <c r="E139" s="12">
        <v>5.9152184838154902</v>
      </c>
      <c r="F139" s="12">
        <v>72.25</v>
      </c>
      <c r="G139" s="12">
        <v>266.35581386751699</v>
      </c>
      <c r="H139" s="12" t="s">
        <v>0</v>
      </c>
      <c r="I139" s="12">
        <v>1.0551870000000001</v>
      </c>
      <c r="J139" s="12">
        <v>103.74899000000001</v>
      </c>
      <c r="K139" s="12">
        <v>442.50540000000001</v>
      </c>
      <c r="L139" s="12" t="s">
        <v>1</v>
      </c>
      <c r="M139" s="12" t="s">
        <v>0</v>
      </c>
      <c r="N139" s="12">
        <v>12.4321222181081</v>
      </c>
      <c r="O139" s="12">
        <v>16.5</v>
      </c>
      <c r="P139" s="12">
        <v>1343.05</v>
      </c>
      <c r="Q139" s="12" t="s">
        <v>1</v>
      </c>
    </row>
    <row r="140" spans="1:17" x14ac:dyDescent="0.25">
      <c r="A140" s="12">
        <f t="shared" si="2"/>
        <v>139</v>
      </c>
      <c r="B140" s="12">
        <v>1.0287599999999999</v>
      </c>
      <c r="C140" s="12">
        <v>0.10673100000000001</v>
      </c>
      <c r="D140" s="12">
        <v>0.83453200000000005</v>
      </c>
      <c r="E140" s="12">
        <v>70.184375785990696</v>
      </c>
      <c r="F140" s="12">
        <v>49</v>
      </c>
      <c r="G140" s="12">
        <v>217.377457170951</v>
      </c>
      <c r="H140" s="12" t="s">
        <v>0</v>
      </c>
      <c r="I140" s="12">
        <v>1.123</v>
      </c>
      <c r="J140" s="12">
        <v>153.3655</v>
      </c>
      <c r="K140" s="12">
        <v>502.37387999999999</v>
      </c>
      <c r="L140" s="12" t="s">
        <v>1</v>
      </c>
      <c r="M140" s="12" t="s">
        <v>0</v>
      </c>
      <c r="N140" s="12">
        <v>18.377611580038199</v>
      </c>
      <c r="O140" s="12">
        <v>15</v>
      </c>
      <c r="P140" s="12">
        <v>1918.54</v>
      </c>
      <c r="Q140" s="12" t="s">
        <v>1</v>
      </c>
    </row>
    <row r="141" spans="1:17" x14ac:dyDescent="0.25">
      <c r="A141" s="12">
        <f t="shared" si="2"/>
        <v>140</v>
      </c>
      <c r="B141" s="12">
        <v>1.0537300000000001</v>
      </c>
      <c r="C141" s="12">
        <v>0.116746</v>
      </c>
      <c r="D141" s="12">
        <v>0.88723200000000002</v>
      </c>
      <c r="E141" s="12">
        <v>80.5982812047788</v>
      </c>
      <c r="F141" s="12">
        <v>36</v>
      </c>
      <c r="G141" s="12">
        <v>183.705717242259</v>
      </c>
      <c r="H141" s="12" t="s">
        <v>0</v>
      </c>
      <c r="I141" s="12">
        <v>1.1429800000000001</v>
      </c>
      <c r="J141" s="12">
        <v>158.37299999999999</v>
      </c>
      <c r="K141" s="12">
        <v>533.46687999999995</v>
      </c>
      <c r="L141" s="12" t="s">
        <v>1</v>
      </c>
      <c r="M141" s="12" t="s">
        <v>0</v>
      </c>
      <c r="N141" s="12">
        <v>18.977654549200398</v>
      </c>
      <c r="O141" s="12">
        <v>14</v>
      </c>
      <c r="P141" s="12">
        <v>2352.86</v>
      </c>
      <c r="Q141" s="12" t="s">
        <v>1</v>
      </c>
    </row>
    <row r="142" spans="1:17" x14ac:dyDescent="0.25">
      <c r="A142" s="12">
        <f t="shared" si="2"/>
        <v>141</v>
      </c>
      <c r="B142" s="12">
        <v>0.27163999999999999</v>
      </c>
      <c r="C142" s="12">
        <v>-4.63072E-2</v>
      </c>
      <c r="D142" s="12">
        <v>0.42647699999999999</v>
      </c>
      <c r="E142" s="12">
        <v>0.62660557511645598</v>
      </c>
      <c r="F142" s="12">
        <v>156.25</v>
      </c>
      <c r="G142" s="12">
        <v>222.88935670932599</v>
      </c>
      <c r="H142" s="12" t="s">
        <v>0</v>
      </c>
      <c r="I142" s="12">
        <v>0.51731000000000005</v>
      </c>
      <c r="J142" s="12">
        <v>76.846400000000003</v>
      </c>
      <c r="K142" s="12">
        <v>261.62142999999998</v>
      </c>
      <c r="L142" s="12" t="s">
        <v>1</v>
      </c>
      <c r="M142" s="12" t="s">
        <v>0</v>
      </c>
      <c r="N142" s="12">
        <v>9.2084157814127003</v>
      </c>
      <c r="O142" s="12">
        <v>20.5</v>
      </c>
      <c r="P142" s="12">
        <v>1850.74</v>
      </c>
      <c r="Q142" s="12" t="s">
        <v>1</v>
      </c>
    </row>
    <row r="143" spans="1:17" x14ac:dyDescent="0.25">
      <c r="A143" s="12">
        <f t="shared" si="2"/>
        <v>142</v>
      </c>
      <c r="B143" s="12">
        <v>0.26304499999999997</v>
      </c>
      <c r="C143" s="12">
        <v>-5.6700199999999999E-2</v>
      </c>
      <c r="D143" s="12">
        <v>0.439216</v>
      </c>
      <c r="E143" s="12">
        <v>2.0001733244844901</v>
      </c>
      <c r="F143" s="12">
        <v>156.25</v>
      </c>
      <c r="G143" s="12">
        <v>235.16852709701601</v>
      </c>
      <c r="H143" s="12" t="s">
        <v>0</v>
      </c>
      <c r="I143" s="12">
        <v>0.510436</v>
      </c>
      <c r="J143" s="12">
        <v>71.649900000000002</v>
      </c>
      <c r="K143" s="12">
        <v>269.13744000000003</v>
      </c>
      <c r="L143" s="12" t="s">
        <v>1</v>
      </c>
      <c r="M143" s="12" t="s">
        <v>0</v>
      </c>
      <c r="N143" s="12">
        <v>8.5857251594953308</v>
      </c>
      <c r="O143" s="12">
        <v>20.5</v>
      </c>
      <c r="P143" s="12">
        <v>1702.65</v>
      </c>
      <c r="Q143" s="12" t="s">
        <v>1</v>
      </c>
    </row>
    <row r="144" spans="1:17" x14ac:dyDescent="0.25">
      <c r="A144" s="12">
        <f t="shared" si="2"/>
        <v>143</v>
      </c>
      <c r="B144" s="12">
        <v>0.280198</v>
      </c>
      <c r="C144" s="12">
        <v>7.7921900000000002E-2</v>
      </c>
      <c r="D144" s="12">
        <v>0.20715900000000001</v>
      </c>
      <c r="E144" s="12">
        <v>44.242863456704796</v>
      </c>
      <c r="F144" s="12">
        <v>100</v>
      </c>
      <c r="G144" s="12">
        <v>3.2786791375492501</v>
      </c>
      <c r="H144" s="12" t="s">
        <v>0</v>
      </c>
      <c r="I144" s="12">
        <v>0.52415800000000001</v>
      </c>
      <c r="J144" s="12">
        <v>138.96095</v>
      </c>
      <c r="K144" s="12">
        <v>132.22380999999999</v>
      </c>
      <c r="L144" s="12" t="s">
        <v>1</v>
      </c>
      <c r="M144" s="12" t="s">
        <v>0</v>
      </c>
      <c r="N144" s="12">
        <v>16.651530910753099</v>
      </c>
      <c r="O144" s="12">
        <v>18</v>
      </c>
      <c r="P144" s="12">
        <v>6639.09</v>
      </c>
      <c r="Q144" s="12" t="s">
        <v>1</v>
      </c>
    </row>
    <row r="145" spans="1:17" x14ac:dyDescent="0.25">
      <c r="A145" s="12">
        <f t="shared" si="2"/>
        <v>144</v>
      </c>
      <c r="B145" s="12">
        <v>0.29357499999999997</v>
      </c>
      <c r="C145" s="12">
        <v>0.146954</v>
      </c>
      <c r="D145" s="12">
        <v>0.20433499999999999</v>
      </c>
      <c r="E145" s="12">
        <v>116.371224387708</v>
      </c>
      <c r="F145" s="12">
        <v>81</v>
      </c>
      <c r="G145" s="12">
        <v>51.526437242259298</v>
      </c>
      <c r="H145" s="12" t="s">
        <v>0</v>
      </c>
      <c r="I145" s="12">
        <v>0.53486</v>
      </c>
      <c r="J145" s="12">
        <v>173.477</v>
      </c>
      <c r="K145" s="12">
        <v>130.55765</v>
      </c>
      <c r="L145" s="12" t="s">
        <v>1</v>
      </c>
      <c r="M145" s="12" t="s">
        <v>0</v>
      </c>
      <c r="N145" s="12">
        <v>20.787549508007199</v>
      </c>
      <c r="O145" s="12">
        <v>17</v>
      </c>
      <c r="P145" s="12">
        <v>9920.0400000000009</v>
      </c>
      <c r="Q145" s="12" t="s">
        <v>1</v>
      </c>
    </row>
    <row r="146" spans="1:17" x14ac:dyDescent="0.25">
      <c r="A146" s="12">
        <f t="shared" si="2"/>
        <v>145</v>
      </c>
      <c r="B146" s="12">
        <v>0.90643700000000005</v>
      </c>
      <c r="C146" s="12">
        <v>4.0475200000000003E-2</v>
      </c>
      <c r="D146" s="12">
        <v>0.75494799999999995</v>
      </c>
      <c r="E146" s="12">
        <v>19.4298768736836</v>
      </c>
      <c r="F146" s="12">
        <v>64</v>
      </c>
      <c r="G146" s="12">
        <v>229.735064260461</v>
      </c>
      <c r="H146" s="12" t="s">
        <v>0</v>
      </c>
      <c r="I146" s="12">
        <v>1.0251490000000001</v>
      </c>
      <c r="J146" s="12">
        <v>120.2376</v>
      </c>
      <c r="K146" s="12">
        <v>455.41932000000003</v>
      </c>
      <c r="L146" s="12" t="s">
        <v>1</v>
      </c>
      <c r="M146" s="12" t="s">
        <v>0</v>
      </c>
      <c r="N146" s="12">
        <v>14.4079334016842</v>
      </c>
      <c r="O146" s="12">
        <v>16</v>
      </c>
      <c r="P146" s="12">
        <v>1767.69</v>
      </c>
      <c r="Q146" s="12" t="s">
        <v>1</v>
      </c>
    </row>
    <row r="147" spans="1:17" x14ac:dyDescent="0.25">
      <c r="A147" s="12">
        <f t="shared" si="2"/>
        <v>146</v>
      </c>
      <c r="B147" s="12">
        <v>0.85878699999999997</v>
      </c>
      <c r="C147" s="12">
        <v>3.7729499999999999E-2</v>
      </c>
      <c r="D147" s="12">
        <v>0.83405099999999999</v>
      </c>
      <c r="E147" s="12">
        <v>18.006667308367401</v>
      </c>
      <c r="F147" s="12">
        <v>81</v>
      </c>
      <c r="G147" s="12">
        <v>260.572124499155</v>
      </c>
      <c r="H147" s="12" t="s">
        <v>0</v>
      </c>
      <c r="I147" s="12">
        <v>0.98702900000000005</v>
      </c>
      <c r="J147" s="12">
        <v>118.86475</v>
      </c>
      <c r="K147" s="12">
        <v>502.09008999999998</v>
      </c>
      <c r="L147" s="12" t="s">
        <v>1</v>
      </c>
      <c r="M147" s="12" t="s">
        <v>0</v>
      </c>
      <c r="N147" s="12">
        <v>14.2434263641976</v>
      </c>
      <c r="O147" s="12">
        <v>17</v>
      </c>
      <c r="P147" s="12">
        <v>1408.08</v>
      </c>
      <c r="Q147" s="12" t="s">
        <v>1</v>
      </c>
    </row>
    <row r="148" spans="1:17" x14ac:dyDescent="0.25">
      <c r="A148" s="12">
        <f t="shared" si="2"/>
        <v>147</v>
      </c>
      <c r="B148" s="12">
        <v>1.0601</v>
      </c>
      <c r="C148" s="12">
        <v>6.7640099999999995E-2</v>
      </c>
      <c r="D148" s="12">
        <v>0.67982699999999996</v>
      </c>
      <c r="E148" s="12">
        <v>36.427293722006297</v>
      </c>
      <c r="F148" s="12">
        <v>49</v>
      </c>
      <c r="G148" s="12">
        <v>206.21589484255901</v>
      </c>
      <c r="H148" s="12" t="s">
        <v>0</v>
      </c>
      <c r="I148" s="12">
        <v>1.1479999999999999</v>
      </c>
      <c r="J148" s="12">
        <v>133.82005000000001</v>
      </c>
      <c r="K148" s="12">
        <v>411.09793000000002</v>
      </c>
      <c r="L148" s="12" t="s">
        <v>1</v>
      </c>
      <c r="M148" s="12" t="s">
        <v>0</v>
      </c>
      <c r="N148" s="12">
        <v>16.035502772926701</v>
      </c>
      <c r="O148" s="12">
        <v>15</v>
      </c>
      <c r="P148" s="12">
        <v>2058.52</v>
      </c>
      <c r="Q148" s="12" t="s">
        <v>1</v>
      </c>
    </row>
    <row r="149" spans="1:17" x14ac:dyDescent="0.25">
      <c r="A149" s="12">
        <f t="shared" si="2"/>
        <v>148</v>
      </c>
      <c r="B149" s="12">
        <v>1.0224599999999999</v>
      </c>
      <c r="C149" s="12">
        <v>6.2879400000000002E-2</v>
      </c>
      <c r="D149" s="12">
        <v>0.66097499999999998</v>
      </c>
      <c r="E149" s="12">
        <v>33.0655840097142</v>
      </c>
      <c r="F149" s="12">
        <v>49</v>
      </c>
      <c r="G149" s="12">
        <v>203.012530471758</v>
      </c>
      <c r="H149" s="12" t="s">
        <v>0</v>
      </c>
      <c r="I149" s="12">
        <v>1.1179600000000001</v>
      </c>
      <c r="J149" s="12">
        <v>131.43969999999999</v>
      </c>
      <c r="K149" s="12">
        <v>399.97525000000002</v>
      </c>
      <c r="L149" s="12" t="s">
        <v>1</v>
      </c>
      <c r="M149" s="12" t="s">
        <v>0</v>
      </c>
      <c r="N149" s="12">
        <v>15.7502681685043</v>
      </c>
      <c r="O149" s="12">
        <v>15</v>
      </c>
      <c r="P149" s="12">
        <v>2099.39</v>
      </c>
      <c r="Q149" s="12" t="s">
        <v>1</v>
      </c>
    </row>
    <row r="150" spans="1:17" x14ac:dyDescent="0.25">
      <c r="A150" s="12">
        <f t="shared" si="2"/>
        <v>149</v>
      </c>
      <c r="B150" s="12">
        <v>1.0561700000000001</v>
      </c>
      <c r="C150" s="12">
        <v>5.2624400000000002E-2</v>
      </c>
      <c r="D150" s="12">
        <v>0.67179</v>
      </c>
      <c r="E150" s="12">
        <v>26.3769114370895</v>
      </c>
      <c r="F150" s="12">
        <v>49</v>
      </c>
      <c r="G150" s="12">
        <v>213.55057875323701</v>
      </c>
      <c r="H150" s="12" t="s">
        <v>0</v>
      </c>
      <c r="I150" s="12">
        <v>1.14493</v>
      </c>
      <c r="J150" s="12">
        <v>126.3122</v>
      </c>
      <c r="K150" s="12">
        <v>406.35610000000003</v>
      </c>
      <c r="L150" s="12" t="s">
        <v>1</v>
      </c>
      <c r="M150" s="12" t="s">
        <v>0</v>
      </c>
      <c r="N150" s="12">
        <v>15.1358457372753</v>
      </c>
      <c r="O150" s="12">
        <v>15</v>
      </c>
      <c r="P150" s="12">
        <v>1966.12</v>
      </c>
      <c r="Q150" s="12" t="s">
        <v>1</v>
      </c>
    </row>
    <row r="151" spans="1:17" x14ac:dyDescent="0.25">
      <c r="A151" s="12">
        <f t="shared" si="2"/>
        <v>150</v>
      </c>
      <c r="B151" s="12">
        <v>1.08253</v>
      </c>
      <c r="C151" s="12">
        <v>2.83675E-2</v>
      </c>
      <c r="D151" s="12">
        <v>0.65334300000000001</v>
      </c>
      <c r="E151" s="12">
        <v>13.560861596132501</v>
      </c>
      <c r="F151" s="12">
        <v>56.25</v>
      </c>
      <c r="G151" s="12">
        <v>250.70774751285401</v>
      </c>
      <c r="H151" s="12" t="s">
        <v>0</v>
      </c>
      <c r="I151" s="12">
        <v>1.1660200000000001</v>
      </c>
      <c r="J151" s="12">
        <v>114.18375</v>
      </c>
      <c r="K151" s="12">
        <v>395.47237000000001</v>
      </c>
      <c r="L151" s="12" t="s">
        <v>1</v>
      </c>
      <c r="M151" s="12" t="s">
        <v>0</v>
      </c>
      <c r="N151" s="12">
        <v>13.682507514742101</v>
      </c>
      <c r="O151" s="12">
        <v>15.5</v>
      </c>
      <c r="P151" s="12">
        <v>1520.68</v>
      </c>
      <c r="Q151" s="12" t="s">
        <v>1</v>
      </c>
    </row>
    <row r="152" spans="1:17" x14ac:dyDescent="0.25">
      <c r="A152" s="12">
        <f t="shared" si="2"/>
        <v>151</v>
      </c>
      <c r="B152" s="12">
        <v>0.94013400000000003</v>
      </c>
      <c r="C152" s="12">
        <v>-9.6760299999999994E-2</v>
      </c>
      <c r="D152" s="12">
        <v>0.74073199999999995</v>
      </c>
      <c r="E152" s="12">
        <v>14.550049466114499</v>
      </c>
      <c r="F152" s="12">
        <v>156.25</v>
      </c>
      <c r="G152" s="12">
        <v>348.56317114682599</v>
      </c>
      <c r="H152" s="12" t="s">
        <v>0</v>
      </c>
      <c r="I152" s="12">
        <v>1.0521069999999999</v>
      </c>
      <c r="J152" s="12">
        <v>51.61985</v>
      </c>
      <c r="K152" s="12">
        <v>447.03188</v>
      </c>
      <c r="L152" s="12" t="s">
        <v>1</v>
      </c>
      <c r="M152" s="12" t="s">
        <v>0</v>
      </c>
      <c r="N152" s="12">
        <v>6.1855472914040996</v>
      </c>
      <c r="O152" s="12">
        <v>20.5</v>
      </c>
      <c r="P152" s="12">
        <v>485.50599999999997</v>
      </c>
      <c r="Q152" s="12" t="s">
        <v>1</v>
      </c>
    </row>
    <row r="153" spans="1:17" x14ac:dyDescent="0.25">
      <c r="A153" s="12">
        <f t="shared" si="2"/>
        <v>152</v>
      </c>
      <c r="B153" s="12">
        <v>1.0099800000000001</v>
      </c>
      <c r="C153" s="12">
        <v>-2.1820200000000001E-2</v>
      </c>
      <c r="D153" s="12">
        <v>0.73505399999999999</v>
      </c>
      <c r="E153" s="12">
        <v>0.45635471476164802</v>
      </c>
      <c r="F153" s="12">
        <v>81</v>
      </c>
      <c r="G153" s="12">
        <v>298.88867982904799</v>
      </c>
      <c r="H153" s="12" t="s">
        <v>0</v>
      </c>
      <c r="I153" s="12">
        <v>1.10798</v>
      </c>
      <c r="J153" s="12">
        <v>89.0899</v>
      </c>
      <c r="K153" s="12">
        <v>443.68185999999997</v>
      </c>
      <c r="L153" s="12" t="s">
        <v>1</v>
      </c>
      <c r="M153" s="12" t="s">
        <v>0</v>
      </c>
      <c r="N153" s="12">
        <v>10.675540313202401</v>
      </c>
      <c r="O153" s="12">
        <v>17</v>
      </c>
      <c r="P153" s="12">
        <v>989.73500000000001</v>
      </c>
      <c r="Q153" s="12" t="s">
        <v>1</v>
      </c>
    </row>
    <row r="154" spans="1:17" x14ac:dyDescent="0.25">
      <c r="A154" s="12">
        <f t="shared" si="2"/>
        <v>153</v>
      </c>
      <c r="B154" s="12">
        <v>0.98918499999999998</v>
      </c>
      <c r="C154" s="12">
        <v>0.28331400000000001</v>
      </c>
      <c r="D154" s="12">
        <v>1.0454699999999999</v>
      </c>
      <c r="E154" s="12">
        <v>359.38606838490603</v>
      </c>
      <c r="F154" s="12">
        <v>30.25</v>
      </c>
      <c r="G154" s="12">
        <v>84.495382374929605</v>
      </c>
      <c r="H154" s="12" t="s">
        <v>0</v>
      </c>
      <c r="I154" s="12">
        <v>1.091348</v>
      </c>
      <c r="J154" s="12">
        <v>241.65700000000001</v>
      </c>
      <c r="K154" s="12">
        <v>626.82730000000004</v>
      </c>
      <c r="L154" s="12" t="s">
        <v>1</v>
      </c>
      <c r="M154" s="12" t="s">
        <v>0</v>
      </c>
      <c r="N154" s="12">
        <v>28.957480538956201</v>
      </c>
      <c r="O154" s="12">
        <v>13.5</v>
      </c>
      <c r="P154" s="12">
        <v>3944.87</v>
      </c>
      <c r="Q154" s="12" t="s">
        <v>1</v>
      </c>
    </row>
    <row r="155" spans="1:17" x14ac:dyDescent="0.25">
      <c r="A155" s="12">
        <f t="shared" si="2"/>
        <v>154</v>
      </c>
      <c r="B155" s="12">
        <v>0.98503799999999997</v>
      </c>
      <c r="C155" s="12">
        <v>0.26466099999999998</v>
      </c>
      <c r="D155" s="12">
        <v>1.00936</v>
      </c>
      <c r="E155" s="12">
        <v>318.26191655874601</v>
      </c>
      <c r="F155" s="12">
        <v>30.25</v>
      </c>
      <c r="G155" s="12">
        <v>86.713344000000006</v>
      </c>
      <c r="H155" s="12" t="s">
        <v>0</v>
      </c>
      <c r="I155" s="12">
        <v>1.0880300000000001</v>
      </c>
      <c r="J155" s="12">
        <v>232.3305</v>
      </c>
      <c r="K155" s="12">
        <v>605.52239999999995</v>
      </c>
      <c r="L155" s="12" t="s">
        <v>1</v>
      </c>
      <c r="M155" s="12" t="s">
        <v>0</v>
      </c>
      <c r="N155" s="12">
        <v>27.839896764240098</v>
      </c>
      <c r="O155" s="12">
        <v>13.5</v>
      </c>
      <c r="P155" s="12">
        <v>3901.12</v>
      </c>
      <c r="Q155" s="12" t="s">
        <v>1</v>
      </c>
    </row>
    <row r="156" spans="1:17" x14ac:dyDescent="0.25">
      <c r="A156" s="12">
        <f t="shared" si="2"/>
        <v>155</v>
      </c>
      <c r="B156" s="12">
        <v>1.0389999999999999</v>
      </c>
      <c r="C156" s="12">
        <v>0.252438</v>
      </c>
      <c r="D156" s="12">
        <v>0.964391</v>
      </c>
      <c r="E156" s="12">
        <v>292.66870304206901</v>
      </c>
      <c r="F156" s="12">
        <v>36</v>
      </c>
      <c r="G156" s="12">
        <v>132.66684850516</v>
      </c>
      <c r="H156" s="12" t="s">
        <v>0</v>
      </c>
      <c r="I156" s="12">
        <v>1.131</v>
      </c>
      <c r="J156" s="12">
        <v>226.21899999999999</v>
      </c>
      <c r="K156" s="12">
        <v>578.99068999999997</v>
      </c>
      <c r="L156" s="12" t="s">
        <v>1</v>
      </c>
      <c r="M156" s="12" t="s">
        <v>0</v>
      </c>
      <c r="N156" s="12">
        <v>27.107562744063401</v>
      </c>
      <c r="O156" s="12">
        <v>14</v>
      </c>
      <c r="P156" s="12">
        <v>3095.89</v>
      </c>
      <c r="Q156" s="12" t="s">
        <v>1</v>
      </c>
    </row>
    <row r="157" spans="1:17" x14ac:dyDescent="0.25">
      <c r="A157" s="12">
        <f t="shared" si="2"/>
        <v>156</v>
      </c>
      <c r="B157" s="12">
        <v>1.0835300000000001</v>
      </c>
      <c r="C157" s="12">
        <v>0.23666799999999999</v>
      </c>
      <c r="D157" s="12">
        <v>0.95679899999999996</v>
      </c>
      <c r="E157" s="12">
        <v>261.233267516306</v>
      </c>
      <c r="F157" s="12">
        <v>36</v>
      </c>
      <c r="G157" s="12">
        <v>139.351233164946</v>
      </c>
      <c r="H157" s="12" t="s">
        <v>0</v>
      </c>
      <c r="I157" s="12">
        <v>1.16682</v>
      </c>
      <c r="J157" s="12">
        <v>218.334</v>
      </c>
      <c r="K157" s="12">
        <v>574.51140999999996</v>
      </c>
      <c r="L157" s="12" t="s">
        <v>1</v>
      </c>
      <c r="M157" s="12" t="s">
        <v>0</v>
      </c>
      <c r="N157" s="12">
        <v>26.162712257424701</v>
      </c>
      <c r="O157" s="12">
        <v>14</v>
      </c>
      <c r="P157" s="12">
        <v>2991.28</v>
      </c>
      <c r="Q157" s="12" t="s">
        <v>1</v>
      </c>
    </row>
    <row r="158" spans="1:17" x14ac:dyDescent="0.25">
      <c r="A158" s="12">
        <f t="shared" si="2"/>
        <v>157</v>
      </c>
      <c r="B158" s="12">
        <v>0.98818700000000004</v>
      </c>
      <c r="C158" s="12">
        <v>0.215225</v>
      </c>
      <c r="D158" s="12">
        <v>0.97450999999999999</v>
      </c>
      <c r="E158" s="12">
        <v>221.35390908090801</v>
      </c>
      <c r="F158" s="12">
        <v>42.25</v>
      </c>
      <c r="G158" s="12">
        <v>147.472743479076</v>
      </c>
      <c r="H158" s="12" t="s">
        <v>0</v>
      </c>
      <c r="I158" s="12">
        <v>1.090549</v>
      </c>
      <c r="J158" s="12">
        <v>207.61250000000001</v>
      </c>
      <c r="K158" s="12">
        <v>584.96090000000004</v>
      </c>
      <c r="L158" s="12" t="s">
        <v>1</v>
      </c>
      <c r="M158" s="12" t="s">
        <v>0</v>
      </c>
      <c r="N158" s="12">
        <v>24.877967236182101</v>
      </c>
      <c r="O158" s="12">
        <v>14.5</v>
      </c>
      <c r="P158" s="12">
        <v>2867.5</v>
      </c>
      <c r="Q158" s="12" t="s">
        <v>1</v>
      </c>
    </row>
    <row r="159" spans="1:17" x14ac:dyDescent="0.25">
      <c r="A159" s="12">
        <f t="shared" si="2"/>
        <v>158</v>
      </c>
      <c r="B159" s="12">
        <v>0.94317200000000001</v>
      </c>
      <c r="C159" s="12">
        <v>0.19867000000000001</v>
      </c>
      <c r="D159" s="12">
        <v>0.87711300000000003</v>
      </c>
      <c r="E159" s="12">
        <v>192.82332679158</v>
      </c>
      <c r="F159" s="12">
        <v>42.25</v>
      </c>
      <c r="G159" s="12">
        <v>136.66763010621099</v>
      </c>
      <c r="H159" s="12" t="s">
        <v>0</v>
      </c>
      <c r="I159" s="12">
        <v>1.0545370000000001</v>
      </c>
      <c r="J159" s="12">
        <v>199.33500000000001</v>
      </c>
      <c r="K159" s="12">
        <v>527.49666999999999</v>
      </c>
      <c r="L159" s="12" t="s">
        <v>1</v>
      </c>
      <c r="M159" s="12" t="s">
        <v>0</v>
      </c>
      <c r="N159" s="12">
        <v>23.886083925699801</v>
      </c>
      <c r="O159" s="12">
        <v>14.5</v>
      </c>
      <c r="P159" s="12">
        <v>3032.97</v>
      </c>
      <c r="Q159" s="12" t="s">
        <v>1</v>
      </c>
    </row>
    <row r="160" spans="1:17" x14ac:dyDescent="0.25">
      <c r="A160" s="12">
        <f t="shared" si="2"/>
        <v>159</v>
      </c>
      <c r="B160" s="12">
        <v>0.33854400000000001</v>
      </c>
      <c r="C160" s="12">
        <v>-0.114746</v>
      </c>
      <c r="D160" s="12">
        <v>0.44155299999999997</v>
      </c>
      <c r="E160" s="12">
        <v>23.932207869466101</v>
      </c>
      <c r="F160" s="12">
        <v>240.25</v>
      </c>
      <c r="G160" s="12">
        <v>295.12227693300798</v>
      </c>
      <c r="H160" s="12" t="s">
        <v>0</v>
      </c>
      <c r="I160" s="12">
        <v>0.57083499999999998</v>
      </c>
      <c r="J160" s="12">
        <v>42.627000000000002</v>
      </c>
      <c r="K160" s="12">
        <v>270.51627000000002</v>
      </c>
      <c r="L160" s="12" t="s">
        <v>1</v>
      </c>
      <c r="M160" s="12" t="s">
        <v>0</v>
      </c>
      <c r="N160" s="12">
        <v>5.1079444126761802</v>
      </c>
      <c r="O160" s="12">
        <v>23.5</v>
      </c>
      <c r="P160" s="12">
        <v>1029.6199999999999</v>
      </c>
      <c r="Q160" s="12" t="s">
        <v>1</v>
      </c>
    </row>
    <row r="161" spans="1:17" x14ac:dyDescent="0.25">
      <c r="A161" s="12">
        <f t="shared" si="2"/>
        <v>160</v>
      </c>
      <c r="B161" s="12">
        <v>0.38994400000000001</v>
      </c>
      <c r="C161" s="12">
        <v>1.2320300000000001E-3</v>
      </c>
      <c r="D161" s="12">
        <v>0.29958600000000002</v>
      </c>
      <c r="E161" s="12">
        <v>4.2300207517435604</v>
      </c>
      <c r="F161" s="12">
        <v>132.25</v>
      </c>
      <c r="G161" s="12">
        <v>86.211479383749193</v>
      </c>
      <c r="H161" s="12" t="s">
        <v>0</v>
      </c>
      <c r="I161" s="12">
        <v>0.61195500000000003</v>
      </c>
      <c r="J161" s="12">
        <v>100.616015</v>
      </c>
      <c r="K161" s="12">
        <v>186.75574</v>
      </c>
      <c r="L161" s="12" t="s">
        <v>1</v>
      </c>
      <c r="M161" s="12" t="s">
        <v>0</v>
      </c>
      <c r="N161" s="12">
        <v>12.0567014250356</v>
      </c>
      <c r="O161" s="12">
        <v>19.5</v>
      </c>
      <c r="P161" s="12">
        <v>3910.97</v>
      </c>
      <c r="Q161" s="12" t="s">
        <v>1</v>
      </c>
    </row>
    <row r="162" spans="1:17" x14ac:dyDescent="0.25">
      <c r="A162" s="12">
        <f t="shared" si="2"/>
        <v>161</v>
      </c>
      <c r="B162" s="12">
        <v>0.118351</v>
      </c>
      <c r="C162" s="12">
        <v>6.6821099999999994E-2</v>
      </c>
      <c r="D162" s="12">
        <v>0.18099899999999999</v>
      </c>
      <c r="E162" s="12">
        <v>35.837378370810796</v>
      </c>
      <c r="F162" s="12">
        <v>90.25</v>
      </c>
      <c r="G162" s="12">
        <v>19.506863774816999</v>
      </c>
      <c r="H162" s="12" t="s">
        <v>0</v>
      </c>
      <c r="I162" s="12">
        <v>0.39467999999999998</v>
      </c>
      <c r="J162" s="12">
        <v>133.41055</v>
      </c>
      <c r="K162" s="12">
        <v>116.78941</v>
      </c>
      <c r="L162" s="12" t="s">
        <v>1</v>
      </c>
      <c r="M162" s="12" t="s">
        <v>0</v>
      </c>
      <c r="N162" s="12">
        <v>15.9864328586238</v>
      </c>
      <c r="O162" s="12">
        <v>17.5</v>
      </c>
      <c r="P162" s="12">
        <v>5687.92</v>
      </c>
      <c r="Q162" s="12" t="s">
        <v>1</v>
      </c>
    </row>
    <row r="163" spans="1:17" x14ac:dyDescent="0.25">
      <c r="A163" s="12">
        <f t="shared" si="2"/>
        <v>162</v>
      </c>
      <c r="B163" s="12">
        <v>0.15789</v>
      </c>
      <c r="C163" s="12">
        <v>6.3966999999999996E-2</v>
      </c>
      <c r="D163" s="12">
        <v>0.136075</v>
      </c>
      <c r="E163" s="12">
        <v>33.819238849037397</v>
      </c>
      <c r="F163" s="12">
        <v>90.25</v>
      </c>
      <c r="G163" s="12">
        <v>0.112620004503659</v>
      </c>
      <c r="H163" s="12" t="s">
        <v>0</v>
      </c>
      <c r="I163" s="12">
        <v>0.42631000000000002</v>
      </c>
      <c r="J163" s="12">
        <v>131.98349999999999</v>
      </c>
      <c r="K163" s="12">
        <v>90.28425</v>
      </c>
      <c r="L163" s="12" t="s">
        <v>1</v>
      </c>
      <c r="M163" s="12" t="s">
        <v>0</v>
      </c>
      <c r="N163" s="12">
        <v>15.815431097436999</v>
      </c>
      <c r="O163" s="12">
        <v>17.5</v>
      </c>
      <c r="P163" s="12">
        <v>7177.51</v>
      </c>
      <c r="Q163" s="12" t="s">
        <v>1</v>
      </c>
    </row>
    <row r="164" spans="1:17" x14ac:dyDescent="0.25">
      <c r="A164" s="12">
        <f t="shared" si="2"/>
        <v>163</v>
      </c>
      <c r="B164" s="12">
        <v>0.444996</v>
      </c>
      <c r="C164" s="12">
        <v>0.112208</v>
      </c>
      <c r="D164" s="12">
        <v>0.29190100000000002</v>
      </c>
      <c r="E164" s="12">
        <v>75.790307449672099</v>
      </c>
      <c r="F164" s="12">
        <v>90.25</v>
      </c>
      <c r="G164" s="12">
        <v>2.4736826038656399</v>
      </c>
      <c r="H164" s="12" t="s">
        <v>0</v>
      </c>
      <c r="I164" s="12">
        <v>0.65599600000000002</v>
      </c>
      <c r="J164" s="12">
        <v>156.10400000000001</v>
      </c>
      <c r="K164" s="12">
        <v>182.22158999999999</v>
      </c>
      <c r="L164" s="12" t="s">
        <v>1</v>
      </c>
      <c r="M164" s="12" t="s">
        <v>0</v>
      </c>
      <c r="N164" s="12">
        <v>18.705762887287399</v>
      </c>
      <c r="O164" s="12">
        <v>17.5</v>
      </c>
      <c r="P164" s="12">
        <v>6725.93</v>
      </c>
      <c r="Q164" s="12" t="s">
        <v>1</v>
      </c>
    </row>
    <row r="165" spans="1:17" x14ac:dyDescent="0.25">
      <c r="A165" s="12">
        <f t="shared" si="2"/>
        <v>164</v>
      </c>
      <c r="B165" s="12">
        <v>0.43706</v>
      </c>
      <c r="C165" s="12">
        <v>0.15531200000000001</v>
      </c>
      <c r="D165" s="12">
        <v>0.32773200000000002</v>
      </c>
      <c r="E165" s="12">
        <v>127.426039159504</v>
      </c>
      <c r="F165" s="12">
        <v>72.25</v>
      </c>
      <c r="G165" s="12">
        <v>4.6621683024957701</v>
      </c>
      <c r="H165" s="12" t="s">
        <v>0</v>
      </c>
      <c r="I165" s="12">
        <v>0.64964</v>
      </c>
      <c r="J165" s="12">
        <v>177.65600000000001</v>
      </c>
      <c r="K165" s="12">
        <v>203.36188000000001</v>
      </c>
      <c r="L165" s="12" t="s">
        <v>1</v>
      </c>
      <c r="M165" s="12" t="s">
        <v>0</v>
      </c>
      <c r="N165" s="12">
        <v>21.288314274483302</v>
      </c>
      <c r="O165" s="12">
        <v>16.5</v>
      </c>
      <c r="P165" s="12">
        <v>8088.11</v>
      </c>
      <c r="Q165" s="12" t="s">
        <v>1</v>
      </c>
    </row>
    <row r="166" spans="1:17" x14ac:dyDescent="0.25">
      <c r="A166" s="12">
        <f t="shared" si="2"/>
        <v>165</v>
      </c>
      <c r="B166" s="12">
        <v>0.506857</v>
      </c>
      <c r="C166" s="12">
        <v>7.9124700000000006E-2</v>
      </c>
      <c r="D166" s="12">
        <v>0.217583</v>
      </c>
      <c r="E166" s="12">
        <v>45.2067429221458</v>
      </c>
      <c r="F166" s="12">
        <v>81</v>
      </c>
      <c r="G166" s="12">
        <v>8.3150857579283102</v>
      </c>
      <c r="H166" s="12" t="s">
        <v>0</v>
      </c>
      <c r="I166" s="12">
        <v>0.70548500000000003</v>
      </c>
      <c r="J166" s="12">
        <v>139.56235000000001</v>
      </c>
      <c r="K166" s="12">
        <v>138.37397000000001</v>
      </c>
      <c r="L166" s="12" t="s">
        <v>1</v>
      </c>
      <c r="M166" s="12" t="s">
        <v>0</v>
      </c>
      <c r="N166" s="12">
        <v>16.723595981477899</v>
      </c>
      <c r="O166" s="12">
        <v>17</v>
      </c>
      <c r="P166" s="12">
        <v>8352.51</v>
      </c>
      <c r="Q166" s="12" t="s">
        <v>1</v>
      </c>
    </row>
    <row r="167" spans="1:17" x14ac:dyDescent="0.25">
      <c r="A167" s="12">
        <f t="shared" si="2"/>
        <v>166</v>
      </c>
      <c r="B167" s="12">
        <v>0.48835200000000001</v>
      </c>
      <c r="C167" s="12">
        <v>0.123158</v>
      </c>
      <c r="D167" s="12">
        <v>0.192159</v>
      </c>
      <c r="E167" s="12">
        <v>87.643783134975394</v>
      </c>
      <c r="F167" s="12">
        <v>81</v>
      </c>
      <c r="G167" s="12">
        <v>59.020280052542603</v>
      </c>
      <c r="H167" s="12" t="s">
        <v>0</v>
      </c>
      <c r="I167" s="12">
        <v>0.69068099999999999</v>
      </c>
      <c r="J167" s="12">
        <v>161.57900000000001</v>
      </c>
      <c r="K167" s="12">
        <v>123.37381000000001</v>
      </c>
      <c r="L167" s="12" t="s">
        <v>1</v>
      </c>
      <c r="M167" s="12" t="s">
        <v>0</v>
      </c>
      <c r="N167" s="12">
        <v>19.361825844084802</v>
      </c>
      <c r="O167" s="12">
        <v>17</v>
      </c>
      <c r="P167" s="12">
        <v>10104.1</v>
      </c>
      <c r="Q167" s="12" t="s">
        <v>1</v>
      </c>
    </row>
    <row r="168" spans="1:17" x14ac:dyDescent="0.25">
      <c r="A168" s="12">
        <f t="shared" si="2"/>
        <v>167</v>
      </c>
      <c r="B168" s="12">
        <v>0.51535500000000001</v>
      </c>
      <c r="C168" s="12">
        <v>9.6938600000000003E-4</v>
      </c>
      <c r="D168" s="12">
        <v>0.24044299999999999</v>
      </c>
      <c r="E168" s="12">
        <v>4.1655391954774004</v>
      </c>
      <c r="F168" s="12">
        <v>132.25</v>
      </c>
      <c r="G168" s="12">
        <v>61.117268608744602</v>
      </c>
      <c r="H168" s="12" t="s">
        <v>0</v>
      </c>
      <c r="I168" s="12">
        <v>0.71228400000000003</v>
      </c>
      <c r="J168" s="12">
        <v>100.48469299999999</v>
      </c>
      <c r="K168" s="12">
        <v>151.86136999999999</v>
      </c>
      <c r="L168" s="12" t="s">
        <v>1</v>
      </c>
      <c r="M168" s="12" t="s">
        <v>0</v>
      </c>
      <c r="N168" s="12">
        <v>12.0409652607228</v>
      </c>
      <c r="O168" s="12">
        <v>19.5</v>
      </c>
      <c r="P168" s="12">
        <v>4446.5200000000004</v>
      </c>
      <c r="Q168" s="12" t="s">
        <v>1</v>
      </c>
    </row>
    <row r="169" spans="1:17" x14ac:dyDescent="0.25">
      <c r="A169" s="12">
        <f t="shared" si="2"/>
        <v>168</v>
      </c>
      <c r="B169" s="12">
        <v>0.55693199999999998</v>
      </c>
      <c r="C169" s="12">
        <v>4.9422099999999997E-2</v>
      </c>
      <c r="D169" s="12">
        <v>0.25722699999999998</v>
      </c>
      <c r="E169" s="12">
        <v>24.442955773799699</v>
      </c>
      <c r="F169" s="12">
        <v>90.25</v>
      </c>
      <c r="G169" s="12">
        <v>17.4350862443235</v>
      </c>
      <c r="H169" s="12" t="s">
        <v>0</v>
      </c>
      <c r="I169" s="12">
        <v>0.74554500000000001</v>
      </c>
      <c r="J169" s="12">
        <v>124.71105</v>
      </c>
      <c r="K169" s="12">
        <v>161.76392999999999</v>
      </c>
      <c r="L169" s="12" t="s">
        <v>1</v>
      </c>
      <c r="M169" s="12" t="s">
        <v>0</v>
      </c>
      <c r="N169" s="12">
        <v>14.9439817732066</v>
      </c>
      <c r="O169" s="12">
        <v>17.5</v>
      </c>
      <c r="P169" s="12">
        <v>5775.93</v>
      </c>
      <c r="Q169" s="12" t="s">
        <v>1</v>
      </c>
    </row>
    <row r="170" spans="1:17" x14ac:dyDescent="0.25">
      <c r="A170" s="12">
        <f t="shared" si="2"/>
        <v>169</v>
      </c>
      <c r="B170" s="12">
        <v>1.08114</v>
      </c>
      <c r="C170" s="12">
        <v>-2.73487E-2</v>
      </c>
      <c r="D170" s="12">
        <v>0.70399500000000004</v>
      </c>
      <c r="E170" s="12">
        <v>0.118544840238813</v>
      </c>
      <c r="F170" s="12">
        <v>72.25</v>
      </c>
      <c r="G170" s="12">
        <v>300.72329876827899</v>
      </c>
      <c r="H170" s="12" t="s">
        <v>0</v>
      </c>
      <c r="I170" s="12">
        <v>1.1649099999999999</v>
      </c>
      <c r="J170" s="12">
        <v>86.325649999999996</v>
      </c>
      <c r="K170" s="12">
        <v>425.35705000000002</v>
      </c>
      <c r="L170" s="12" t="s">
        <v>1</v>
      </c>
      <c r="M170" s="12" t="s">
        <v>0</v>
      </c>
      <c r="N170" s="12">
        <v>10.3443034130513</v>
      </c>
      <c r="O170" s="12">
        <v>16.5</v>
      </c>
      <c r="P170" s="12">
        <v>970.39800000000002</v>
      </c>
      <c r="Q170" s="12" t="s">
        <v>1</v>
      </c>
    </row>
    <row r="171" spans="1:17" x14ac:dyDescent="0.25">
      <c r="A171" s="12">
        <f t="shared" si="2"/>
        <v>170</v>
      </c>
      <c r="B171" s="12">
        <v>1.0427500000000001</v>
      </c>
      <c r="C171" s="12">
        <v>-1.0349499999999999E-2</v>
      </c>
      <c r="D171" s="12">
        <v>0.70386099999999996</v>
      </c>
      <c r="E171" s="12">
        <v>1.8572257785623301</v>
      </c>
      <c r="F171" s="12">
        <v>72.25</v>
      </c>
      <c r="G171" s="12">
        <v>293.18164813585997</v>
      </c>
      <c r="H171" s="12" t="s">
        <v>0</v>
      </c>
      <c r="I171" s="12">
        <v>1.1342000000000001</v>
      </c>
      <c r="J171" s="12">
        <v>94.825249999999997</v>
      </c>
      <c r="K171" s="12">
        <v>425.27798999999999</v>
      </c>
      <c r="L171" s="12" t="s">
        <v>1</v>
      </c>
      <c r="M171" s="12" t="s">
        <v>0</v>
      </c>
      <c r="N171" s="12">
        <v>11.362800711242199</v>
      </c>
      <c r="O171" s="12">
        <v>16.5</v>
      </c>
      <c r="P171" s="12">
        <v>1050.27</v>
      </c>
      <c r="Q171" s="12" t="s">
        <v>1</v>
      </c>
    </row>
    <row r="172" spans="1:17" x14ac:dyDescent="0.25">
      <c r="A172" s="12">
        <f t="shared" si="2"/>
        <v>171</v>
      </c>
      <c r="B172" s="12">
        <v>1.02525</v>
      </c>
      <c r="C172" s="12">
        <v>-6.19223E-2</v>
      </c>
      <c r="D172" s="12">
        <v>0.67617899999999997</v>
      </c>
      <c r="E172" s="12">
        <v>2.9830608041360498</v>
      </c>
      <c r="F172" s="12">
        <v>121</v>
      </c>
      <c r="G172" s="12">
        <v>327.13927167951903</v>
      </c>
      <c r="H172" s="12" t="s">
        <v>0</v>
      </c>
      <c r="I172" s="12">
        <v>1.1202000000000001</v>
      </c>
      <c r="J172" s="12">
        <v>69.038849999999996</v>
      </c>
      <c r="K172" s="12">
        <v>408.94560999999999</v>
      </c>
      <c r="L172" s="12" t="s">
        <v>1</v>
      </c>
      <c r="M172" s="12" t="s">
        <v>0</v>
      </c>
      <c r="N172" s="12">
        <v>8.2728460392495204</v>
      </c>
      <c r="O172" s="12">
        <v>19</v>
      </c>
      <c r="P172" s="12">
        <v>698.24800000000005</v>
      </c>
      <c r="Q172" s="12" t="s">
        <v>1</v>
      </c>
    </row>
    <row r="173" spans="1:17" x14ac:dyDescent="0.25">
      <c r="A173" s="12">
        <f t="shared" si="2"/>
        <v>172</v>
      </c>
      <c r="B173" s="12">
        <v>1.1439299999999999</v>
      </c>
      <c r="C173" s="12">
        <v>-5.4448999999999997E-2</v>
      </c>
      <c r="D173" s="12">
        <v>0.77408200000000005</v>
      </c>
      <c r="E173" s="12">
        <v>1.6368528104112701</v>
      </c>
      <c r="F173" s="12">
        <v>100</v>
      </c>
      <c r="G173" s="12">
        <v>335.90212686354602</v>
      </c>
      <c r="H173" s="12" t="s">
        <v>0</v>
      </c>
      <c r="I173" s="12">
        <v>1.2151400000000001</v>
      </c>
      <c r="J173" s="12">
        <v>72.775499999999994</v>
      </c>
      <c r="K173" s="12">
        <v>466.70837999999998</v>
      </c>
      <c r="L173" s="12" t="s">
        <v>1</v>
      </c>
      <c r="M173" s="12" t="s">
        <v>0</v>
      </c>
      <c r="N173" s="12">
        <v>8.72060451368184</v>
      </c>
      <c r="O173" s="12">
        <v>18</v>
      </c>
      <c r="P173" s="12">
        <v>610.41399999999999</v>
      </c>
      <c r="Q173" s="12" t="s">
        <v>1</v>
      </c>
    </row>
    <row r="174" spans="1:17" x14ac:dyDescent="0.25">
      <c r="A174" s="12">
        <f t="shared" si="2"/>
        <v>173</v>
      </c>
      <c r="B174" s="12">
        <v>6.8628700000000001E-2</v>
      </c>
      <c r="C174" s="12">
        <v>-1.50831E-2</v>
      </c>
      <c r="D174" s="12">
        <v>0.179371</v>
      </c>
      <c r="E174" s="12">
        <v>1.1646505979728199</v>
      </c>
      <c r="F174" s="12">
        <v>132.25</v>
      </c>
      <c r="G174" s="12">
        <v>107.768289543253</v>
      </c>
      <c r="H174" s="12" t="s">
        <v>0</v>
      </c>
      <c r="I174" s="12">
        <v>0.35490290000000002</v>
      </c>
      <c r="J174" s="12">
        <v>92.458449999999999</v>
      </c>
      <c r="K174" s="12">
        <v>115.82889</v>
      </c>
      <c r="L174" s="12" t="s">
        <v>1</v>
      </c>
      <c r="M174" s="12" t="s">
        <v>0</v>
      </c>
      <c r="N174" s="12">
        <v>11.0791897877448</v>
      </c>
      <c r="O174" s="12">
        <v>19.5</v>
      </c>
      <c r="P174" s="12">
        <v>3510.88</v>
      </c>
      <c r="Q174" s="12" t="s">
        <v>1</v>
      </c>
    </row>
    <row r="175" spans="1:17" x14ac:dyDescent="0.25">
      <c r="A175" s="12">
        <f t="shared" si="2"/>
        <v>174</v>
      </c>
      <c r="B175" s="12">
        <v>0.14355299999999999</v>
      </c>
      <c r="C175" s="12">
        <v>-6.8075700000000003E-2</v>
      </c>
      <c r="D175" s="12">
        <v>0.102673</v>
      </c>
      <c r="E175" s="12">
        <v>4.3925091954323303</v>
      </c>
      <c r="F175" s="12">
        <v>156.25</v>
      </c>
      <c r="G175" s="12">
        <v>67.576958079189296</v>
      </c>
      <c r="H175" s="12" t="s">
        <v>0</v>
      </c>
      <c r="I175" s="12">
        <v>0.41484199999999999</v>
      </c>
      <c r="J175" s="12">
        <v>65.962149999999994</v>
      </c>
      <c r="K175" s="12">
        <v>70.577070000000006</v>
      </c>
      <c r="L175" s="12" t="s">
        <v>1</v>
      </c>
      <c r="M175" s="12" t="s">
        <v>0</v>
      </c>
      <c r="N175" s="12">
        <v>7.90416861474203</v>
      </c>
      <c r="O175" s="12">
        <v>20.5</v>
      </c>
      <c r="P175" s="12">
        <v>4299.51</v>
      </c>
      <c r="Q175" s="12" t="s">
        <v>1</v>
      </c>
    </row>
    <row r="176" spans="1:17" x14ac:dyDescent="0.25">
      <c r="A176" s="12">
        <f t="shared" si="2"/>
        <v>175</v>
      </c>
      <c r="B176" s="12">
        <v>0.16259899999999999</v>
      </c>
      <c r="C176" s="12">
        <v>-3.2457699999999999E-2</v>
      </c>
      <c r="D176" s="12">
        <v>0.18548300000000001</v>
      </c>
      <c r="E176" s="12">
        <v>1.4592869332428499E-3</v>
      </c>
      <c r="F176" s="12">
        <v>144</v>
      </c>
      <c r="G176" s="12">
        <v>102.46542224357199</v>
      </c>
      <c r="H176" s="12" t="s">
        <v>0</v>
      </c>
      <c r="I176" s="12">
        <v>0.43007899999999999</v>
      </c>
      <c r="J176" s="12">
        <v>83.771150000000006</v>
      </c>
      <c r="K176" s="12">
        <v>119.43497000000001</v>
      </c>
      <c r="L176" s="12" t="s">
        <v>1</v>
      </c>
      <c r="M176" s="12" t="s">
        <v>0</v>
      </c>
      <c r="N176" s="12">
        <v>10.0382006143045</v>
      </c>
      <c r="O176" s="12">
        <v>20</v>
      </c>
      <c r="P176" s="12">
        <v>3605.28</v>
      </c>
      <c r="Q176" s="12" t="s">
        <v>1</v>
      </c>
    </row>
    <row r="177" spans="1:17" x14ac:dyDescent="0.25">
      <c r="A177" s="12">
        <f t="shared" si="2"/>
        <v>176</v>
      </c>
      <c r="B177" s="12">
        <v>9.1760700000000001E-2</v>
      </c>
      <c r="C177" s="12">
        <v>-4.5673100000000001E-2</v>
      </c>
      <c r="D177" s="12">
        <v>0.14602599999999999</v>
      </c>
      <c r="E177" s="12">
        <v>0.56790162820094503</v>
      </c>
      <c r="F177" s="12">
        <v>144</v>
      </c>
      <c r="G177" s="12">
        <v>99.1181172970538</v>
      </c>
      <c r="H177" s="12" t="s">
        <v>0</v>
      </c>
      <c r="I177" s="12">
        <v>0.37340849999999998</v>
      </c>
      <c r="J177" s="12">
        <v>77.163449999999997</v>
      </c>
      <c r="K177" s="12">
        <v>96.155339999999995</v>
      </c>
      <c r="L177" s="12" t="s">
        <v>1</v>
      </c>
      <c r="M177" s="12" t="s">
        <v>0</v>
      </c>
      <c r="N177" s="12">
        <v>9.2464075184816696</v>
      </c>
      <c r="O177" s="12">
        <v>20</v>
      </c>
      <c r="P177" s="12">
        <v>3666.13</v>
      </c>
      <c r="Q177" s="12" t="s">
        <v>1</v>
      </c>
    </row>
    <row r="178" spans="1:17" x14ac:dyDescent="0.25">
      <c r="A178" s="12">
        <f t="shared" si="2"/>
        <v>177</v>
      </c>
      <c r="B178" s="12">
        <v>0.91831399999999996</v>
      </c>
      <c r="C178" s="12">
        <v>-5.70634E-2</v>
      </c>
      <c r="D178" s="12">
        <v>0.64483999999999997</v>
      </c>
      <c r="E178" s="12">
        <v>2.0621987033259699</v>
      </c>
      <c r="F178" s="12">
        <v>132.25</v>
      </c>
      <c r="G178" s="12">
        <v>320.42991099425001</v>
      </c>
      <c r="H178" s="12" t="s">
        <v>0</v>
      </c>
      <c r="I178" s="12">
        <v>1.034651</v>
      </c>
      <c r="J178" s="12">
        <v>71.468299999999999</v>
      </c>
      <c r="K178" s="12">
        <v>390.4556</v>
      </c>
      <c r="L178" s="12" t="s">
        <v>1</v>
      </c>
      <c r="M178" s="12" t="s">
        <v>0</v>
      </c>
      <c r="N178" s="12">
        <v>8.5639642402342506</v>
      </c>
      <c r="O178" s="12">
        <v>19.5</v>
      </c>
      <c r="P178" s="12">
        <v>766.29700000000003</v>
      </c>
      <c r="Q178" s="12" t="s">
        <v>1</v>
      </c>
    </row>
    <row r="179" spans="1:17" x14ac:dyDescent="0.25">
      <c r="A179" s="12">
        <f t="shared" si="2"/>
        <v>178</v>
      </c>
      <c r="B179" s="12">
        <v>0.84465800000000002</v>
      </c>
      <c r="C179" s="12">
        <v>1.89433E-2</v>
      </c>
      <c r="D179" s="12">
        <v>0.73576699999999995</v>
      </c>
      <c r="E179" s="12">
        <v>9.7210633764299406</v>
      </c>
      <c r="F179" s="12">
        <v>81</v>
      </c>
      <c r="G179" s="12">
        <v>255.98772617451601</v>
      </c>
      <c r="H179" s="12" t="s">
        <v>0</v>
      </c>
      <c r="I179" s="12">
        <v>0.97572599999999998</v>
      </c>
      <c r="J179" s="12">
        <v>109.47165</v>
      </c>
      <c r="K179" s="12">
        <v>444.10253</v>
      </c>
      <c r="L179" s="12" t="s">
        <v>1</v>
      </c>
      <c r="M179" s="12" t="s">
        <v>0</v>
      </c>
      <c r="N179" s="12">
        <v>13.117861988034401</v>
      </c>
      <c r="O179" s="12">
        <v>17</v>
      </c>
      <c r="P179" s="12">
        <v>1460.14</v>
      </c>
      <c r="Q179" s="12" t="s">
        <v>1</v>
      </c>
    </row>
    <row r="180" spans="1:17" x14ac:dyDescent="0.25">
      <c r="A180" s="12">
        <f t="shared" si="2"/>
        <v>179</v>
      </c>
      <c r="B180" s="12">
        <v>0.99132200000000004</v>
      </c>
      <c r="C180" s="12">
        <v>5.5498600000000002E-2</v>
      </c>
      <c r="D180" s="12">
        <v>0.68660299999999996</v>
      </c>
      <c r="E180" s="12">
        <v>28.175413682284301</v>
      </c>
      <c r="F180" s="12">
        <v>56.25</v>
      </c>
      <c r="G180" s="12">
        <v>208.967222885344</v>
      </c>
      <c r="H180" s="12" t="s">
        <v>0</v>
      </c>
      <c r="I180" s="12">
        <v>1.0930569999999999</v>
      </c>
      <c r="J180" s="12">
        <v>127.74930000000001</v>
      </c>
      <c r="K180" s="12">
        <v>415.09577000000002</v>
      </c>
      <c r="L180" s="12" t="s">
        <v>1</v>
      </c>
      <c r="M180" s="12" t="s">
        <v>0</v>
      </c>
      <c r="N180" s="12">
        <v>15.308051778410199</v>
      </c>
      <c r="O180" s="12">
        <v>15.5</v>
      </c>
      <c r="P180" s="12">
        <v>2023.67</v>
      </c>
      <c r="Q180" s="12" t="s">
        <v>1</v>
      </c>
    </row>
    <row r="181" spans="1:17" x14ac:dyDescent="0.25">
      <c r="A181" s="12">
        <f t="shared" si="2"/>
        <v>180</v>
      </c>
      <c r="B181" s="12">
        <v>0.96315099999999998</v>
      </c>
      <c r="C181" s="12">
        <v>1.0828300000000001E-2</v>
      </c>
      <c r="D181" s="12">
        <v>0.735873</v>
      </c>
      <c r="E181" s="12">
        <v>6.9256155492494198</v>
      </c>
      <c r="F181" s="12">
        <v>72.25</v>
      </c>
      <c r="G181" s="12">
        <v>265.616766690936</v>
      </c>
      <c r="H181" s="12" t="s">
        <v>0</v>
      </c>
      <c r="I181" s="12">
        <v>1.0705199999999999</v>
      </c>
      <c r="J181" s="12">
        <v>105.41415000000001</v>
      </c>
      <c r="K181" s="12">
        <v>444.16507000000001</v>
      </c>
      <c r="L181" s="12" t="s">
        <v>1</v>
      </c>
      <c r="M181" s="12" t="s">
        <v>0</v>
      </c>
      <c r="N181" s="12">
        <v>12.631656426900999</v>
      </c>
      <c r="O181" s="12">
        <v>16.5</v>
      </c>
      <c r="P181" s="12">
        <v>1351.32</v>
      </c>
      <c r="Q181" s="12" t="s">
        <v>1</v>
      </c>
    </row>
    <row r="182" spans="1:17" x14ac:dyDescent="0.25">
      <c r="A182" s="12">
        <f t="shared" si="2"/>
        <v>181</v>
      </c>
      <c r="B182" s="12">
        <v>0.905003</v>
      </c>
      <c r="C182" s="12">
        <v>6.2968499999999997E-2</v>
      </c>
      <c r="D182" s="12">
        <v>0.687527</v>
      </c>
      <c r="E182" s="12">
        <v>33.127006686994598</v>
      </c>
      <c r="F182" s="12">
        <v>56.25</v>
      </c>
      <c r="G182" s="12">
        <v>206.569346901107</v>
      </c>
      <c r="H182" s="12" t="s">
        <v>0</v>
      </c>
      <c r="I182" s="12">
        <v>1.0240020000000001</v>
      </c>
      <c r="J182" s="12">
        <v>131.48425</v>
      </c>
      <c r="K182" s="12">
        <v>415.64093000000003</v>
      </c>
      <c r="L182" s="12" t="s">
        <v>1</v>
      </c>
      <c r="M182" s="12" t="s">
        <v>0</v>
      </c>
      <c r="N182" s="12">
        <v>15.755606543796601</v>
      </c>
      <c r="O182" s="12">
        <v>15.5</v>
      </c>
      <c r="P182" s="12">
        <v>2054.0300000000002</v>
      </c>
      <c r="Q182" s="12" t="s">
        <v>1</v>
      </c>
    </row>
    <row r="183" spans="1:17" x14ac:dyDescent="0.25">
      <c r="A183" s="12">
        <f t="shared" si="2"/>
        <v>182</v>
      </c>
      <c r="B183" s="12">
        <v>0.85547700000000004</v>
      </c>
      <c r="C183" s="12">
        <v>5.7062599999999998E-2</v>
      </c>
      <c r="D183" s="12">
        <v>0.75079600000000002</v>
      </c>
      <c r="E183" s="12">
        <v>29.178988837443001</v>
      </c>
      <c r="F183" s="12">
        <v>64</v>
      </c>
      <c r="G183" s="12">
        <v>219.057841459185</v>
      </c>
      <c r="H183" s="12" t="s">
        <v>0</v>
      </c>
      <c r="I183" s="12">
        <v>0.98438099999999995</v>
      </c>
      <c r="J183" s="12">
        <v>128.53129999999999</v>
      </c>
      <c r="K183" s="12">
        <v>452.96964000000003</v>
      </c>
      <c r="L183" s="12" t="s">
        <v>1</v>
      </c>
      <c r="M183" s="12" t="s">
        <v>0</v>
      </c>
      <c r="N183" s="12">
        <v>15.401757939545501</v>
      </c>
      <c r="O183" s="12">
        <v>16</v>
      </c>
      <c r="P183" s="12">
        <v>1897.78</v>
      </c>
      <c r="Q183" s="12" t="s">
        <v>1</v>
      </c>
    </row>
    <row r="184" spans="1:17" x14ac:dyDescent="0.25">
      <c r="A184" s="12">
        <f t="shared" si="2"/>
        <v>183</v>
      </c>
      <c r="B184" s="12">
        <v>0.95481400000000005</v>
      </c>
      <c r="C184" s="12">
        <v>0.109471</v>
      </c>
      <c r="D184" s="12">
        <v>0.678315</v>
      </c>
      <c r="E184" s="12">
        <v>72.961956116640494</v>
      </c>
      <c r="F184" s="12">
        <v>42.25</v>
      </c>
      <c r="G184" s="12">
        <v>136.26628468830901</v>
      </c>
      <c r="H184" s="12" t="s">
        <v>0</v>
      </c>
      <c r="I184" s="12">
        <v>1.0638510000000001</v>
      </c>
      <c r="J184" s="12">
        <v>154.7355</v>
      </c>
      <c r="K184" s="12">
        <v>410.20585</v>
      </c>
      <c r="L184" s="12" t="s">
        <v>1</v>
      </c>
      <c r="M184" s="12" t="s">
        <v>0</v>
      </c>
      <c r="N184" s="12">
        <v>18.541777105300699</v>
      </c>
      <c r="O184" s="12">
        <v>14.5</v>
      </c>
      <c r="P184" s="12">
        <v>3039.24</v>
      </c>
      <c r="Q184" s="12" t="s">
        <v>1</v>
      </c>
    </row>
    <row r="185" spans="1:17" x14ac:dyDescent="0.25">
      <c r="A185" s="12">
        <f t="shared" si="2"/>
        <v>184</v>
      </c>
      <c r="B185" s="12">
        <v>0.899065</v>
      </c>
      <c r="C185" s="12">
        <v>0.14908199999999999</v>
      </c>
      <c r="D185" s="12">
        <v>0.65363599999999999</v>
      </c>
      <c r="E185" s="12">
        <v>119.138259853386</v>
      </c>
      <c r="F185" s="12">
        <v>49</v>
      </c>
      <c r="G185" s="12">
        <v>106.331693664102</v>
      </c>
      <c r="H185" s="12" t="s">
        <v>0</v>
      </c>
      <c r="I185" s="12">
        <v>1.019252</v>
      </c>
      <c r="J185" s="12">
        <v>174.541</v>
      </c>
      <c r="K185" s="12">
        <v>395.64524</v>
      </c>
      <c r="L185" s="12" t="s">
        <v>1</v>
      </c>
      <c r="M185" s="12" t="s">
        <v>0</v>
      </c>
      <c r="N185" s="12">
        <v>20.915047404999498</v>
      </c>
      <c r="O185" s="12">
        <v>15</v>
      </c>
      <c r="P185" s="12">
        <v>3536.22</v>
      </c>
      <c r="Q185" s="12" t="s">
        <v>1</v>
      </c>
    </row>
    <row r="186" spans="1:17" x14ac:dyDescent="0.25">
      <c r="A186" s="12">
        <f t="shared" si="2"/>
        <v>185</v>
      </c>
      <c r="B186" s="12">
        <v>1.08657</v>
      </c>
      <c r="C186" s="12">
        <v>0.173406</v>
      </c>
      <c r="D186" s="12">
        <v>0.98662899999999998</v>
      </c>
      <c r="E186" s="12">
        <v>153.07642739478499</v>
      </c>
      <c r="F186" s="12">
        <v>36</v>
      </c>
      <c r="G186" s="12">
        <v>171.49947533571</v>
      </c>
      <c r="H186" s="12" t="s">
        <v>0</v>
      </c>
      <c r="I186" s="12">
        <v>1.1692499999999999</v>
      </c>
      <c r="J186" s="12">
        <v>186.703</v>
      </c>
      <c r="K186" s="12">
        <v>592.11111000000005</v>
      </c>
      <c r="L186" s="12" t="s">
        <v>1</v>
      </c>
      <c r="M186" s="12" t="s">
        <v>0</v>
      </c>
      <c r="N186" s="12">
        <v>22.372405885468801</v>
      </c>
      <c r="O186" s="12">
        <v>14</v>
      </c>
      <c r="P186" s="12">
        <v>2520.04</v>
      </c>
      <c r="Q186" s="12" t="s">
        <v>1</v>
      </c>
    </row>
    <row r="187" spans="1:17" x14ac:dyDescent="0.25">
      <c r="A187" s="12">
        <f t="shared" si="2"/>
        <v>186</v>
      </c>
      <c r="B187" s="12">
        <v>1.15601</v>
      </c>
      <c r="C187" s="12">
        <v>0.26620100000000002</v>
      </c>
      <c r="D187" s="12">
        <v>0.90622499999999995</v>
      </c>
      <c r="E187" s="12">
        <v>321.562540840125</v>
      </c>
      <c r="F187" s="12">
        <v>30.25</v>
      </c>
      <c r="G187" s="12">
        <v>120.143821301557</v>
      </c>
      <c r="H187" s="12" t="s">
        <v>0</v>
      </c>
      <c r="I187" s="12">
        <v>1.2248000000000001</v>
      </c>
      <c r="J187" s="12">
        <v>233.10050000000001</v>
      </c>
      <c r="K187" s="12">
        <v>544.67274999999995</v>
      </c>
      <c r="L187" s="12" t="s">
        <v>1</v>
      </c>
      <c r="M187" s="12" t="s">
        <v>0</v>
      </c>
      <c r="N187" s="12">
        <v>27.9321649791687</v>
      </c>
      <c r="O187" s="12">
        <v>13.5</v>
      </c>
      <c r="P187" s="12">
        <v>3299.23</v>
      </c>
      <c r="Q187" s="12" t="s">
        <v>1</v>
      </c>
    </row>
    <row r="188" spans="1:17" x14ac:dyDescent="0.25">
      <c r="A188" s="12">
        <f t="shared" si="2"/>
        <v>187</v>
      </c>
      <c r="B188" s="12">
        <v>0.237931</v>
      </c>
      <c r="C188" s="12">
        <v>8.4220700000000003E-3</v>
      </c>
      <c r="D188" s="12">
        <v>0.43377500000000002</v>
      </c>
      <c r="E188" s="12">
        <v>6.1875992334653098</v>
      </c>
      <c r="F188" s="12">
        <v>132.25</v>
      </c>
      <c r="G188" s="12">
        <v>168.759318629386</v>
      </c>
      <c r="H188" s="12" t="s">
        <v>0</v>
      </c>
      <c r="I188" s="12">
        <v>0.490344</v>
      </c>
      <c r="J188" s="12">
        <v>104.211035</v>
      </c>
      <c r="K188" s="12">
        <v>265.92725000000002</v>
      </c>
      <c r="L188" s="12" t="s">
        <v>1</v>
      </c>
      <c r="M188" s="12" t="s">
        <v>0</v>
      </c>
      <c r="N188" s="12">
        <v>12.4874885393636</v>
      </c>
      <c r="O188" s="12">
        <v>19.5</v>
      </c>
      <c r="P188" s="12">
        <v>2558.38</v>
      </c>
      <c r="Q188" s="12" t="s">
        <v>1</v>
      </c>
    </row>
    <row r="189" spans="1:17" x14ac:dyDescent="0.25">
      <c r="A189" s="12">
        <f t="shared" si="2"/>
        <v>188</v>
      </c>
      <c r="B189" s="12">
        <v>0.18387700000000001</v>
      </c>
      <c r="C189" s="12">
        <v>1.9888699999999999E-2</v>
      </c>
      <c r="D189" s="12">
        <v>0.434554</v>
      </c>
      <c r="E189" s="12">
        <v>10.077482539087701</v>
      </c>
      <c r="F189" s="12">
        <v>132.25</v>
      </c>
      <c r="G189" s="12">
        <v>181.00126964233399</v>
      </c>
      <c r="H189" s="12" t="s">
        <v>0</v>
      </c>
      <c r="I189" s="12">
        <v>0.44710100000000003</v>
      </c>
      <c r="J189" s="12">
        <v>109.94435</v>
      </c>
      <c r="K189" s="12">
        <v>266.38686000000001</v>
      </c>
      <c r="L189" s="12" t="s">
        <v>1</v>
      </c>
      <c r="M189" s="12" t="s">
        <v>0</v>
      </c>
      <c r="N189" s="12">
        <v>13.1745050856925</v>
      </c>
      <c r="O189" s="12">
        <v>19.5</v>
      </c>
      <c r="P189" s="12">
        <v>2389.41</v>
      </c>
      <c r="Q189" s="12" t="s">
        <v>1</v>
      </c>
    </row>
    <row r="190" spans="1:17" x14ac:dyDescent="0.25">
      <c r="A190" s="12">
        <f t="shared" si="2"/>
        <v>189</v>
      </c>
      <c r="B190" s="12">
        <v>0.87428700000000004</v>
      </c>
      <c r="C190" s="12">
        <v>0.28944999999999999</v>
      </c>
      <c r="D190" s="12">
        <v>0.46768300000000002</v>
      </c>
      <c r="E190" s="12">
        <v>373.46008725105997</v>
      </c>
      <c r="F190" s="12">
        <v>49</v>
      </c>
      <c r="G190" s="12">
        <v>8.2879311247888907</v>
      </c>
      <c r="H190" s="12" t="s">
        <v>0</v>
      </c>
      <c r="I190" s="12">
        <v>0.99942900000000001</v>
      </c>
      <c r="J190" s="12">
        <v>244.72499999999999</v>
      </c>
      <c r="K190" s="12">
        <v>285.93297000000001</v>
      </c>
      <c r="L190" s="12" t="s">
        <v>1</v>
      </c>
      <c r="M190" s="12" t="s">
        <v>0</v>
      </c>
      <c r="N190" s="12">
        <v>29.325115452463901</v>
      </c>
      <c r="O190" s="12">
        <v>15</v>
      </c>
      <c r="P190" s="12">
        <v>6249.21</v>
      </c>
      <c r="Q190" s="12" t="s">
        <v>1</v>
      </c>
    </row>
    <row r="191" spans="1:17" x14ac:dyDescent="0.25">
      <c r="A191" s="12">
        <f t="shared" si="2"/>
        <v>190</v>
      </c>
      <c r="B191" s="12">
        <v>0.92730699999999999</v>
      </c>
      <c r="C191" s="12">
        <v>0.26209100000000002</v>
      </c>
      <c r="D191" s="12">
        <v>0.49802400000000002</v>
      </c>
      <c r="E191" s="12">
        <v>312.79164921071703</v>
      </c>
      <c r="F191" s="12">
        <v>42.25</v>
      </c>
      <c r="G191" s="12">
        <v>22.854948414336601</v>
      </c>
      <c r="H191" s="12" t="s">
        <v>0</v>
      </c>
      <c r="I191" s="12">
        <v>1.0418449999999999</v>
      </c>
      <c r="J191" s="12">
        <v>231.0455</v>
      </c>
      <c r="K191" s="12">
        <v>303.83416</v>
      </c>
      <c r="L191" s="12" t="s">
        <v>1</v>
      </c>
      <c r="M191" s="12" t="s">
        <v>0</v>
      </c>
      <c r="N191" s="12">
        <v>27.685916691274901</v>
      </c>
      <c r="O191" s="12">
        <v>14.5</v>
      </c>
      <c r="P191" s="12">
        <v>5555.05</v>
      </c>
      <c r="Q191" s="12" t="s">
        <v>1</v>
      </c>
    </row>
    <row r="192" spans="1:17" x14ac:dyDescent="0.25">
      <c r="A192" s="12">
        <f t="shared" si="2"/>
        <v>191</v>
      </c>
      <c r="B192" s="12">
        <v>0.95093300000000003</v>
      </c>
      <c r="C192" s="12">
        <v>4.3228700000000002E-2</v>
      </c>
      <c r="D192" s="12">
        <v>0.72286700000000004</v>
      </c>
      <c r="E192" s="12">
        <v>20.9114854883649</v>
      </c>
      <c r="F192" s="12">
        <v>56.25</v>
      </c>
      <c r="G192" s="12">
        <v>225.534563708012</v>
      </c>
      <c r="H192" s="12" t="s">
        <v>0</v>
      </c>
      <c r="I192" s="12">
        <v>1.060746</v>
      </c>
      <c r="J192" s="12">
        <v>121.61435</v>
      </c>
      <c r="K192" s="12">
        <v>436.49153000000001</v>
      </c>
      <c r="L192" s="12" t="s">
        <v>1</v>
      </c>
      <c r="M192" s="12" t="s">
        <v>0</v>
      </c>
      <c r="N192" s="12">
        <v>14.572907771688</v>
      </c>
      <c r="O192" s="12">
        <v>15.5</v>
      </c>
      <c r="P192" s="12">
        <v>1818.5</v>
      </c>
      <c r="Q192" s="12" t="s">
        <v>1</v>
      </c>
    </row>
    <row r="193" spans="1:17" x14ac:dyDescent="0.25">
      <c r="A193" s="12">
        <f t="shared" si="2"/>
        <v>192</v>
      </c>
      <c r="B193" s="12">
        <v>0.91351199999999999</v>
      </c>
      <c r="C193" s="12">
        <v>6.3761100000000001E-2</v>
      </c>
      <c r="D193" s="12">
        <v>0.71410499999999999</v>
      </c>
      <c r="E193" s="12">
        <v>33.675908297632603</v>
      </c>
      <c r="F193" s="12">
        <v>56.25</v>
      </c>
      <c r="G193" s="12">
        <v>213.488926793769</v>
      </c>
      <c r="H193" s="12" t="s">
        <v>0</v>
      </c>
      <c r="I193" s="12">
        <v>1.0308090000000001</v>
      </c>
      <c r="J193" s="12">
        <v>131.88055</v>
      </c>
      <c r="K193" s="12">
        <v>431.32195000000002</v>
      </c>
      <c r="L193" s="12" t="s">
        <v>1</v>
      </c>
      <c r="M193" s="12" t="s">
        <v>0</v>
      </c>
      <c r="N193" s="12">
        <v>15.8030947172722</v>
      </c>
      <c r="O193" s="12">
        <v>15.5</v>
      </c>
      <c r="P193" s="12">
        <v>1966.89</v>
      </c>
      <c r="Q193" s="12" t="s">
        <v>1</v>
      </c>
    </row>
    <row r="194" spans="1:17" x14ac:dyDescent="0.25">
      <c r="A194" s="12">
        <f t="shared" si="2"/>
        <v>193</v>
      </c>
      <c r="B194" s="12">
        <v>0.95678799999999997</v>
      </c>
      <c r="C194" s="12">
        <v>6.2026499999999998E-2</v>
      </c>
      <c r="D194" s="12">
        <v>0.79756800000000005</v>
      </c>
      <c r="E194" s="12">
        <v>32.480506262733499</v>
      </c>
      <c r="F194" s="12">
        <v>56.25</v>
      </c>
      <c r="G194" s="12">
        <v>229.70433600000001</v>
      </c>
      <c r="H194" s="12" t="s">
        <v>0</v>
      </c>
      <c r="I194" s="12">
        <v>1.0654300000000001</v>
      </c>
      <c r="J194" s="12">
        <v>131.01325</v>
      </c>
      <c r="K194" s="12">
        <v>480.56511999999998</v>
      </c>
      <c r="L194" s="12" t="s">
        <v>1</v>
      </c>
      <c r="M194" s="12" t="s">
        <v>0</v>
      </c>
      <c r="N194" s="12">
        <v>15.6991671551844</v>
      </c>
      <c r="O194" s="12">
        <v>15.5</v>
      </c>
      <c r="P194" s="12">
        <v>1768.06</v>
      </c>
      <c r="Q194" s="12" t="s">
        <v>1</v>
      </c>
    </row>
    <row r="195" spans="1:17" x14ac:dyDescent="0.25">
      <c r="A195" s="12">
        <f t="shared" si="2"/>
        <v>194</v>
      </c>
      <c r="B195" s="12">
        <v>0.88540700000000006</v>
      </c>
      <c r="C195" s="12">
        <v>0.34323300000000001</v>
      </c>
      <c r="D195" s="12">
        <v>0.57381899999999997</v>
      </c>
      <c r="E195" s="12">
        <v>508.389440008137</v>
      </c>
      <c r="F195" s="12">
        <v>36</v>
      </c>
      <c r="G195" s="12">
        <v>9.5134219553387106E-2</v>
      </c>
      <c r="H195" s="12" t="s">
        <v>0</v>
      </c>
      <c r="I195" s="12">
        <v>1.0083249999999999</v>
      </c>
      <c r="J195" s="12">
        <v>271.61649999999997</v>
      </c>
      <c r="K195" s="12">
        <v>348.55320999999998</v>
      </c>
      <c r="L195" s="12" t="s">
        <v>1</v>
      </c>
      <c r="M195" s="12" t="s">
        <v>0</v>
      </c>
      <c r="N195" s="12">
        <v>32.547492987206702</v>
      </c>
      <c r="O195" s="12">
        <v>14</v>
      </c>
      <c r="P195" s="12">
        <v>7412.58</v>
      </c>
      <c r="Q195" s="12" t="s">
        <v>1</v>
      </c>
    </row>
    <row r="196" spans="1:17" x14ac:dyDescent="0.25">
      <c r="A196" s="12">
        <f t="shared" ref="A196:A259" si="3">A195+1</f>
        <v>195</v>
      </c>
      <c r="B196" s="12">
        <v>1.03349</v>
      </c>
      <c r="C196" s="12">
        <v>9.2530500000000002E-2</v>
      </c>
      <c r="D196" s="12">
        <v>0.82616900000000004</v>
      </c>
      <c r="E196" s="12">
        <v>56.652669825731998</v>
      </c>
      <c r="F196" s="12">
        <v>49</v>
      </c>
      <c r="G196" s="12">
        <v>223.412399493338</v>
      </c>
      <c r="H196" s="12" t="s">
        <v>0</v>
      </c>
      <c r="I196" s="12">
        <v>1.12679</v>
      </c>
      <c r="J196" s="12">
        <v>146.26525000000001</v>
      </c>
      <c r="K196" s="12">
        <v>497.43970999999999</v>
      </c>
      <c r="L196" s="12" t="s">
        <v>1</v>
      </c>
      <c r="M196" s="12" t="s">
        <v>0</v>
      </c>
      <c r="N196" s="12">
        <v>17.526796783873699</v>
      </c>
      <c r="O196" s="12">
        <v>15</v>
      </c>
      <c r="P196" s="12">
        <v>1844.35</v>
      </c>
      <c r="Q196" s="12" t="s">
        <v>1</v>
      </c>
    </row>
    <row r="197" spans="1:17" x14ac:dyDescent="0.25">
      <c r="A197" s="12">
        <f t="shared" si="3"/>
        <v>196</v>
      </c>
      <c r="B197" s="12">
        <v>1.01292</v>
      </c>
      <c r="C197" s="12">
        <v>-5.5996299999999999E-2</v>
      </c>
      <c r="D197" s="12">
        <v>0.71936599999999995</v>
      </c>
      <c r="E197" s="12">
        <v>1.88266136427315</v>
      </c>
      <c r="F197" s="12">
        <v>100</v>
      </c>
      <c r="G197" s="12">
        <v>322.52863317113901</v>
      </c>
      <c r="H197" s="12" t="s">
        <v>0</v>
      </c>
      <c r="I197" s="12">
        <v>1.11033</v>
      </c>
      <c r="J197" s="12">
        <v>72.001850000000005</v>
      </c>
      <c r="K197" s="12">
        <v>434.42594000000003</v>
      </c>
      <c r="L197" s="12" t="s">
        <v>1</v>
      </c>
      <c r="M197" s="12" t="s">
        <v>0</v>
      </c>
      <c r="N197" s="12">
        <v>8.6278989234487202</v>
      </c>
      <c r="O197" s="12">
        <v>18</v>
      </c>
      <c r="P197" s="12">
        <v>744.93499999999995</v>
      </c>
      <c r="Q197" s="12" t="s">
        <v>1</v>
      </c>
    </row>
    <row r="198" spans="1:17" x14ac:dyDescent="0.25">
      <c r="A198" s="12">
        <f t="shared" si="3"/>
        <v>197</v>
      </c>
      <c r="B198" s="12">
        <v>0.89469299999999996</v>
      </c>
      <c r="C198" s="12">
        <v>-5.84799E-3</v>
      </c>
      <c r="D198" s="12">
        <v>0.77051000000000003</v>
      </c>
      <c r="E198" s="12">
        <v>2.6650761527482598</v>
      </c>
      <c r="F198" s="12">
        <v>81</v>
      </c>
      <c r="G198" s="12">
        <v>275.606390993432</v>
      </c>
      <c r="H198" s="12" t="s">
        <v>0</v>
      </c>
      <c r="I198" s="12">
        <v>1.015754</v>
      </c>
      <c r="J198" s="12">
        <v>97.076004999999995</v>
      </c>
      <c r="K198" s="12">
        <v>464.60090000000002</v>
      </c>
      <c r="L198" s="12" t="s">
        <v>1</v>
      </c>
      <c r="M198" s="12" t="s">
        <v>0</v>
      </c>
      <c r="N198" s="12">
        <v>11.6325060957767</v>
      </c>
      <c r="O198" s="12">
        <v>17</v>
      </c>
      <c r="P198" s="12">
        <v>1240.49</v>
      </c>
      <c r="Q198" s="12" t="s">
        <v>1</v>
      </c>
    </row>
    <row r="199" spans="1:17" x14ac:dyDescent="0.25">
      <c r="A199" s="12">
        <f t="shared" si="3"/>
        <v>198</v>
      </c>
      <c r="B199" s="12">
        <v>1.0846199999999999</v>
      </c>
      <c r="C199" s="12">
        <v>9.2186299999999999E-2</v>
      </c>
      <c r="D199" s="12">
        <v>0.91919899999999999</v>
      </c>
      <c r="E199" s="12">
        <v>56.342651701617598</v>
      </c>
      <c r="F199" s="12">
        <v>42.25</v>
      </c>
      <c r="G199" s="12">
        <v>241.136652166635</v>
      </c>
      <c r="H199" s="12" t="s">
        <v>0</v>
      </c>
      <c r="I199" s="12">
        <v>1.1676899999999999</v>
      </c>
      <c r="J199" s="12">
        <v>146.09315000000001</v>
      </c>
      <c r="K199" s="12">
        <v>552.32740999999999</v>
      </c>
      <c r="L199" s="12" t="s">
        <v>1</v>
      </c>
      <c r="M199" s="12" t="s">
        <v>0</v>
      </c>
      <c r="N199" s="12">
        <v>17.5061742386929</v>
      </c>
      <c r="O199" s="12">
        <v>14.5</v>
      </c>
      <c r="P199" s="12">
        <v>1632.07</v>
      </c>
      <c r="Q199" s="12" t="s">
        <v>1</v>
      </c>
    </row>
    <row r="200" spans="1:17" x14ac:dyDescent="0.25">
      <c r="A200" s="12">
        <f t="shared" si="3"/>
        <v>199</v>
      </c>
      <c r="B200" s="12">
        <v>0.32717299999999999</v>
      </c>
      <c r="C200" s="12">
        <v>5.1130299999999997E-2</v>
      </c>
      <c r="D200" s="12">
        <v>0.39482899999999999</v>
      </c>
      <c r="E200" s="12">
        <v>25.4654221906797</v>
      </c>
      <c r="F200" s="12">
        <v>110.25</v>
      </c>
      <c r="G200" s="12">
        <v>90.966649935072198</v>
      </c>
      <c r="H200" s="12" t="s">
        <v>0</v>
      </c>
      <c r="I200" s="12">
        <v>0.56173799999999996</v>
      </c>
      <c r="J200" s="12">
        <v>125.56515</v>
      </c>
      <c r="K200" s="12">
        <v>242.94910999999999</v>
      </c>
      <c r="L200" s="12" t="s">
        <v>1</v>
      </c>
      <c r="M200" s="12" t="s">
        <v>0</v>
      </c>
      <c r="N200" s="12">
        <v>15.046327594467</v>
      </c>
      <c r="O200" s="12">
        <v>18.5</v>
      </c>
      <c r="P200" s="12">
        <v>3818.76</v>
      </c>
      <c r="Q200" s="12" t="s">
        <v>1</v>
      </c>
    </row>
    <row r="201" spans="1:17" x14ac:dyDescent="0.25">
      <c r="A201" s="12">
        <f t="shared" si="3"/>
        <v>200</v>
      </c>
      <c r="B201" s="12">
        <v>0.29299399999999998</v>
      </c>
      <c r="C201" s="12">
        <v>-3.1956400000000003E-2</v>
      </c>
      <c r="D201" s="12">
        <v>0.47787000000000002</v>
      </c>
      <c r="E201" s="12">
        <v>4.6561128966182003E-3</v>
      </c>
      <c r="F201" s="12">
        <v>144</v>
      </c>
      <c r="G201" s="12">
        <v>212.77777150234499</v>
      </c>
      <c r="H201" s="12" t="s">
        <v>0</v>
      </c>
      <c r="I201" s="12">
        <v>0.53439499999999995</v>
      </c>
      <c r="J201" s="12">
        <v>84.021799999999999</v>
      </c>
      <c r="K201" s="12">
        <v>291.94330000000002</v>
      </c>
      <c r="L201" s="12" t="s">
        <v>1</v>
      </c>
      <c r="M201" s="12" t="s">
        <v>0</v>
      </c>
      <c r="N201" s="12">
        <v>10.068235715696501</v>
      </c>
      <c r="O201" s="12">
        <v>20</v>
      </c>
      <c r="P201" s="12">
        <v>1975.78</v>
      </c>
      <c r="Q201" s="12" t="s">
        <v>1</v>
      </c>
    </row>
    <row r="202" spans="1:17" x14ac:dyDescent="0.25">
      <c r="A202" s="12">
        <f t="shared" si="3"/>
        <v>201</v>
      </c>
      <c r="B202" s="12">
        <v>0.94460699999999997</v>
      </c>
      <c r="C202" s="12">
        <v>0.35167599999999999</v>
      </c>
      <c r="D202" s="12">
        <v>0.63445399999999996</v>
      </c>
      <c r="E202" s="12">
        <v>531.45696834594401</v>
      </c>
      <c r="F202" s="12">
        <v>42.25</v>
      </c>
      <c r="G202" s="12">
        <v>30.5754459966222</v>
      </c>
      <c r="H202" s="12" t="s">
        <v>0</v>
      </c>
      <c r="I202" s="12">
        <v>1.055685</v>
      </c>
      <c r="J202" s="12">
        <v>275.83800000000002</v>
      </c>
      <c r="K202" s="12">
        <v>384.32785999999999</v>
      </c>
      <c r="L202" s="12" t="s">
        <v>1</v>
      </c>
      <c r="M202" s="12" t="s">
        <v>0</v>
      </c>
      <c r="N202" s="12">
        <v>33.053350479831401</v>
      </c>
      <c r="O202" s="12">
        <v>14.5</v>
      </c>
      <c r="P202" s="12">
        <v>5281.73</v>
      </c>
      <c r="Q202" s="12" t="s">
        <v>1</v>
      </c>
    </row>
    <row r="203" spans="1:17" x14ac:dyDescent="0.25">
      <c r="A203" s="12">
        <f t="shared" si="3"/>
        <v>202</v>
      </c>
      <c r="B203" s="12">
        <v>0.17718700000000001</v>
      </c>
      <c r="C203" s="12">
        <v>0.13292399999999999</v>
      </c>
      <c r="D203" s="12">
        <v>0.14647299999999999</v>
      </c>
      <c r="E203" s="12">
        <v>98.941816716679398</v>
      </c>
      <c r="F203" s="12">
        <v>81</v>
      </c>
      <c r="G203" s="12">
        <v>21.173865284293399</v>
      </c>
      <c r="H203" s="12" t="s">
        <v>0</v>
      </c>
      <c r="I203" s="12">
        <v>0.441749</v>
      </c>
      <c r="J203" s="12">
        <v>166.46199999999999</v>
      </c>
      <c r="K203" s="12">
        <v>96.419070000000005</v>
      </c>
      <c r="L203" s="12" t="s">
        <v>1</v>
      </c>
      <c r="M203" s="12" t="s">
        <v>0</v>
      </c>
      <c r="N203" s="12">
        <v>19.9469501213527</v>
      </c>
      <c r="O203" s="12">
        <v>17</v>
      </c>
      <c r="P203" s="12">
        <v>8979.5499999999993</v>
      </c>
      <c r="Q203" s="12" t="s">
        <v>1</v>
      </c>
    </row>
    <row r="204" spans="1:17" x14ac:dyDescent="0.25">
      <c r="A204" s="12">
        <f t="shared" si="3"/>
        <v>203</v>
      </c>
      <c r="B204" s="12">
        <v>0.25386599999999998</v>
      </c>
      <c r="C204" s="12">
        <v>1.67958E-2</v>
      </c>
      <c r="D204" s="12">
        <v>0.21262900000000001</v>
      </c>
      <c r="E204" s="12">
        <v>8.9352912901030201</v>
      </c>
      <c r="F204" s="12">
        <v>132.25</v>
      </c>
      <c r="G204" s="12">
        <v>50.946350628635699</v>
      </c>
      <c r="H204" s="12" t="s">
        <v>0</v>
      </c>
      <c r="I204" s="12">
        <v>0.50309199999999998</v>
      </c>
      <c r="J204" s="12">
        <v>108.39790000000001</v>
      </c>
      <c r="K204" s="12">
        <v>135.45111</v>
      </c>
      <c r="L204" s="12" t="s">
        <v>1</v>
      </c>
      <c r="M204" s="12" t="s">
        <v>0</v>
      </c>
      <c r="N204" s="12">
        <v>12.989195759749199</v>
      </c>
      <c r="O204" s="12">
        <v>19.5</v>
      </c>
      <c r="P204" s="12">
        <v>4694.75</v>
      </c>
      <c r="Q204" s="12" t="s">
        <v>1</v>
      </c>
    </row>
    <row r="205" spans="1:17" x14ac:dyDescent="0.25">
      <c r="A205" s="12">
        <f t="shared" si="3"/>
        <v>204</v>
      </c>
      <c r="B205" s="12">
        <v>0.526084</v>
      </c>
      <c r="C205" s="12">
        <v>7.9363400000000001E-2</v>
      </c>
      <c r="D205" s="12">
        <v>0.23890800000000001</v>
      </c>
      <c r="E205" s="12">
        <v>45.399263458869697</v>
      </c>
      <c r="F205" s="12">
        <v>81</v>
      </c>
      <c r="G205" s="12">
        <v>1.6726638663914399</v>
      </c>
      <c r="H205" s="12" t="s">
        <v>0</v>
      </c>
      <c r="I205" s="12">
        <v>0.72086700000000004</v>
      </c>
      <c r="J205" s="12">
        <v>139.68170000000001</v>
      </c>
      <c r="K205" s="12">
        <v>150.95572000000001</v>
      </c>
      <c r="L205" s="12" t="s">
        <v>1</v>
      </c>
      <c r="M205" s="12" t="s">
        <v>0</v>
      </c>
      <c r="N205" s="12">
        <v>16.7378975547918</v>
      </c>
      <c r="O205" s="12">
        <v>17</v>
      </c>
      <c r="P205" s="12">
        <v>7772.06</v>
      </c>
      <c r="Q205" s="12" t="s">
        <v>1</v>
      </c>
    </row>
    <row r="206" spans="1:17" x14ac:dyDescent="0.25">
      <c r="A206" s="12">
        <f t="shared" si="3"/>
        <v>205</v>
      </c>
      <c r="B206" s="12">
        <v>0.88580300000000001</v>
      </c>
      <c r="C206" s="12">
        <v>2.8911099999999999E-2</v>
      </c>
      <c r="D206" s="12">
        <v>0.76523699999999995</v>
      </c>
      <c r="E206" s="12">
        <v>13.8017970886117</v>
      </c>
      <c r="F206" s="12">
        <v>64</v>
      </c>
      <c r="G206" s="12">
        <v>235.19961867817599</v>
      </c>
      <c r="H206" s="12" t="s">
        <v>0</v>
      </c>
      <c r="I206" s="12">
        <v>1.008642</v>
      </c>
      <c r="J206" s="12">
        <v>114.45555</v>
      </c>
      <c r="K206" s="12">
        <v>461.48982999999998</v>
      </c>
      <c r="L206" s="12" t="s">
        <v>1</v>
      </c>
      <c r="M206" s="12" t="s">
        <v>0</v>
      </c>
      <c r="N206" s="12">
        <v>13.7150769963234</v>
      </c>
      <c r="O206" s="12">
        <v>16</v>
      </c>
      <c r="P206" s="12">
        <v>1702.28</v>
      </c>
      <c r="Q206" s="12" t="s">
        <v>1</v>
      </c>
    </row>
    <row r="207" spans="1:17" x14ac:dyDescent="0.25">
      <c r="A207" s="12">
        <f t="shared" si="3"/>
        <v>206</v>
      </c>
      <c r="B207" s="12">
        <v>0.91896</v>
      </c>
      <c r="C207" s="12">
        <v>0.13081000000000001</v>
      </c>
      <c r="D207" s="12">
        <v>0.88615699999999997</v>
      </c>
      <c r="E207" s="12">
        <v>96.438115841511504</v>
      </c>
      <c r="F207" s="12">
        <v>49</v>
      </c>
      <c r="G207" s="12">
        <v>169.82516918671399</v>
      </c>
      <c r="H207" s="12" t="s">
        <v>0</v>
      </c>
      <c r="I207" s="12">
        <v>1.0351600000000001</v>
      </c>
      <c r="J207" s="12">
        <v>165.405</v>
      </c>
      <c r="K207" s="12">
        <v>532.83262999999999</v>
      </c>
      <c r="L207" s="12" t="s">
        <v>1</v>
      </c>
      <c r="M207" s="12" t="s">
        <v>0</v>
      </c>
      <c r="N207" s="12">
        <v>19.820291026314401</v>
      </c>
      <c r="O207" s="12">
        <v>15</v>
      </c>
      <c r="P207" s="12">
        <v>2543.4299999999998</v>
      </c>
      <c r="Q207" s="12" t="s">
        <v>1</v>
      </c>
    </row>
    <row r="208" spans="1:17" x14ac:dyDescent="0.25">
      <c r="A208" s="12">
        <f t="shared" si="3"/>
        <v>207</v>
      </c>
      <c r="B208" s="12">
        <v>1.0740099999999999</v>
      </c>
      <c r="C208" s="12">
        <v>2.01129E-2</v>
      </c>
      <c r="D208" s="12">
        <v>0.82342599999999999</v>
      </c>
      <c r="E208" s="12">
        <v>10.1629480532357</v>
      </c>
      <c r="F208" s="12">
        <v>56.25</v>
      </c>
      <c r="G208" s="12">
        <v>280.47715032764103</v>
      </c>
      <c r="H208" s="12" t="s">
        <v>0</v>
      </c>
      <c r="I208" s="12">
        <v>1.1592</v>
      </c>
      <c r="J208" s="12">
        <v>110.05645</v>
      </c>
      <c r="K208" s="12">
        <v>495.82134000000002</v>
      </c>
      <c r="L208" s="12" t="s">
        <v>1</v>
      </c>
      <c r="M208" s="12" t="s">
        <v>0</v>
      </c>
      <c r="N208" s="12">
        <v>13.1879378998399</v>
      </c>
      <c r="O208" s="12">
        <v>15.5</v>
      </c>
      <c r="P208" s="12">
        <v>1187.18</v>
      </c>
      <c r="Q208" s="12" t="s">
        <v>1</v>
      </c>
    </row>
    <row r="209" spans="1:17" x14ac:dyDescent="0.25">
      <c r="A209" s="12">
        <f t="shared" si="3"/>
        <v>208</v>
      </c>
      <c r="B209" s="12">
        <v>1.0877399999999999</v>
      </c>
      <c r="C209" s="12">
        <v>9.3025099999999999E-3</v>
      </c>
      <c r="D209" s="12">
        <v>0.71128499999999995</v>
      </c>
      <c r="E209" s="12">
        <v>6.4528172048608603</v>
      </c>
      <c r="F209" s="12">
        <v>56.25</v>
      </c>
      <c r="G209" s="12">
        <v>269.90078837755601</v>
      </c>
      <c r="H209" s="12" t="s">
        <v>0</v>
      </c>
      <c r="I209" s="12">
        <v>1.1701900000000001</v>
      </c>
      <c r="J209" s="12">
        <v>104.65125500000001</v>
      </c>
      <c r="K209" s="12">
        <v>429.65814999999998</v>
      </c>
      <c r="L209" s="12" t="s">
        <v>1</v>
      </c>
      <c r="M209" s="12" t="s">
        <v>0</v>
      </c>
      <c r="N209" s="12">
        <v>12.540239595955599</v>
      </c>
      <c r="O209" s="12">
        <v>15.5</v>
      </c>
      <c r="P209" s="12">
        <v>1303.54</v>
      </c>
      <c r="Q209" s="12" t="s">
        <v>1</v>
      </c>
    </row>
    <row r="210" spans="1:17" x14ac:dyDescent="0.25">
      <c r="A210" s="12">
        <f t="shared" si="3"/>
        <v>209</v>
      </c>
      <c r="B210" s="12">
        <v>0.88761199999999996</v>
      </c>
      <c r="C210" s="12">
        <v>0.73342399999999996</v>
      </c>
      <c r="D210" s="12">
        <v>1.0240899999999999</v>
      </c>
      <c r="E210" s="12">
        <v>2109.15729103067</v>
      </c>
      <c r="F210" s="12">
        <v>36</v>
      </c>
      <c r="G210" s="12">
        <v>8.2471250891349199E-2</v>
      </c>
      <c r="H210" s="12" t="s">
        <v>0</v>
      </c>
      <c r="I210" s="12">
        <v>1.010089</v>
      </c>
      <c r="J210" s="12">
        <v>466.71199999999999</v>
      </c>
      <c r="K210" s="12">
        <v>614.21310000000005</v>
      </c>
      <c r="L210" s="12" t="s">
        <v>1</v>
      </c>
      <c r="M210" s="12" t="s">
        <v>0</v>
      </c>
      <c r="N210" s="12">
        <v>55.9255625009718</v>
      </c>
      <c r="O210" s="12">
        <v>14</v>
      </c>
      <c r="P210" s="12">
        <v>7404.82</v>
      </c>
      <c r="Q210" s="12" t="s">
        <v>1</v>
      </c>
    </row>
    <row r="211" spans="1:17" x14ac:dyDescent="0.25">
      <c r="A211" s="12">
        <f t="shared" si="3"/>
        <v>210</v>
      </c>
      <c r="B211" s="12">
        <v>0.25855600000000001</v>
      </c>
      <c r="C211" s="12">
        <v>-7.2868299999999997E-2</v>
      </c>
      <c r="D211" s="12">
        <v>0.38355</v>
      </c>
      <c r="E211" s="12">
        <v>5.6785806209467102</v>
      </c>
      <c r="F211" s="12">
        <v>169</v>
      </c>
      <c r="G211" s="12">
        <v>243.183089697128</v>
      </c>
      <c r="H211" s="12" t="s">
        <v>0</v>
      </c>
      <c r="I211" s="12">
        <v>0.50684399999999996</v>
      </c>
      <c r="J211" s="12">
        <v>63.565849999999998</v>
      </c>
      <c r="K211" s="12">
        <v>236.2945</v>
      </c>
      <c r="L211" s="12" t="s">
        <v>1</v>
      </c>
      <c r="M211" s="12" t="s">
        <v>0</v>
      </c>
      <c r="N211" s="12">
        <v>7.6170227401532502</v>
      </c>
      <c r="O211" s="12">
        <v>21</v>
      </c>
      <c r="P211" s="12">
        <v>1608.07</v>
      </c>
      <c r="Q211" s="12" t="s">
        <v>1</v>
      </c>
    </row>
    <row r="212" spans="1:17" x14ac:dyDescent="0.25">
      <c r="A212" s="12">
        <f t="shared" si="3"/>
        <v>211</v>
      </c>
      <c r="B212" s="12">
        <v>0.43085400000000001</v>
      </c>
      <c r="C212" s="12">
        <v>-4.8293199999999998E-3</v>
      </c>
      <c r="D212" s="12">
        <v>0.39100299999999999</v>
      </c>
      <c r="E212" s="12">
        <v>2.86807476240176</v>
      </c>
      <c r="F212" s="12">
        <v>132.25</v>
      </c>
      <c r="G212" s="12">
        <v>135.69122235015899</v>
      </c>
      <c r="H212" s="12" t="s">
        <v>0</v>
      </c>
      <c r="I212" s="12">
        <v>0.64468300000000001</v>
      </c>
      <c r="J212" s="12">
        <v>97.585340000000002</v>
      </c>
      <c r="K212" s="12">
        <v>240.69176999999999</v>
      </c>
      <c r="L212" s="12" t="s">
        <v>1</v>
      </c>
      <c r="M212" s="12" t="s">
        <v>0</v>
      </c>
      <c r="N212" s="12">
        <v>11.693539123375</v>
      </c>
      <c r="O212" s="12">
        <v>19.5</v>
      </c>
      <c r="P212" s="12">
        <v>3048.24</v>
      </c>
      <c r="Q212" s="12" t="s">
        <v>1</v>
      </c>
    </row>
    <row r="213" spans="1:17" x14ac:dyDescent="0.25">
      <c r="A213" s="12">
        <f t="shared" si="3"/>
        <v>212</v>
      </c>
      <c r="B213" s="12">
        <v>0.96047899999999997</v>
      </c>
      <c r="C213" s="12">
        <v>0.33862900000000001</v>
      </c>
      <c r="D213" s="12">
        <v>0.616977</v>
      </c>
      <c r="E213" s="12">
        <v>496.026258899982</v>
      </c>
      <c r="F213" s="12">
        <v>30.25</v>
      </c>
      <c r="G213" s="12">
        <v>1.1648027389754101</v>
      </c>
      <c r="H213" s="12" t="s">
        <v>0</v>
      </c>
      <c r="I213" s="12">
        <v>1.0683830000000001</v>
      </c>
      <c r="J213" s="12">
        <v>269.31450000000001</v>
      </c>
      <c r="K213" s="12">
        <v>374.01643000000001</v>
      </c>
      <c r="L213" s="12" t="s">
        <v>1</v>
      </c>
      <c r="M213" s="12" t="s">
        <v>0</v>
      </c>
      <c r="N213" s="12">
        <v>32.271646973225401</v>
      </c>
      <c r="O213" s="12">
        <v>13.5</v>
      </c>
      <c r="P213" s="12">
        <v>6906.07</v>
      </c>
      <c r="Q213" s="12" t="s">
        <v>1</v>
      </c>
    </row>
    <row r="214" spans="1:17" x14ac:dyDescent="0.25">
      <c r="A214" s="12">
        <f t="shared" si="3"/>
        <v>213</v>
      </c>
      <c r="B214" s="12">
        <v>0.86333099999999996</v>
      </c>
      <c r="C214" s="12">
        <v>0.35976399999999997</v>
      </c>
      <c r="D214" s="12">
        <v>0.61214400000000002</v>
      </c>
      <c r="E214" s="12">
        <v>554.03454183818201</v>
      </c>
      <c r="F214" s="12">
        <v>49</v>
      </c>
      <c r="G214" s="12">
        <v>22.7829674610621</v>
      </c>
      <c r="H214" s="12" t="s">
        <v>0</v>
      </c>
      <c r="I214" s="12">
        <v>0.99066399999999999</v>
      </c>
      <c r="J214" s="12">
        <v>279.88200000000001</v>
      </c>
      <c r="K214" s="12">
        <v>371.16496000000001</v>
      </c>
      <c r="L214" s="12" t="s">
        <v>1</v>
      </c>
      <c r="M214" s="12" t="s">
        <v>0</v>
      </c>
      <c r="N214" s="12">
        <v>33.537938351482303</v>
      </c>
      <c r="O214" s="12">
        <v>15</v>
      </c>
      <c r="P214" s="12">
        <v>5557.8</v>
      </c>
      <c r="Q214" s="12" t="s">
        <v>1</v>
      </c>
    </row>
    <row r="215" spans="1:17" x14ac:dyDescent="0.25">
      <c r="A215" s="12">
        <f t="shared" si="3"/>
        <v>214</v>
      </c>
      <c r="B215" s="12">
        <v>9.8126400000000003E-2</v>
      </c>
      <c r="C215" s="12">
        <v>-0.124975</v>
      </c>
      <c r="D215" s="12">
        <v>0.13867399999999999</v>
      </c>
      <c r="E215" s="12">
        <v>30.304146887247001</v>
      </c>
      <c r="F215" s="12">
        <v>210.25</v>
      </c>
      <c r="G215" s="12">
        <v>225.99067713717301</v>
      </c>
      <c r="H215" s="12" t="s">
        <v>0</v>
      </c>
      <c r="I215" s="12">
        <v>0.37850109999999998</v>
      </c>
      <c r="J215" s="12">
        <v>37.512500000000003</v>
      </c>
      <c r="K215" s="12">
        <v>91.817660000000004</v>
      </c>
      <c r="L215" s="12" t="s">
        <v>1</v>
      </c>
      <c r="M215" s="12" t="s">
        <v>0</v>
      </c>
      <c r="N215" s="12">
        <v>4.4950797565044498</v>
      </c>
      <c r="O215" s="12">
        <v>22.5</v>
      </c>
      <c r="P215" s="12">
        <v>1812.96</v>
      </c>
      <c r="Q215" s="12" t="s">
        <v>1</v>
      </c>
    </row>
    <row r="216" spans="1:17" x14ac:dyDescent="0.25">
      <c r="A216" s="12">
        <f t="shared" si="3"/>
        <v>215</v>
      </c>
      <c r="B216" s="12">
        <v>1.0536799999999999</v>
      </c>
      <c r="C216" s="12">
        <v>0.67322099999999996</v>
      </c>
      <c r="D216" s="12">
        <v>0.75058199999999997</v>
      </c>
      <c r="E216" s="12">
        <v>1790.8583500350701</v>
      </c>
      <c r="F216" s="12">
        <v>25</v>
      </c>
      <c r="G216" s="12">
        <v>22.995834883843099</v>
      </c>
      <c r="H216" s="12" t="s">
        <v>0</v>
      </c>
      <c r="I216" s="12">
        <v>1.1429400000000001</v>
      </c>
      <c r="J216" s="12">
        <v>436.6105</v>
      </c>
      <c r="K216" s="12">
        <v>452.84338000000002</v>
      </c>
      <c r="L216" s="12" t="s">
        <v>1</v>
      </c>
      <c r="M216" s="12" t="s">
        <v>0</v>
      </c>
      <c r="N216" s="12">
        <v>52.318534355942397</v>
      </c>
      <c r="O216" s="12">
        <v>13</v>
      </c>
      <c r="P216" s="12">
        <v>9050.32</v>
      </c>
      <c r="Q216" s="12" t="s">
        <v>1</v>
      </c>
    </row>
    <row r="217" spans="1:17" x14ac:dyDescent="0.25">
      <c r="A217" s="12">
        <f t="shared" si="3"/>
        <v>216</v>
      </c>
      <c r="B217" s="12">
        <v>0.546543</v>
      </c>
      <c r="C217" s="12">
        <v>6.9502599999999998E-2</v>
      </c>
      <c r="D217" s="12">
        <v>0.31629400000000002</v>
      </c>
      <c r="E217" s="12">
        <v>37.786757145474802</v>
      </c>
      <c r="F217" s="12">
        <v>100</v>
      </c>
      <c r="G217" s="12">
        <v>38.421996629010998</v>
      </c>
      <c r="H217" s="12" t="s">
        <v>0</v>
      </c>
      <c r="I217" s="12">
        <v>0.73723399999999994</v>
      </c>
      <c r="J217" s="12">
        <v>134.75129999999999</v>
      </c>
      <c r="K217" s="12">
        <v>196.61346</v>
      </c>
      <c r="L217" s="12" t="s">
        <v>1</v>
      </c>
      <c r="M217" s="12" t="s">
        <v>0</v>
      </c>
      <c r="N217" s="12">
        <v>16.147093390007502</v>
      </c>
      <c r="O217" s="12">
        <v>18</v>
      </c>
      <c r="P217" s="12">
        <v>5037.53</v>
      </c>
      <c r="Q217" s="12" t="s">
        <v>1</v>
      </c>
    </row>
    <row r="218" spans="1:17" x14ac:dyDescent="0.25">
      <c r="A218" s="12">
        <f t="shared" si="3"/>
        <v>217</v>
      </c>
      <c r="B218" s="12">
        <v>0.45910299999999998</v>
      </c>
      <c r="C218" s="12">
        <v>4.5348699999999999E-2</v>
      </c>
      <c r="D218" s="12">
        <v>0.179395</v>
      </c>
      <c r="E218" s="12">
        <v>22.089307726237401</v>
      </c>
      <c r="F218" s="12">
        <v>110.25</v>
      </c>
      <c r="G218" s="12">
        <v>1.8310167761306E-2</v>
      </c>
      <c r="H218" s="12" t="s">
        <v>0</v>
      </c>
      <c r="I218" s="12">
        <v>0.66728200000000004</v>
      </c>
      <c r="J218" s="12">
        <v>122.67435</v>
      </c>
      <c r="K218" s="12">
        <v>115.84305000000001</v>
      </c>
      <c r="L218" s="12" t="s">
        <v>1</v>
      </c>
      <c r="M218" s="12" t="s">
        <v>0</v>
      </c>
      <c r="N218" s="12">
        <v>14.699926353278</v>
      </c>
      <c r="O218" s="12">
        <v>18.5</v>
      </c>
      <c r="P218" s="12">
        <v>7250.61</v>
      </c>
      <c r="Q218" s="12" t="s">
        <v>1</v>
      </c>
    </row>
    <row r="219" spans="1:17" x14ac:dyDescent="0.25">
      <c r="A219" s="12">
        <f t="shared" si="3"/>
        <v>218</v>
      </c>
      <c r="B219" s="12">
        <v>0.111077</v>
      </c>
      <c r="C219" s="12">
        <v>6.2909799999999998E-3</v>
      </c>
      <c r="D219" s="12">
        <v>0.166328</v>
      </c>
      <c r="E219" s="12">
        <v>5.56868202991076</v>
      </c>
      <c r="F219" s="12">
        <v>132.25</v>
      </c>
      <c r="G219" s="12">
        <v>62.514800123100002</v>
      </c>
      <c r="H219" s="12" t="s">
        <v>0</v>
      </c>
      <c r="I219" s="12">
        <v>0.38886100000000001</v>
      </c>
      <c r="J219" s="12">
        <v>103.14549</v>
      </c>
      <c r="K219" s="12">
        <v>108.13352</v>
      </c>
      <c r="L219" s="12" t="s">
        <v>1</v>
      </c>
      <c r="M219" s="12" t="s">
        <v>0</v>
      </c>
      <c r="N219" s="12">
        <v>12.359805506797199</v>
      </c>
      <c r="O219" s="12">
        <v>19.5</v>
      </c>
      <c r="P219" s="12">
        <v>4414.08</v>
      </c>
      <c r="Q219" s="12" t="s">
        <v>1</v>
      </c>
    </row>
    <row r="220" spans="1:17" x14ac:dyDescent="0.25">
      <c r="A220" s="12">
        <f t="shared" si="3"/>
        <v>219</v>
      </c>
      <c r="B220" s="12">
        <v>0.97565199999999996</v>
      </c>
      <c r="C220" s="12">
        <v>4.40382E-2</v>
      </c>
      <c r="D220" s="12">
        <v>0.80856499999999998</v>
      </c>
      <c r="E220" s="12">
        <v>21.357416514174901</v>
      </c>
      <c r="F220" s="12">
        <v>56.25</v>
      </c>
      <c r="G220" s="12">
        <v>238.89217053931301</v>
      </c>
      <c r="H220" s="12" t="s">
        <v>0</v>
      </c>
      <c r="I220" s="12">
        <v>1.0805210000000001</v>
      </c>
      <c r="J220" s="12">
        <v>122.01909999999999</v>
      </c>
      <c r="K220" s="12">
        <v>487.05335000000002</v>
      </c>
      <c r="L220" s="12" t="s">
        <v>1</v>
      </c>
      <c r="M220" s="12" t="s">
        <v>0</v>
      </c>
      <c r="N220" s="12">
        <v>14.6214084989508</v>
      </c>
      <c r="O220" s="12">
        <v>15.5</v>
      </c>
      <c r="P220" s="12">
        <v>1658.51</v>
      </c>
      <c r="Q220" s="12" t="s">
        <v>1</v>
      </c>
    </row>
    <row r="221" spans="1:17" x14ac:dyDescent="0.25">
      <c r="A221" s="12">
        <f t="shared" si="3"/>
        <v>220</v>
      </c>
      <c r="B221" s="12">
        <v>0.94250599999999995</v>
      </c>
      <c r="C221" s="12">
        <v>2.16394E-2</v>
      </c>
      <c r="D221" s="12">
        <v>0.76291200000000003</v>
      </c>
      <c r="E221" s="12">
        <v>10.7544464546621</v>
      </c>
      <c r="F221" s="12">
        <v>72.25</v>
      </c>
      <c r="G221" s="12">
        <v>266.41752200863198</v>
      </c>
      <c r="H221" s="12" t="s">
        <v>0</v>
      </c>
      <c r="I221" s="12">
        <v>1.0540039999999999</v>
      </c>
      <c r="J221" s="12">
        <v>110.8197</v>
      </c>
      <c r="K221" s="12">
        <v>460.11808000000002</v>
      </c>
      <c r="L221" s="12" t="s">
        <v>1</v>
      </c>
      <c r="M221" s="12" t="s">
        <v>0</v>
      </c>
      <c r="N221" s="12">
        <v>13.2793972700272</v>
      </c>
      <c r="O221" s="12">
        <v>16.5</v>
      </c>
      <c r="P221" s="12">
        <v>1342.36</v>
      </c>
      <c r="Q221" s="12" t="s">
        <v>1</v>
      </c>
    </row>
    <row r="222" spans="1:17" x14ac:dyDescent="0.25">
      <c r="A222" s="12">
        <f t="shared" si="3"/>
        <v>221</v>
      </c>
      <c r="B222" s="12">
        <v>1.0084599999999999</v>
      </c>
      <c r="C222" s="12">
        <v>0.202768</v>
      </c>
      <c r="D222" s="12">
        <v>0.96735199999999999</v>
      </c>
      <c r="E222" s="12">
        <v>199.702492778801</v>
      </c>
      <c r="F222" s="12">
        <v>36</v>
      </c>
      <c r="G222" s="12">
        <v>154.87563829686599</v>
      </c>
      <c r="H222" s="12" t="s">
        <v>0</v>
      </c>
      <c r="I222" s="12">
        <v>1.10676</v>
      </c>
      <c r="J222" s="12">
        <v>201.38399999999999</v>
      </c>
      <c r="K222" s="12">
        <v>580.73767999999995</v>
      </c>
      <c r="L222" s="12" t="s">
        <v>1</v>
      </c>
      <c r="M222" s="12" t="s">
        <v>0</v>
      </c>
      <c r="N222" s="12">
        <v>24.131613240490299</v>
      </c>
      <c r="O222" s="12">
        <v>14</v>
      </c>
      <c r="P222" s="12">
        <v>2757.61</v>
      </c>
      <c r="Q222" s="12" t="s">
        <v>1</v>
      </c>
    </row>
    <row r="223" spans="1:17" x14ac:dyDescent="0.25">
      <c r="A223" s="12">
        <f t="shared" si="3"/>
        <v>222</v>
      </c>
      <c r="B223" s="12">
        <v>0.220696</v>
      </c>
      <c r="C223" s="12">
        <v>4.7962999999999999E-2</v>
      </c>
      <c r="D223" s="12">
        <v>0.40377299999999999</v>
      </c>
      <c r="E223" s="12">
        <v>23.586181204181401</v>
      </c>
      <c r="F223" s="12">
        <v>110.25</v>
      </c>
      <c r="G223" s="12">
        <v>117.63749891086501</v>
      </c>
      <c r="H223" s="12" t="s">
        <v>0</v>
      </c>
      <c r="I223" s="12">
        <v>0.47655599999999998</v>
      </c>
      <c r="J223" s="12">
        <v>123.9815</v>
      </c>
      <c r="K223" s="12">
        <v>248.22606999999999</v>
      </c>
      <c r="L223" s="12" t="s">
        <v>1</v>
      </c>
      <c r="M223" s="12" t="s">
        <v>0</v>
      </c>
      <c r="N223" s="12">
        <v>14.856560635283101</v>
      </c>
      <c r="O223" s="12">
        <v>18.5</v>
      </c>
      <c r="P223" s="12">
        <v>3341.18</v>
      </c>
      <c r="Q223" s="12" t="s">
        <v>1</v>
      </c>
    </row>
    <row r="224" spans="1:17" x14ac:dyDescent="0.25">
      <c r="A224" s="12">
        <f t="shared" si="3"/>
        <v>223</v>
      </c>
      <c r="B224" s="12">
        <v>0.79827599999999999</v>
      </c>
      <c r="C224" s="12">
        <v>0.17066100000000001</v>
      </c>
      <c r="D224" s="12">
        <v>0.40210099999999999</v>
      </c>
      <c r="E224" s="12">
        <v>149.03381828526599</v>
      </c>
      <c r="F224" s="12">
        <v>56.25</v>
      </c>
      <c r="G224" s="12">
        <v>21.643653116156798</v>
      </c>
      <c r="H224" s="12" t="s">
        <v>0</v>
      </c>
      <c r="I224" s="12">
        <v>0.93862000000000001</v>
      </c>
      <c r="J224" s="12">
        <v>185.3305</v>
      </c>
      <c r="K224" s="12">
        <v>247.23958999999999</v>
      </c>
      <c r="L224" s="12" t="s">
        <v>1</v>
      </c>
      <c r="M224" s="12" t="s">
        <v>0</v>
      </c>
      <c r="N224" s="12">
        <v>22.207940788079899</v>
      </c>
      <c r="O224" s="12">
        <v>15.5</v>
      </c>
      <c r="P224" s="12">
        <v>5601.92</v>
      </c>
      <c r="Q224" s="12" t="s">
        <v>1</v>
      </c>
    </row>
    <row r="225" spans="1:17" x14ac:dyDescent="0.25">
      <c r="A225" s="12">
        <f t="shared" si="3"/>
        <v>224</v>
      </c>
      <c r="B225" s="12">
        <v>0.57802500000000001</v>
      </c>
      <c r="C225" s="12">
        <v>0.12310500000000001</v>
      </c>
      <c r="D225" s="12">
        <v>0.192385</v>
      </c>
      <c r="E225" s="12">
        <v>87.584336926559999</v>
      </c>
      <c r="F225" s="12">
        <v>72.25</v>
      </c>
      <c r="G225" s="12">
        <v>81.890103208857099</v>
      </c>
      <c r="H225" s="12" t="s">
        <v>0</v>
      </c>
      <c r="I225" s="12">
        <v>0.76241999999999999</v>
      </c>
      <c r="J225" s="12">
        <v>161.55250000000001</v>
      </c>
      <c r="K225" s="12">
        <v>123.50715</v>
      </c>
      <c r="L225" s="12" t="s">
        <v>1</v>
      </c>
      <c r="M225" s="12" t="s">
        <v>0</v>
      </c>
      <c r="N225" s="12">
        <v>19.3586503795451</v>
      </c>
      <c r="O225" s="12">
        <v>16.5</v>
      </c>
      <c r="P225" s="12">
        <v>10603</v>
      </c>
      <c r="Q225" s="12" t="s">
        <v>1</v>
      </c>
    </row>
    <row r="226" spans="1:17" x14ac:dyDescent="0.25">
      <c r="A226" s="12">
        <f t="shared" si="3"/>
        <v>225</v>
      </c>
      <c r="B226" s="12">
        <v>1.1411</v>
      </c>
      <c r="C226" s="12">
        <v>-1.55383E-2</v>
      </c>
      <c r="D226" s="12">
        <v>0.69167599999999996</v>
      </c>
      <c r="E226" s="12">
        <v>1.1065288307496299</v>
      </c>
      <c r="F226" s="12">
        <v>72.25</v>
      </c>
      <c r="G226" s="12">
        <v>292.662103629949</v>
      </c>
      <c r="H226" s="12" t="s">
        <v>0</v>
      </c>
      <c r="I226" s="12">
        <v>1.2128000000000001</v>
      </c>
      <c r="J226" s="12">
        <v>92.230850000000004</v>
      </c>
      <c r="K226" s="12">
        <v>418.08884</v>
      </c>
      <c r="L226" s="12" t="s">
        <v>1</v>
      </c>
      <c r="M226" s="12" t="s">
        <v>0</v>
      </c>
      <c r="N226" s="12">
        <v>11.051916741358101</v>
      </c>
      <c r="O226" s="12">
        <v>16.5</v>
      </c>
      <c r="P226" s="12">
        <v>1055.81</v>
      </c>
      <c r="Q226" s="12" t="s">
        <v>1</v>
      </c>
    </row>
    <row r="227" spans="1:17" x14ac:dyDescent="0.25">
      <c r="A227" s="12">
        <f t="shared" si="3"/>
        <v>226</v>
      </c>
      <c r="B227" s="12">
        <v>1.0630900000000001</v>
      </c>
      <c r="C227" s="12">
        <v>4.6708399999999997E-2</v>
      </c>
      <c r="D227" s="12">
        <v>0.67351499999999997</v>
      </c>
      <c r="E227" s="12">
        <v>22.861709432121302</v>
      </c>
      <c r="F227" s="12">
        <v>49</v>
      </c>
      <c r="G227" s="12">
        <v>218.21036515368701</v>
      </c>
      <c r="H227" s="12" t="s">
        <v>0</v>
      </c>
      <c r="I227" s="12">
        <v>1.1504700000000001</v>
      </c>
      <c r="J227" s="12">
        <v>123.35420000000001</v>
      </c>
      <c r="K227" s="12">
        <v>407.37385</v>
      </c>
      <c r="L227" s="12" t="s">
        <v>1</v>
      </c>
      <c r="M227" s="12" t="s">
        <v>0</v>
      </c>
      <c r="N227" s="12">
        <v>14.7813919973289</v>
      </c>
      <c r="O227" s="12">
        <v>15</v>
      </c>
      <c r="P227" s="12">
        <v>1908.24</v>
      </c>
      <c r="Q227" s="12" t="s">
        <v>1</v>
      </c>
    </row>
    <row r="228" spans="1:17" x14ac:dyDescent="0.25">
      <c r="A228" s="12">
        <f t="shared" si="3"/>
        <v>227</v>
      </c>
      <c r="B228" s="12">
        <v>0.97894800000000004</v>
      </c>
      <c r="C228" s="12">
        <v>0.142073</v>
      </c>
      <c r="D228" s="12">
        <v>0.71211800000000003</v>
      </c>
      <c r="E228" s="12">
        <v>110.147275102211</v>
      </c>
      <c r="F228" s="12">
        <v>42.25</v>
      </c>
      <c r="G228" s="12">
        <v>127.509264</v>
      </c>
      <c r="H228" s="12" t="s">
        <v>0</v>
      </c>
      <c r="I228" s="12">
        <v>1.0831580000000001</v>
      </c>
      <c r="J228" s="12">
        <v>171.03649999999999</v>
      </c>
      <c r="K228" s="12">
        <v>430.14962000000003</v>
      </c>
      <c r="L228" s="12" t="s">
        <v>1</v>
      </c>
      <c r="M228" s="12" t="s">
        <v>0</v>
      </c>
      <c r="N228" s="12">
        <v>20.495107198223899</v>
      </c>
      <c r="O228" s="12">
        <v>14.5</v>
      </c>
      <c r="P228" s="12">
        <v>3178.42</v>
      </c>
      <c r="Q228" s="12" t="s">
        <v>1</v>
      </c>
    </row>
    <row r="229" spans="1:17" x14ac:dyDescent="0.25">
      <c r="A229" s="12">
        <f t="shared" si="3"/>
        <v>228</v>
      </c>
      <c r="B229" s="12">
        <v>1.10605</v>
      </c>
      <c r="C229" s="12">
        <v>-3.3594499999999999E-2</v>
      </c>
      <c r="D229" s="12">
        <v>0.65525299999999997</v>
      </c>
      <c r="E229" s="12">
        <v>8.9461434233851697E-4</v>
      </c>
      <c r="F229" s="12">
        <v>72.25</v>
      </c>
      <c r="G229" s="12">
        <v>298.308450476779</v>
      </c>
      <c r="H229" s="12" t="s">
        <v>0</v>
      </c>
      <c r="I229" s="12">
        <v>1.1848399999999999</v>
      </c>
      <c r="J229" s="12">
        <v>83.202749999999995</v>
      </c>
      <c r="K229" s="12">
        <v>396.59926999999999</v>
      </c>
      <c r="L229" s="12" t="s">
        <v>1</v>
      </c>
      <c r="M229" s="12" t="s">
        <v>0</v>
      </c>
      <c r="N229" s="12">
        <v>9.9700898956481492</v>
      </c>
      <c r="O229" s="12">
        <v>16.5</v>
      </c>
      <c r="P229" s="12">
        <v>995.86300000000006</v>
      </c>
      <c r="Q229" s="12" t="s">
        <v>1</v>
      </c>
    </row>
    <row r="230" spans="1:17" x14ac:dyDescent="0.25">
      <c r="A230" s="12">
        <f t="shared" si="3"/>
        <v>229</v>
      </c>
      <c r="B230" s="12">
        <v>0.96818199999999999</v>
      </c>
      <c r="C230" s="12">
        <v>6.3096899999999997E-2</v>
      </c>
      <c r="D230" s="12">
        <v>0.72128800000000004</v>
      </c>
      <c r="E230" s="12">
        <v>33.215621772216998</v>
      </c>
      <c r="F230" s="12">
        <v>56.25</v>
      </c>
      <c r="G230" s="12">
        <v>213.77884851116499</v>
      </c>
      <c r="H230" s="12" t="s">
        <v>0</v>
      </c>
      <c r="I230" s="12">
        <v>1.0745450000000001</v>
      </c>
      <c r="J230" s="12">
        <v>131.54845</v>
      </c>
      <c r="K230" s="12">
        <v>435.55991999999998</v>
      </c>
      <c r="L230" s="12" t="s">
        <v>1</v>
      </c>
      <c r="M230" s="12" t="s">
        <v>0</v>
      </c>
      <c r="N230" s="12">
        <v>15.7632995560023</v>
      </c>
      <c r="O230" s="12">
        <v>15.5</v>
      </c>
      <c r="P230" s="12">
        <v>1963.27</v>
      </c>
      <c r="Q230" s="12" t="s">
        <v>1</v>
      </c>
    </row>
    <row r="231" spans="1:17" x14ac:dyDescent="0.25">
      <c r="A231" s="12">
        <f t="shared" si="3"/>
        <v>230</v>
      </c>
      <c r="B231" s="12">
        <v>0.76711300000000004</v>
      </c>
      <c r="C231" s="12">
        <v>0.17758099999999999</v>
      </c>
      <c r="D231" s="12">
        <v>0.62473299999999998</v>
      </c>
      <c r="E231" s="12">
        <v>159.32873343720399</v>
      </c>
      <c r="F231" s="12">
        <v>56.25</v>
      </c>
      <c r="G231" s="12">
        <v>81.730516407581106</v>
      </c>
      <c r="H231" s="12" t="s">
        <v>0</v>
      </c>
      <c r="I231" s="12">
        <v>0.91369</v>
      </c>
      <c r="J231" s="12">
        <v>188.79050000000001</v>
      </c>
      <c r="K231" s="12">
        <v>378.59246999999999</v>
      </c>
      <c r="L231" s="12" t="s">
        <v>1</v>
      </c>
      <c r="M231" s="12" t="s">
        <v>0</v>
      </c>
      <c r="N231" s="12">
        <v>22.622548611005701</v>
      </c>
      <c r="O231" s="12">
        <v>15.5</v>
      </c>
      <c r="P231" s="12">
        <v>4000.22</v>
      </c>
      <c r="Q231" s="12" t="s">
        <v>1</v>
      </c>
    </row>
    <row r="232" spans="1:17" x14ac:dyDescent="0.25">
      <c r="A232" s="12">
        <f t="shared" si="3"/>
        <v>231</v>
      </c>
      <c r="B232" s="12">
        <v>0.96762599999999999</v>
      </c>
      <c r="C232" s="12">
        <v>0.34222799999999998</v>
      </c>
      <c r="D232" s="12">
        <v>0.60865999999999998</v>
      </c>
      <c r="E232" s="12">
        <v>505.677716365192</v>
      </c>
      <c r="F232" s="12">
        <v>30.25</v>
      </c>
      <c r="G232" s="12">
        <v>0.52803117207731198</v>
      </c>
      <c r="H232" s="12" t="s">
        <v>0</v>
      </c>
      <c r="I232" s="12">
        <v>1.0741000000000001</v>
      </c>
      <c r="J232" s="12">
        <v>271.11399999999998</v>
      </c>
      <c r="K232" s="12">
        <v>369.10939999999999</v>
      </c>
      <c r="L232" s="12" t="s">
        <v>1</v>
      </c>
      <c r="M232" s="12" t="s">
        <v>0</v>
      </c>
      <c r="N232" s="12">
        <v>32.487278989802</v>
      </c>
      <c r="O232" s="12">
        <v>13.5</v>
      </c>
      <c r="P232" s="12">
        <v>7034.77</v>
      </c>
      <c r="Q232" s="12" t="s">
        <v>1</v>
      </c>
    </row>
    <row r="233" spans="1:17" x14ac:dyDescent="0.25">
      <c r="A233" s="12">
        <f t="shared" si="3"/>
        <v>232</v>
      </c>
      <c r="B233" s="12">
        <v>0.82663200000000003</v>
      </c>
      <c r="C233" s="12">
        <v>0.30644199999999999</v>
      </c>
      <c r="D233" s="12">
        <v>0.633772</v>
      </c>
      <c r="E233" s="12">
        <v>413.84502812222598</v>
      </c>
      <c r="F233" s="12">
        <v>42.25</v>
      </c>
      <c r="G233" s="12">
        <v>6.8161049720397804</v>
      </c>
      <c r="H233" s="12" t="s">
        <v>0</v>
      </c>
      <c r="I233" s="12">
        <v>0.96130499999999997</v>
      </c>
      <c r="J233" s="12">
        <v>253.221</v>
      </c>
      <c r="K233" s="12">
        <v>383.92547999999999</v>
      </c>
      <c r="L233" s="12" t="s">
        <v>1</v>
      </c>
      <c r="M233" s="12" t="s">
        <v>0</v>
      </c>
      <c r="N233" s="12">
        <v>30.343181366792798</v>
      </c>
      <c r="O233" s="12">
        <v>14.5</v>
      </c>
      <c r="P233" s="12">
        <v>6347.07</v>
      </c>
      <c r="Q233" s="12" t="s">
        <v>1</v>
      </c>
    </row>
    <row r="234" spans="1:17" x14ac:dyDescent="0.25">
      <c r="A234" s="12">
        <f t="shared" si="3"/>
        <v>233</v>
      </c>
      <c r="B234" s="12">
        <v>1.0746599999999999</v>
      </c>
      <c r="C234" s="12">
        <v>0.68398400000000004</v>
      </c>
      <c r="D234" s="12">
        <v>0.86385400000000001</v>
      </c>
      <c r="E234" s="12">
        <v>1845.85316515766</v>
      </c>
      <c r="F234" s="12">
        <v>25</v>
      </c>
      <c r="G234" s="12">
        <v>5.4269851003940701</v>
      </c>
      <c r="H234" s="12" t="s">
        <v>0</v>
      </c>
      <c r="I234" s="12">
        <v>1.1597200000000001</v>
      </c>
      <c r="J234" s="12">
        <v>441.99200000000002</v>
      </c>
      <c r="K234" s="12">
        <v>519.67385999999999</v>
      </c>
      <c r="L234" s="12" t="s">
        <v>1</v>
      </c>
      <c r="M234" s="12" t="s">
        <v>0</v>
      </c>
      <c r="N234" s="12">
        <v>52.963393315212699</v>
      </c>
      <c r="O234" s="12">
        <v>13</v>
      </c>
      <c r="P234" s="12">
        <v>8150.3</v>
      </c>
      <c r="Q234" s="12" t="s">
        <v>1</v>
      </c>
    </row>
    <row r="235" spans="1:17" x14ac:dyDescent="0.25">
      <c r="A235" s="12">
        <f t="shared" si="3"/>
        <v>234</v>
      </c>
      <c r="B235" s="12">
        <v>0.50395500000000004</v>
      </c>
      <c r="C235" s="12">
        <v>-6.3686100000000002E-3</v>
      </c>
      <c r="D235" s="12">
        <v>0.17597099999999999</v>
      </c>
      <c r="E235" s="12">
        <v>2.5642047577475999</v>
      </c>
      <c r="F235" s="12">
        <v>132.25</v>
      </c>
      <c r="G235" s="12">
        <v>25.046597035091001</v>
      </c>
      <c r="H235" s="12" t="s">
        <v>0</v>
      </c>
      <c r="I235" s="12">
        <v>0.70316400000000001</v>
      </c>
      <c r="J235" s="12">
        <v>96.815695000000005</v>
      </c>
      <c r="K235" s="12">
        <v>113.82289</v>
      </c>
      <c r="L235" s="12" t="s">
        <v>1</v>
      </c>
      <c r="M235" s="12" t="s">
        <v>0</v>
      </c>
      <c r="N235" s="12">
        <v>11.6013134476883</v>
      </c>
      <c r="O235" s="12">
        <v>19.5</v>
      </c>
      <c r="P235" s="12">
        <v>5473.3</v>
      </c>
      <c r="Q235" s="12" t="s">
        <v>1</v>
      </c>
    </row>
    <row r="236" spans="1:17" x14ac:dyDescent="0.25">
      <c r="A236" s="12">
        <f t="shared" si="3"/>
        <v>235</v>
      </c>
      <c r="B236" s="12">
        <v>1.0074000000000001</v>
      </c>
      <c r="C236" s="12">
        <v>4.3170100000000003E-2</v>
      </c>
      <c r="D236" s="12">
        <v>0.79869900000000005</v>
      </c>
      <c r="E236" s="12">
        <v>20.879386991258599</v>
      </c>
      <c r="F236" s="12">
        <v>56.25</v>
      </c>
      <c r="G236" s="12">
        <v>240.882305900544</v>
      </c>
      <c r="H236" s="12" t="s">
        <v>0</v>
      </c>
      <c r="I236" s="12">
        <v>1.1059000000000001</v>
      </c>
      <c r="J236" s="12">
        <v>121.58505</v>
      </c>
      <c r="K236" s="12">
        <v>481.23241000000002</v>
      </c>
      <c r="L236" s="12" t="s">
        <v>1</v>
      </c>
      <c r="M236" s="12" t="s">
        <v>0</v>
      </c>
      <c r="N236" s="12">
        <v>14.569396786366701</v>
      </c>
      <c r="O236" s="12">
        <v>15.5</v>
      </c>
      <c r="P236" s="12">
        <v>1635.06</v>
      </c>
      <c r="Q236" s="12" t="s">
        <v>1</v>
      </c>
    </row>
    <row r="237" spans="1:17" x14ac:dyDescent="0.25">
      <c r="A237" s="12">
        <f t="shared" si="3"/>
        <v>236</v>
      </c>
      <c r="B237" s="12">
        <v>0.95801999999999998</v>
      </c>
      <c r="C237" s="12">
        <v>4.4227099999999998E-3</v>
      </c>
      <c r="D237" s="12">
        <v>0.76217599999999996</v>
      </c>
      <c r="E237" s="12">
        <v>5.0529158660506797</v>
      </c>
      <c r="F237" s="12">
        <v>72.25</v>
      </c>
      <c r="G237" s="12">
        <v>274.58124325689602</v>
      </c>
      <c r="H237" s="12" t="s">
        <v>0</v>
      </c>
      <c r="I237" s="12">
        <v>1.0664100000000001</v>
      </c>
      <c r="J237" s="12">
        <v>102.211355</v>
      </c>
      <c r="K237" s="12">
        <v>459.68383999999998</v>
      </c>
      <c r="L237" s="12" t="s">
        <v>1</v>
      </c>
      <c r="M237" s="12" t="s">
        <v>0</v>
      </c>
      <c r="N237" s="12">
        <v>12.2478691834825</v>
      </c>
      <c r="O237" s="12">
        <v>16.5</v>
      </c>
      <c r="P237" s="12">
        <v>1251.77</v>
      </c>
      <c r="Q237" s="12" t="s">
        <v>1</v>
      </c>
    </row>
    <row r="238" spans="1:17" x14ac:dyDescent="0.25">
      <c r="A238" s="12">
        <f t="shared" si="3"/>
        <v>237</v>
      </c>
      <c r="B238" s="12">
        <v>0.92241499999999998</v>
      </c>
      <c r="C238" s="12">
        <v>2.6560400000000001E-2</v>
      </c>
      <c r="D238" s="12">
        <v>0.78250299999999995</v>
      </c>
      <c r="E238" s="12">
        <v>12.7751641047319</v>
      </c>
      <c r="F238" s="12">
        <v>72.25</v>
      </c>
      <c r="G238" s="12">
        <v>264.85377682041599</v>
      </c>
      <c r="H238" s="12" t="s">
        <v>0</v>
      </c>
      <c r="I238" s="12">
        <v>1.0379320000000001</v>
      </c>
      <c r="J238" s="12">
        <v>113.28019999999999</v>
      </c>
      <c r="K238" s="12">
        <v>471.67676999999998</v>
      </c>
      <c r="L238" s="12" t="s">
        <v>1</v>
      </c>
      <c r="M238" s="12" t="s">
        <v>0</v>
      </c>
      <c r="N238" s="12">
        <v>13.5742361568217</v>
      </c>
      <c r="O238" s="12">
        <v>16.5</v>
      </c>
      <c r="P238" s="12">
        <v>1359.87</v>
      </c>
      <c r="Q238" s="12" t="s">
        <v>1</v>
      </c>
    </row>
    <row r="239" spans="1:17" x14ac:dyDescent="0.25">
      <c r="A239" s="12">
        <f t="shared" si="3"/>
        <v>238</v>
      </c>
      <c r="B239" s="12">
        <v>0.90339400000000003</v>
      </c>
      <c r="C239" s="12">
        <v>-5.2593000000000001E-2</v>
      </c>
      <c r="D239" s="12">
        <v>0.78073400000000004</v>
      </c>
      <c r="E239" s="12">
        <v>1.36467795292935</v>
      </c>
      <c r="F239" s="12">
        <v>121</v>
      </c>
      <c r="G239" s="12">
        <v>325.68273813113899</v>
      </c>
      <c r="H239" s="12" t="s">
        <v>0</v>
      </c>
      <c r="I239" s="12">
        <v>1.022715</v>
      </c>
      <c r="J239" s="12">
        <v>73.703500000000005</v>
      </c>
      <c r="K239" s="12">
        <v>470.63306</v>
      </c>
      <c r="L239" s="12" t="s">
        <v>1</v>
      </c>
      <c r="M239" s="12" t="s">
        <v>0</v>
      </c>
      <c r="N239" s="12">
        <v>8.8318056869983597</v>
      </c>
      <c r="O239" s="12">
        <v>19</v>
      </c>
      <c r="P239" s="12">
        <v>712.96100000000001</v>
      </c>
      <c r="Q239" s="12" t="s">
        <v>1</v>
      </c>
    </row>
    <row r="240" spans="1:17" x14ac:dyDescent="0.25">
      <c r="A240" s="12">
        <f t="shared" si="3"/>
        <v>239</v>
      </c>
      <c r="B240" s="12">
        <v>0.93536799999999998</v>
      </c>
      <c r="C240" s="12">
        <v>6.38262E-2</v>
      </c>
      <c r="D240" s="12">
        <v>0.79500700000000002</v>
      </c>
      <c r="E240" s="12">
        <v>33.721192629823399</v>
      </c>
      <c r="F240" s="12">
        <v>56.25</v>
      </c>
      <c r="G240" s="12">
        <v>229.18973576731</v>
      </c>
      <c r="H240" s="12" t="s">
        <v>0</v>
      </c>
      <c r="I240" s="12">
        <v>1.0482940000000001</v>
      </c>
      <c r="J240" s="12">
        <v>131.91309999999999</v>
      </c>
      <c r="K240" s="12">
        <v>479.05412999999999</v>
      </c>
      <c r="L240" s="12" t="s">
        <v>1</v>
      </c>
      <c r="M240" s="12" t="s">
        <v>0</v>
      </c>
      <c r="N240" s="12">
        <v>15.806995146357799</v>
      </c>
      <c r="O240" s="12">
        <v>15.5</v>
      </c>
      <c r="P240" s="12">
        <v>1774.26</v>
      </c>
      <c r="Q240" s="12" t="s">
        <v>1</v>
      </c>
    </row>
    <row r="241" spans="1:17" x14ac:dyDescent="0.25">
      <c r="A241" s="12">
        <f t="shared" si="3"/>
        <v>240</v>
      </c>
      <c r="B241" s="12">
        <v>1.0589299999999999</v>
      </c>
      <c r="C241" s="12">
        <v>0.104281</v>
      </c>
      <c r="D241" s="12">
        <v>0.87117999999999995</v>
      </c>
      <c r="E241" s="12">
        <v>67.746418253663407</v>
      </c>
      <c r="F241" s="12">
        <v>36</v>
      </c>
      <c r="G241" s="12">
        <v>187.12815807918901</v>
      </c>
      <c r="H241" s="12" t="s">
        <v>0</v>
      </c>
      <c r="I241" s="12">
        <v>1.14714</v>
      </c>
      <c r="J241" s="12">
        <v>152.1405</v>
      </c>
      <c r="K241" s="12">
        <v>523.99620000000004</v>
      </c>
      <c r="L241" s="12" t="s">
        <v>1</v>
      </c>
      <c r="M241" s="12" t="s">
        <v>0</v>
      </c>
      <c r="N241" s="12">
        <v>18.230821238106401</v>
      </c>
      <c r="O241" s="12">
        <v>14</v>
      </c>
      <c r="P241" s="12">
        <v>2306.9899999999998</v>
      </c>
      <c r="Q241" s="12" t="s">
        <v>1</v>
      </c>
    </row>
    <row r="242" spans="1:17" x14ac:dyDescent="0.25">
      <c r="A242" s="12">
        <f t="shared" si="3"/>
        <v>241</v>
      </c>
      <c r="B242" s="12">
        <v>0.22111500000000001</v>
      </c>
      <c r="C242" s="12">
        <v>-3.6354699999999997E-2</v>
      </c>
      <c r="D242" s="12">
        <v>0.42556699999999997</v>
      </c>
      <c r="E242" s="12">
        <v>3.8136583131339698E-2</v>
      </c>
      <c r="F242" s="12">
        <v>144</v>
      </c>
      <c r="G242" s="12">
        <v>222.41023501595001</v>
      </c>
      <c r="H242" s="12" t="s">
        <v>0</v>
      </c>
      <c r="I242" s="12">
        <v>0.47689199999999998</v>
      </c>
      <c r="J242" s="12">
        <v>81.822649999999996</v>
      </c>
      <c r="K242" s="12">
        <v>261.08452999999997</v>
      </c>
      <c r="L242" s="12" t="s">
        <v>1</v>
      </c>
      <c r="M242" s="12" t="s">
        <v>0</v>
      </c>
      <c r="N242" s="12">
        <v>9.8047140989949799</v>
      </c>
      <c r="O242" s="12">
        <v>20</v>
      </c>
      <c r="P242" s="12">
        <v>1856.6</v>
      </c>
      <c r="Q242" s="12" t="s">
        <v>1</v>
      </c>
    </row>
    <row r="243" spans="1:17" x14ac:dyDescent="0.25">
      <c r="A243" s="12">
        <f t="shared" si="3"/>
        <v>242</v>
      </c>
      <c r="B243" s="12">
        <v>0.87258199999999997</v>
      </c>
      <c r="C243" s="12">
        <v>4.4746899999999999E-2</v>
      </c>
      <c r="D243" s="12">
        <v>0.77304499999999998</v>
      </c>
      <c r="E243" s="12">
        <v>21.7516819977522</v>
      </c>
      <c r="F243" s="12">
        <v>64</v>
      </c>
      <c r="G243" s="12">
        <v>229.954374197785</v>
      </c>
      <c r="H243" s="12" t="s">
        <v>0</v>
      </c>
      <c r="I243" s="12">
        <v>0.99806499999999998</v>
      </c>
      <c r="J243" s="12">
        <v>122.37345000000001</v>
      </c>
      <c r="K243" s="12">
        <v>466.09654999999998</v>
      </c>
      <c r="L243" s="12" t="s">
        <v>1</v>
      </c>
      <c r="M243" s="12" t="s">
        <v>0</v>
      </c>
      <c r="N243" s="12">
        <v>14.663869852145501</v>
      </c>
      <c r="O243" s="12">
        <v>16</v>
      </c>
      <c r="P243" s="12">
        <v>1765.05</v>
      </c>
      <c r="Q243" s="12" t="s">
        <v>1</v>
      </c>
    </row>
    <row r="244" spans="1:17" x14ac:dyDescent="0.25">
      <c r="A244" s="12">
        <f t="shared" si="3"/>
        <v>243</v>
      </c>
      <c r="B244" s="12">
        <v>1.0371900000000001</v>
      </c>
      <c r="C244" s="12">
        <v>2.1594800000000001E-2</v>
      </c>
      <c r="D244" s="12">
        <v>0.72599899999999995</v>
      </c>
      <c r="E244" s="12">
        <v>10.736927293545801</v>
      </c>
      <c r="F244" s="12">
        <v>56.25</v>
      </c>
      <c r="G244" s="12">
        <v>239.757649765434</v>
      </c>
      <c r="H244" s="12" t="s">
        <v>0</v>
      </c>
      <c r="I244" s="12">
        <v>1.12975</v>
      </c>
      <c r="J244" s="12">
        <v>110.7974</v>
      </c>
      <c r="K244" s="12">
        <v>438.33940999999999</v>
      </c>
      <c r="L244" s="12" t="s">
        <v>1</v>
      </c>
      <c r="M244" s="12" t="s">
        <v>0</v>
      </c>
      <c r="N244" s="12">
        <v>13.2767250866598</v>
      </c>
      <c r="O244" s="12">
        <v>15.5</v>
      </c>
      <c r="P244" s="12">
        <v>1648.3</v>
      </c>
      <c r="Q244" s="12" t="s">
        <v>1</v>
      </c>
    </row>
    <row r="245" spans="1:17" x14ac:dyDescent="0.25">
      <c r="A245" s="12">
        <f t="shared" si="3"/>
        <v>244</v>
      </c>
      <c r="B245" s="12">
        <v>0.987348</v>
      </c>
      <c r="C245" s="12">
        <v>-6.8892399999999996E-3</v>
      </c>
      <c r="D245" s="12">
        <v>0.62177899999999997</v>
      </c>
      <c r="E245" s="12">
        <v>2.4652774438791201</v>
      </c>
      <c r="F245" s="12">
        <v>81</v>
      </c>
      <c r="G245" s="12">
        <v>274.55491269356298</v>
      </c>
      <c r="H245" s="12" t="s">
        <v>0</v>
      </c>
      <c r="I245" s="12">
        <v>1.0898779999999999</v>
      </c>
      <c r="J245" s="12">
        <v>96.55538</v>
      </c>
      <c r="K245" s="12">
        <v>376.84960999999998</v>
      </c>
      <c r="L245" s="12" t="s">
        <v>1</v>
      </c>
      <c r="M245" s="12" t="s">
        <v>0</v>
      </c>
      <c r="N245" s="12">
        <v>11.570120200455699</v>
      </c>
      <c r="O245" s="12">
        <v>17</v>
      </c>
      <c r="P245" s="12">
        <v>1252.06</v>
      </c>
      <c r="Q245" s="12" t="s">
        <v>1</v>
      </c>
    </row>
    <row r="246" spans="1:17" x14ac:dyDescent="0.25">
      <c r="A246" s="12">
        <f t="shared" si="3"/>
        <v>245</v>
      </c>
      <c r="B246" s="12">
        <v>0.427147</v>
      </c>
      <c r="C246" s="12">
        <v>1.0954800000000001E-2</v>
      </c>
      <c r="D246" s="12">
        <v>0.42055300000000001</v>
      </c>
      <c r="E246" s="12">
        <v>6.9655645612740003</v>
      </c>
      <c r="F246" s="12">
        <v>132.25</v>
      </c>
      <c r="G246" s="12">
        <v>136.417280048039</v>
      </c>
      <c r="H246" s="12" t="s">
        <v>0</v>
      </c>
      <c r="I246" s="12">
        <v>0.64171699999999998</v>
      </c>
      <c r="J246" s="12">
        <v>105.4774</v>
      </c>
      <c r="K246" s="12">
        <v>258.12626999999998</v>
      </c>
      <c r="L246" s="12" t="s">
        <v>1</v>
      </c>
      <c r="M246" s="12" t="s">
        <v>0</v>
      </c>
      <c r="N246" s="12">
        <v>12.639235601698701</v>
      </c>
      <c r="O246" s="12">
        <v>19.5</v>
      </c>
      <c r="P246" s="12">
        <v>3036.88</v>
      </c>
      <c r="Q246" s="12" t="s">
        <v>1</v>
      </c>
    </row>
    <row r="247" spans="1:17" x14ac:dyDescent="0.25">
      <c r="A247" s="12">
        <f t="shared" si="3"/>
        <v>246</v>
      </c>
      <c r="B247" s="12">
        <v>0.52451700000000001</v>
      </c>
      <c r="C247" s="12">
        <v>9.0918299999999994E-2</v>
      </c>
      <c r="D247" s="12">
        <v>0.28823399999999999</v>
      </c>
      <c r="E247" s="12">
        <v>55.207912868065797</v>
      </c>
      <c r="F247" s="12">
        <v>81</v>
      </c>
      <c r="G247" s="12">
        <v>1.51917443723024</v>
      </c>
      <c r="H247" s="12" t="s">
        <v>0</v>
      </c>
      <c r="I247" s="12">
        <v>0.71961299999999995</v>
      </c>
      <c r="J247" s="12">
        <v>145.45914999999999</v>
      </c>
      <c r="K247" s="12">
        <v>180.05806000000001</v>
      </c>
      <c r="L247" s="12" t="s">
        <v>1</v>
      </c>
      <c r="M247" s="12" t="s">
        <v>0</v>
      </c>
      <c r="N247" s="12">
        <v>17.430202747439999</v>
      </c>
      <c r="O247" s="12">
        <v>17</v>
      </c>
      <c r="P247" s="12">
        <v>6850.12</v>
      </c>
      <c r="Q247" s="12" t="s">
        <v>1</v>
      </c>
    </row>
    <row r="248" spans="1:17" x14ac:dyDescent="0.25">
      <c r="A248" s="12">
        <f t="shared" si="3"/>
        <v>247</v>
      </c>
      <c r="B248" s="12">
        <v>0.52265099999999998</v>
      </c>
      <c r="C248" s="12">
        <v>1.1441399999999999E-2</v>
      </c>
      <c r="D248" s="12">
        <v>0.24045</v>
      </c>
      <c r="E248" s="12">
        <v>7.1203049841744699</v>
      </c>
      <c r="F248" s="12">
        <v>132.25</v>
      </c>
      <c r="G248" s="12">
        <v>54.468443910677401</v>
      </c>
      <c r="H248" s="12" t="s">
        <v>0</v>
      </c>
      <c r="I248" s="12">
        <v>0.71811999999999998</v>
      </c>
      <c r="J248" s="12">
        <v>105.72069999999999</v>
      </c>
      <c r="K248" s="12">
        <v>151.8655</v>
      </c>
      <c r="L248" s="12" t="s">
        <v>1</v>
      </c>
      <c r="M248" s="12" t="s">
        <v>0</v>
      </c>
      <c r="N248" s="12">
        <v>12.6683899610391</v>
      </c>
      <c r="O248" s="12">
        <v>19.5</v>
      </c>
      <c r="P248" s="12">
        <v>4606.2</v>
      </c>
      <c r="Q248" s="12" t="s">
        <v>1</v>
      </c>
    </row>
    <row r="249" spans="1:17" x14ac:dyDescent="0.25">
      <c r="A249" s="12">
        <f t="shared" si="3"/>
        <v>248</v>
      </c>
      <c r="B249" s="12">
        <v>1.12764</v>
      </c>
      <c r="C249" s="12">
        <v>-2.7835599999999999E-2</v>
      </c>
      <c r="D249" s="12">
        <v>0.64159999999999995</v>
      </c>
      <c r="E249" s="12">
        <v>9.9307597193316804E-2</v>
      </c>
      <c r="F249" s="12">
        <v>72.25</v>
      </c>
      <c r="G249" s="12">
        <v>290.04049649540201</v>
      </c>
      <c r="H249" s="12" t="s">
        <v>0</v>
      </c>
      <c r="I249" s="12">
        <v>1.20211</v>
      </c>
      <c r="J249" s="12">
        <v>86.0822</v>
      </c>
      <c r="K249" s="12">
        <v>388.54399999999998</v>
      </c>
      <c r="L249" s="12" t="s">
        <v>1</v>
      </c>
      <c r="M249" s="12" t="s">
        <v>0</v>
      </c>
      <c r="N249" s="12">
        <v>10.315131079383301</v>
      </c>
      <c r="O249" s="12">
        <v>16.5</v>
      </c>
      <c r="P249" s="12">
        <v>1083.8399999999999</v>
      </c>
      <c r="Q249" s="12" t="s">
        <v>1</v>
      </c>
    </row>
    <row r="250" spans="1:17" x14ac:dyDescent="0.25">
      <c r="A250" s="12">
        <f t="shared" si="3"/>
        <v>249</v>
      </c>
      <c r="B250" s="12">
        <v>0.17472099999999999</v>
      </c>
      <c r="C250" s="12">
        <v>-2.2801100000000001E-2</v>
      </c>
      <c r="D250" s="12">
        <v>0.222272</v>
      </c>
      <c r="E250" s="12">
        <v>0.380405545537019</v>
      </c>
      <c r="F250" s="12">
        <v>144</v>
      </c>
      <c r="G250" s="12">
        <v>120.68798222856</v>
      </c>
      <c r="H250" s="12" t="s">
        <v>0</v>
      </c>
      <c r="I250" s="12">
        <v>0.439776</v>
      </c>
      <c r="J250" s="12">
        <v>88.599450000000004</v>
      </c>
      <c r="K250" s="12">
        <v>141.14048</v>
      </c>
      <c r="L250" s="12" t="s">
        <v>1</v>
      </c>
      <c r="M250" s="12" t="s">
        <v>0</v>
      </c>
      <c r="N250" s="12">
        <v>10.6167702534469</v>
      </c>
      <c r="O250" s="12">
        <v>20</v>
      </c>
      <c r="P250" s="12">
        <v>3290.18</v>
      </c>
      <c r="Q250" s="12" t="s">
        <v>1</v>
      </c>
    </row>
    <row r="251" spans="1:17" x14ac:dyDescent="0.25">
      <c r="A251" s="12">
        <f t="shared" si="3"/>
        <v>250</v>
      </c>
      <c r="B251" s="12">
        <v>9.9278099999999994E-2</v>
      </c>
      <c r="C251" s="12">
        <v>-3.4389199999999998E-3</v>
      </c>
      <c r="D251" s="12">
        <v>0.14374000000000001</v>
      </c>
      <c r="E251" s="12">
        <v>3.1571750988542902</v>
      </c>
      <c r="F251" s="12">
        <v>132.25</v>
      </c>
      <c r="G251" s="12">
        <v>51.1013460243948</v>
      </c>
      <c r="H251" s="12" t="s">
        <v>0</v>
      </c>
      <c r="I251" s="12">
        <v>0.37942239999999999</v>
      </c>
      <c r="J251" s="12">
        <v>98.280540000000002</v>
      </c>
      <c r="K251" s="12">
        <v>94.806600000000003</v>
      </c>
      <c r="L251" s="12" t="s">
        <v>1</v>
      </c>
      <c r="M251" s="12" t="s">
        <v>0</v>
      </c>
      <c r="N251" s="12">
        <v>11.7768441402819</v>
      </c>
      <c r="O251" s="12">
        <v>19.5</v>
      </c>
      <c r="P251" s="12">
        <v>4690.79</v>
      </c>
      <c r="Q251" s="12" t="s">
        <v>1</v>
      </c>
    </row>
    <row r="252" spans="1:17" x14ac:dyDescent="0.25">
      <c r="A252" s="12">
        <f t="shared" si="3"/>
        <v>251</v>
      </c>
      <c r="B252" s="12">
        <v>0.85004100000000005</v>
      </c>
      <c r="C252" s="12">
        <v>1.9329499999999999E-2</v>
      </c>
      <c r="D252" s="12">
        <v>0.70281899999999997</v>
      </c>
      <c r="E252" s="12">
        <v>9.8658868992819606</v>
      </c>
      <c r="F252" s="12">
        <v>81</v>
      </c>
      <c r="G252" s="12">
        <v>254.295012725839</v>
      </c>
      <c r="H252" s="12" t="s">
        <v>0</v>
      </c>
      <c r="I252" s="12">
        <v>0.98003200000000001</v>
      </c>
      <c r="J252" s="12">
        <v>109.66475</v>
      </c>
      <c r="K252" s="12">
        <v>424.66320999999999</v>
      </c>
      <c r="L252" s="12" t="s">
        <v>1</v>
      </c>
      <c r="M252" s="12" t="s">
        <v>0</v>
      </c>
      <c r="N252" s="12">
        <v>13.1410009390768</v>
      </c>
      <c r="O252" s="12">
        <v>17</v>
      </c>
      <c r="P252" s="12">
        <v>1479.48</v>
      </c>
      <c r="Q252" s="12" t="s">
        <v>1</v>
      </c>
    </row>
    <row r="253" spans="1:17" x14ac:dyDescent="0.25">
      <c r="A253" s="12">
        <f t="shared" si="3"/>
        <v>252</v>
      </c>
      <c r="B253" s="12">
        <v>0.89998800000000001</v>
      </c>
      <c r="C253" s="12">
        <v>-4.9715700000000002E-2</v>
      </c>
      <c r="D253" s="12">
        <v>0.75302199999999997</v>
      </c>
      <c r="E253" s="12">
        <v>0.99162269299114902</v>
      </c>
      <c r="F253" s="12">
        <v>121</v>
      </c>
      <c r="G253" s="12">
        <v>316.50700808575698</v>
      </c>
      <c r="H253" s="12" t="s">
        <v>0</v>
      </c>
      <c r="I253" s="12">
        <v>1.01999</v>
      </c>
      <c r="J253" s="12">
        <v>75.142150000000001</v>
      </c>
      <c r="K253" s="12">
        <v>454.28298000000001</v>
      </c>
      <c r="L253" s="12" t="s">
        <v>1</v>
      </c>
      <c r="M253" s="12" t="s">
        <v>0</v>
      </c>
      <c r="N253" s="12">
        <v>9.0041974628516197</v>
      </c>
      <c r="O253" s="12">
        <v>19</v>
      </c>
      <c r="P253" s="12">
        <v>806.41499999999996</v>
      </c>
      <c r="Q253" s="12" t="s">
        <v>1</v>
      </c>
    </row>
    <row r="254" spans="1:17" x14ac:dyDescent="0.25">
      <c r="A254" s="12">
        <f t="shared" si="3"/>
        <v>253</v>
      </c>
      <c r="B254" s="12">
        <v>0.82070600000000005</v>
      </c>
      <c r="C254" s="12">
        <v>6.6704299999999994E-2</v>
      </c>
      <c r="D254" s="12">
        <v>0.66752500000000003</v>
      </c>
      <c r="E254" s="12">
        <v>35.753641170255896</v>
      </c>
      <c r="F254" s="12">
        <v>64</v>
      </c>
      <c r="G254" s="12">
        <v>193.29302809607799</v>
      </c>
      <c r="H254" s="12" t="s">
        <v>0</v>
      </c>
      <c r="I254" s="12">
        <v>0.95656399999999997</v>
      </c>
      <c r="J254" s="12">
        <v>133.35214999999999</v>
      </c>
      <c r="K254" s="12">
        <v>403.83974999999998</v>
      </c>
      <c r="L254" s="12" t="s">
        <v>1</v>
      </c>
      <c r="M254" s="12" t="s">
        <v>0</v>
      </c>
      <c r="N254" s="12">
        <v>15.9794348537513</v>
      </c>
      <c r="O254" s="12">
        <v>16</v>
      </c>
      <c r="P254" s="12">
        <v>2225.41</v>
      </c>
      <c r="Q254" s="12" t="s">
        <v>1</v>
      </c>
    </row>
    <row r="255" spans="1:17" x14ac:dyDescent="0.25">
      <c r="A255" s="12">
        <f t="shared" si="3"/>
        <v>254</v>
      </c>
      <c r="B255" s="12">
        <v>0.89317000000000002</v>
      </c>
      <c r="C255" s="12">
        <v>0.100647</v>
      </c>
      <c r="D255" s="12">
        <v>0.73946000000000001</v>
      </c>
      <c r="E255" s="12">
        <v>64.209646872457597</v>
      </c>
      <c r="F255" s="12">
        <v>49</v>
      </c>
      <c r="G255" s="12">
        <v>153.62413961343501</v>
      </c>
      <c r="H255" s="12" t="s">
        <v>0</v>
      </c>
      <c r="I255" s="12">
        <v>1.0145299999999999</v>
      </c>
      <c r="J255" s="12">
        <v>150.3235</v>
      </c>
      <c r="K255" s="12">
        <v>446.28140000000002</v>
      </c>
      <c r="L255" s="12" t="s">
        <v>1</v>
      </c>
      <c r="M255" s="12" t="s">
        <v>0</v>
      </c>
      <c r="N255" s="12">
        <v>18.013092216644999</v>
      </c>
      <c r="O255" s="12">
        <v>15</v>
      </c>
      <c r="P255" s="12">
        <v>2776</v>
      </c>
      <c r="Q255" s="12" t="s">
        <v>1</v>
      </c>
    </row>
    <row r="256" spans="1:17" x14ac:dyDescent="0.25">
      <c r="A256" s="12">
        <f t="shared" si="3"/>
        <v>255</v>
      </c>
      <c r="B256" s="12">
        <v>1.0385</v>
      </c>
      <c r="C256" s="12">
        <v>0.25365100000000002</v>
      </c>
      <c r="D256" s="12">
        <v>0.905891</v>
      </c>
      <c r="E256" s="12">
        <v>295.160610101673</v>
      </c>
      <c r="F256" s="12">
        <v>36</v>
      </c>
      <c r="G256" s="12">
        <v>120.638626383936</v>
      </c>
      <c r="H256" s="12" t="s">
        <v>0</v>
      </c>
      <c r="I256" s="12">
        <v>1.1308</v>
      </c>
      <c r="J256" s="12">
        <v>226.82550000000001</v>
      </c>
      <c r="K256" s="12">
        <v>544.47568999999999</v>
      </c>
      <c r="L256" s="12" t="s">
        <v>1</v>
      </c>
      <c r="M256" s="12" t="s">
        <v>0</v>
      </c>
      <c r="N256" s="12">
        <v>27.180238941926</v>
      </c>
      <c r="O256" s="12">
        <v>14</v>
      </c>
      <c r="P256" s="12">
        <v>3291</v>
      </c>
      <c r="Q256" s="12" t="s">
        <v>1</v>
      </c>
    </row>
    <row r="257" spans="1:17" x14ac:dyDescent="0.25">
      <c r="A257" s="12">
        <f t="shared" si="3"/>
        <v>256</v>
      </c>
      <c r="B257" s="12">
        <v>0.21953400000000001</v>
      </c>
      <c r="C257" s="12">
        <v>2.7781500000000001E-2</v>
      </c>
      <c r="D257" s="12">
        <v>0.43362000000000001</v>
      </c>
      <c r="E257" s="12">
        <v>13.303509701327799</v>
      </c>
      <c r="F257" s="12">
        <v>121</v>
      </c>
      <c r="G257" s="12">
        <v>158.7938319392</v>
      </c>
      <c r="H257" s="12" t="s">
        <v>0</v>
      </c>
      <c r="I257" s="12">
        <v>0.47562700000000002</v>
      </c>
      <c r="J257" s="12">
        <v>113.89075</v>
      </c>
      <c r="K257" s="12">
        <v>265.83580000000001</v>
      </c>
      <c r="L257" s="12" t="s">
        <v>1</v>
      </c>
      <c r="M257" s="12" t="s">
        <v>0</v>
      </c>
      <c r="N257" s="12">
        <v>13.647397661529</v>
      </c>
      <c r="O257" s="12">
        <v>19</v>
      </c>
      <c r="P257" s="12">
        <v>2700.51</v>
      </c>
      <c r="Q257" s="12" t="s">
        <v>1</v>
      </c>
    </row>
    <row r="258" spans="1:17" x14ac:dyDescent="0.25">
      <c r="A258" s="12">
        <f t="shared" si="3"/>
        <v>257</v>
      </c>
      <c r="B258" s="12">
        <v>0.79137800000000003</v>
      </c>
      <c r="C258" s="12">
        <v>0.20700299999999999</v>
      </c>
      <c r="D258" s="12">
        <v>0.40853099999999998</v>
      </c>
      <c r="E258" s="12">
        <v>206.93831854660101</v>
      </c>
      <c r="F258" s="12">
        <v>56.25</v>
      </c>
      <c r="G258" s="12">
        <v>12.4494905580784</v>
      </c>
      <c r="H258" s="12" t="s">
        <v>0</v>
      </c>
      <c r="I258" s="12">
        <v>0.93310199999999999</v>
      </c>
      <c r="J258" s="12">
        <v>203.50149999999999</v>
      </c>
      <c r="K258" s="12">
        <v>251.03328999999999</v>
      </c>
      <c r="L258" s="12" t="s">
        <v>1</v>
      </c>
      <c r="M258" s="12" t="s">
        <v>0</v>
      </c>
      <c r="N258" s="12">
        <v>24.385350831543899</v>
      </c>
      <c r="O258" s="12">
        <v>15.5</v>
      </c>
      <c r="P258" s="12">
        <v>6012.14</v>
      </c>
      <c r="Q258" s="12" t="s">
        <v>1</v>
      </c>
    </row>
    <row r="259" spans="1:17" x14ac:dyDescent="0.25">
      <c r="A259" s="12">
        <f t="shared" si="3"/>
        <v>258</v>
      </c>
      <c r="B259" s="12">
        <v>0.48913000000000001</v>
      </c>
      <c r="C259" s="12">
        <v>-1.8663699999999998E-2</v>
      </c>
      <c r="D259" s="12">
        <v>0.22989399999999999</v>
      </c>
      <c r="E259" s="12">
        <v>0.74763725557292304</v>
      </c>
      <c r="F259" s="12">
        <v>132.25</v>
      </c>
      <c r="G259" s="12">
        <v>66.122740333270698</v>
      </c>
      <c r="H259" s="12" t="s">
        <v>0</v>
      </c>
      <c r="I259" s="12">
        <v>0.69130000000000003</v>
      </c>
      <c r="J259" s="12">
        <v>90.668149999999997</v>
      </c>
      <c r="K259" s="12">
        <v>145.63746</v>
      </c>
      <c r="L259" s="12" t="s">
        <v>1</v>
      </c>
      <c r="M259" s="12" t="s">
        <v>0</v>
      </c>
      <c r="N259" s="12">
        <v>10.864660196593301</v>
      </c>
      <c r="O259" s="12">
        <v>19.5</v>
      </c>
      <c r="P259" s="12">
        <v>4331.97</v>
      </c>
      <c r="Q259" s="12" t="s">
        <v>1</v>
      </c>
    </row>
    <row r="260" spans="1:17" x14ac:dyDescent="0.25">
      <c r="A260" s="12">
        <f t="shared" ref="A260:A323" si="4">A259+1</f>
        <v>259</v>
      </c>
      <c r="B260" s="12">
        <v>1.01841</v>
      </c>
      <c r="C260" s="12">
        <v>-5.7770799999999997E-2</v>
      </c>
      <c r="D260" s="12">
        <v>0.80707600000000002</v>
      </c>
      <c r="E260" s="12">
        <v>2.1857234025066399</v>
      </c>
      <c r="F260" s="12">
        <v>110.25</v>
      </c>
      <c r="G260" s="12">
        <v>339.393604002019</v>
      </c>
      <c r="H260" s="12" t="s">
        <v>0</v>
      </c>
      <c r="I260" s="12">
        <v>1.1147199999999999</v>
      </c>
      <c r="J260" s="12">
        <v>71.114599999999996</v>
      </c>
      <c r="K260" s="12">
        <v>486.17484000000002</v>
      </c>
      <c r="L260" s="12" t="s">
        <v>1</v>
      </c>
      <c r="M260" s="12" t="s">
        <v>0</v>
      </c>
      <c r="N260" s="12">
        <v>8.5215807757923798</v>
      </c>
      <c r="O260" s="12">
        <v>18.5</v>
      </c>
      <c r="P260" s="12">
        <v>575.73699999999997</v>
      </c>
      <c r="Q260" s="12" t="s">
        <v>1</v>
      </c>
    </row>
    <row r="261" spans="1:17" x14ac:dyDescent="0.25">
      <c r="A261" s="12">
        <f t="shared" si="4"/>
        <v>260</v>
      </c>
      <c r="B261" s="12">
        <v>1.04731</v>
      </c>
      <c r="C261" s="12">
        <v>-1.17891E-2</v>
      </c>
      <c r="D261" s="12">
        <v>0.76085400000000003</v>
      </c>
      <c r="E261" s="12">
        <v>1.6295745527682399</v>
      </c>
      <c r="F261" s="12">
        <v>72.25</v>
      </c>
      <c r="G261" s="12">
        <v>302.34930868441302</v>
      </c>
      <c r="H261" s="12" t="s">
        <v>0</v>
      </c>
      <c r="I261" s="12">
        <v>1.13784</v>
      </c>
      <c r="J261" s="12">
        <v>94.105450000000005</v>
      </c>
      <c r="K261" s="12">
        <v>458.90386000000001</v>
      </c>
      <c r="L261" s="12" t="s">
        <v>1</v>
      </c>
      <c r="M261" s="12" t="s">
        <v>0</v>
      </c>
      <c r="N261" s="12">
        <v>11.276547904611499</v>
      </c>
      <c r="O261" s="12">
        <v>16.5</v>
      </c>
      <c r="P261" s="12">
        <v>953.30899999999997</v>
      </c>
      <c r="Q261" s="12" t="s">
        <v>1</v>
      </c>
    </row>
    <row r="262" spans="1:17" x14ac:dyDescent="0.25">
      <c r="A262" s="12">
        <f t="shared" si="4"/>
        <v>261</v>
      </c>
      <c r="B262" s="12">
        <v>1.01363</v>
      </c>
      <c r="C262" s="12">
        <v>6.3698400000000002E-2</v>
      </c>
      <c r="D262" s="12">
        <v>0.82758600000000004</v>
      </c>
      <c r="E262" s="12">
        <v>33.632322198698603</v>
      </c>
      <c r="F262" s="12">
        <v>49</v>
      </c>
      <c r="G262" s="12">
        <v>235.92959999999999</v>
      </c>
      <c r="H262" s="12" t="s">
        <v>0</v>
      </c>
      <c r="I262" s="12">
        <v>1.1109</v>
      </c>
      <c r="J262" s="12">
        <v>131.8492</v>
      </c>
      <c r="K262" s="12">
        <v>498.27573999999998</v>
      </c>
      <c r="L262" s="12" t="s">
        <v>1</v>
      </c>
      <c r="M262" s="12" t="s">
        <v>0</v>
      </c>
      <c r="N262" s="12">
        <v>15.7993380828072</v>
      </c>
      <c r="O262" s="12">
        <v>15</v>
      </c>
      <c r="P262" s="12">
        <v>1693.6</v>
      </c>
      <c r="Q262" s="12" t="s">
        <v>1</v>
      </c>
    </row>
    <row r="263" spans="1:17" x14ac:dyDescent="0.25">
      <c r="A263" s="12">
        <f t="shared" si="4"/>
        <v>262</v>
      </c>
      <c r="B263" s="12">
        <v>0.19147400000000001</v>
      </c>
      <c r="C263" s="12">
        <v>-7.12822E-4</v>
      </c>
      <c r="D263" s="12">
        <v>0.19936499999999999</v>
      </c>
      <c r="E263" s="12">
        <v>3.7642857638279001</v>
      </c>
      <c r="F263" s="12">
        <v>132.25</v>
      </c>
      <c r="G263" s="12">
        <v>74.414966031900903</v>
      </c>
      <c r="H263" s="12" t="s">
        <v>0</v>
      </c>
      <c r="I263" s="12">
        <v>0.453179</v>
      </c>
      <c r="J263" s="12">
        <v>99.643589000000006</v>
      </c>
      <c r="K263" s="12">
        <v>127.62535</v>
      </c>
      <c r="L263" s="12" t="s">
        <v>1</v>
      </c>
      <c r="M263" s="12" t="s">
        <v>0</v>
      </c>
      <c r="N263" s="12">
        <v>11.940176735204201</v>
      </c>
      <c r="O263" s="12">
        <v>19.5</v>
      </c>
      <c r="P263" s="12">
        <v>4151.3599999999997</v>
      </c>
      <c r="Q263" s="12" t="s">
        <v>1</v>
      </c>
    </row>
    <row r="264" spans="1:17" x14ac:dyDescent="0.25">
      <c r="A264" s="12">
        <f t="shared" si="4"/>
        <v>263</v>
      </c>
      <c r="B264" s="12">
        <v>0.88606799999999997</v>
      </c>
      <c r="C264" s="12">
        <v>2.2456799999999999E-2</v>
      </c>
      <c r="D264" s="12">
        <v>0.77594700000000005</v>
      </c>
      <c r="E264" s="12">
        <v>11.0780556521176</v>
      </c>
      <c r="F264" s="12">
        <v>72.25</v>
      </c>
      <c r="G264" s="12">
        <v>267.12812712629</v>
      </c>
      <c r="H264" s="12" t="s">
        <v>0</v>
      </c>
      <c r="I264" s="12">
        <v>1.0088539999999999</v>
      </c>
      <c r="J264" s="12">
        <v>111.22839999999999</v>
      </c>
      <c r="K264" s="12">
        <v>467.80873000000003</v>
      </c>
      <c r="L264" s="12" t="s">
        <v>1</v>
      </c>
      <c r="M264" s="12" t="s">
        <v>0</v>
      </c>
      <c r="N264" s="12">
        <v>13.328371321249699</v>
      </c>
      <c r="O264" s="12">
        <v>16.5</v>
      </c>
      <c r="P264" s="12">
        <v>1334.42</v>
      </c>
      <c r="Q264" s="12" t="s">
        <v>1</v>
      </c>
    </row>
    <row r="265" spans="1:17" x14ac:dyDescent="0.25">
      <c r="A265" s="12">
        <f t="shared" si="4"/>
        <v>264</v>
      </c>
      <c r="B265" s="12">
        <v>1.10042</v>
      </c>
      <c r="C265" s="12">
        <v>3.8642799999999998E-2</v>
      </c>
      <c r="D265" s="12">
        <v>0.81103700000000001</v>
      </c>
      <c r="E265" s="12">
        <v>18.474060832258701</v>
      </c>
      <c r="F265" s="12">
        <v>56.25</v>
      </c>
      <c r="G265" s="12">
        <v>270.44928881591198</v>
      </c>
      <c r="H265" s="12" t="s">
        <v>0</v>
      </c>
      <c r="I265" s="12">
        <v>1.1803300000000001</v>
      </c>
      <c r="J265" s="12">
        <v>119.3214</v>
      </c>
      <c r="K265" s="12">
        <v>488.51182999999997</v>
      </c>
      <c r="L265" s="12" t="s">
        <v>1</v>
      </c>
      <c r="M265" s="12" t="s">
        <v>0</v>
      </c>
      <c r="N265" s="12">
        <v>14.2981462088042</v>
      </c>
      <c r="O265" s="12">
        <v>15.5</v>
      </c>
      <c r="P265" s="12">
        <v>1297.45</v>
      </c>
      <c r="Q265" s="12" t="s">
        <v>1</v>
      </c>
    </row>
    <row r="266" spans="1:17" x14ac:dyDescent="0.25">
      <c r="A266" s="12">
        <f t="shared" si="4"/>
        <v>265</v>
      </c>
      <c r="B266" s="12">
        <v>1.0296799999999999</v>
      </c>
      <c r="C266" s="12">
        <v>0.33605800000000002</v>
      </c>
      <c r="D266" s="12">
        <v>0.66892200000000002</v>
      </c>
      <c r="E266" s="12">
        <v>489.18853877985401</v>
      </c>
      <c r="F266" s="12">
        <v>36</v>
      </c>
      <c r="G266" s="12">
        <v>43.6497338367423</v>
      </c>
      <c r="H266" s="12" t="s">
        <v>0</v>
      </c>
      <c r="I266" s="12">
        <v>1.12374</v>
      </c>
      <c r="J266" s="12">
        <v>268.029</v>
      </c>
      <c r="K266" s="12">
        <v>404.66397999999998</v>
      </c>
      <c r="L266" s="12" t="s">
        <v>1</v>
      </c>
      <c r="M266" s="12" t="s">
        <v>0</v>
      </c>
      <c r="N266" s="12">
        <v>32.117606985834897</v>
      </c>
      <c r="O266" s="12">
        <v>14</v>
      </c>
      <c r="P266" s="12">
        <v>4888.5200000000004</v>
      </c>
      <c r="Q266" s="12" t="s">
        <v>1</v>
      </c>
    </row>
    <row r="267" spans="1:17" x14ac:dyDescent="0.25">
      <c r="A267" s="12">
        <f t="shared" si="4"/>
        <v>266</v>
      </c>
      <c r="B267" s="12">
        <v>0.56350699999999998</v>
      </c>
      <c r="C267" s="12">
        <v>7.8746300000000005E-2</v>
      </c>
      <c r="D267" s="12">
        <v>0.33239800000000003</v>
      </c>
      <c r="E267" s="12">
        <v>44.902387318011598</v>
      </c>
      <c r="F267" s="12">
        <v>90.25</v>
      </c>
      <c r="G267" s="12">
        <v>36.696708486395103</v>
      </c>
      <c r="H267" s="12" t="s">
        <v>0</v>
      </c>
      <c r="I267" s="12">
        <v>0.75080499999999994</v>
      </c>
      <c r="J267" s="12">
        <v>139.37315000000001</v>
      </c>
      <c r="K267" s="12">
        <v>206.11482000000001</v>
      </c>
      <c r="L267" s="12" t="s">
        <v>1</v>
      </c>
      <c r="M267" s="12" t="s">
        <v>0</v>
      </c>
      <c r="N267" s="12">
        <v>16.700924362952499</v>
      </c>
      <c r="O267" s="12">
        <v>17.5</v>
      </c>
      <c r="P267" s="12">
        <v>5088.91</v>
      </c>
      <c r="Q267" s="12" t="s">
        <v>1</v>
      </c>
    </row>
    <row r="268" spans="1:17" x14ac:dyDescent="0.25">
      <c r="A268" s="12">
        <f t="shared" si="4"/>
        <v>267</v>
      </c>
      <c r="B268" s="12">
        <v>0.48388399999999998</v>
      </c>
      <c r="C268" s="12">
        <v>4.1213300000000001E-2</v>
      </c>
      <c r="D268" s="12">
        <v>0.228045</v>
      </c>
      <c r="E268" s="12">
        <v>19.821695176307699</v>
      </c>
      <c r="F268" s="12">
        <v>110.25</v>
      </c>
      <c r="G268" s="12">
        <v>400</v>
      </c>
      <c r="H268" s="12" t="s">
        <v>0</v>
      </c>
      <c r="I268" s="12">
        <v>0.68710700000000002</v>
      </c>
      <c r="J268" s="12">
        <v>120.60665</v>
      </c>
      <c r="K268" s="12">
        <v>144.54655</v>
      </c>
      <c r="L268" s="12" t="s">
        <v>1</v>
      </c>
      <c r="M268" s="12" t="s">
        <v>0</v>
      </c>
      <c r="N268" s="12">
        <v>14.4521562389821</v>
      </c>
      <c r="O268" s="12">
        <v>18.5</v>
      </c>
      <c r="P268" s="12">
        <v>0</v>
      </c>
      <c r="Q268" s="12" t="s">
        <v>1</v>
      </c>
    </row>
    <row r="269" spans="1:17" x14ac:dyDescent="0.25">
      <c r="A269" s="12">
        <f t="shared" si="4"/>
        <v>268</v>
      </c>
      <c r="B269" s="12">
        <v>0.439581</v>
      </c>
      <c r="C269" s="12">
        <v>4.0873899999999998E-2</v>
      </c>
      <c r="D269" s="12">
        <v>0.26984000000000002</v>
      </c>
      <c r="E269" s="12">
        <v>19.641039884830299</v>
      </c>
      <c r="F269" s="12">
        <v>100</v>
      </c>
      <c r="G269" s="12">
        <v>22.124523066991902</v>
      </c>
      <c r="H269" s="12" t="s">
        <v>0</v>
      </c>
      <c r="I269" s="12">
        <v>0.65166400000000002</v>
      </c>
      <c r="J269" s="12">
        <v>120.43695</v>
      </c>
      <c r="K269" s="12">
        <v>169.2056</v>
      </c>
      <c r="L269" s="12" t="s">
        <v>1</v>
      </c>
      <c r="M269" s="12" t="s">
        <v>0</v>
      </c>
      <c r="N269" s="12">
        <v>14.4318212830427</v>
      </c>
      <c r="O269" s="12">
        <v>18</v>
      </c>
      <c r="P269" s="12">
        <v>5583.16</v>
      </c>
      <c r="Q269" s="12" t="s">
        <v>1</v>
      </c>
    </row>
    <row r="270" spans="1:17" x14ac:dyDescent="0.25">
      <c r="A270" s="12">
        <f t="shared" si="4"/>
        <v>269</v>
      </c>
      <c r="B270" s="12">
        <v>1.0378799999999999</v>
      </c>
      <c r="C270" s="12">
        <v>-2.2292699999999999E-2</v>
      </c>
      <c r="D270" s="12">
        <v>0.72543899999999994</v>
      </c>
      <c r="E270" s="12">
        <v>0.41890764019672</v>
      </c>
      <c r="F270" s="12">
        <v>81</v>
      </c>
      <c r="G270" s="12">
        <v>298.94438421924502</v>
      </c>
      <c r="H270" s="12" t="s">
        <v>0</v>
      </c>
      <c r="I270" s="12">
        <v>1.1303000000000001</v>
      </c>
      <c r="J270" s="12">
        <v>88.853650000000002</v>
      </c>
      <c r="K270" s="12">
        <v>438.00900999999999</v>
      </c>
      <c r="L270" s="12" t="s">
        <v>1</v>
      </c>
      <c r="M270" s="12" t="s">
        <v>0</v>
      </c>
      <c r="N270" s="12">
        <v>10.6472307472584</v>
      </c>
      <c r="O270" s="12">
        <v>17</v>
      </c>
      <c r="P270" s="12">
        <v>989.14700000000005</v>
      </c>
      <c r="Q270" s="12" t="s">
        <v>1</v>
      </c>
    </row>
    <row r="271" spans="1:17" x14ac:dyDescent="0.25">
      <c r="A271" s="12">
        <f t="shared" si="4"/>
        <v>270</v>
      </c>
      <c r="B271" s="12">
        <v>1.06839</v>
      </c>
      <c r="C271" s="12">
        <v>2.8264200000000001E-3</v>
      </c>
      <c r="D271" s="12">
        <v>0.72393200000000002</v>
      </c>
      <c r="E271" s="12">
        <v>4.6320870235890803</v>
      </c>
      <c r="F271" s="12">
        <v>64</v>
      </c>
      <c r="G271" s="12">
        <v>271.64729284218402</v>
      </c>
      <c r="H271" s="12" t="s">
        <v>0</v>
      </c>
      <c r="I271" s="12">
        <v>1.1547099999999999</v>
      </c>
      <c r="J271" s="12">
        <v>101.41321000000001</v>
      </c>
      <c r="K271" s="12">
        <v>437.11988000000002</v>
      </c>
      <c r="L271" s="12" t="s">
        <v>1</v>
      </c>
      <c r="M271" s="12" t="s">
        <v>0</v>
      </c>
      <c r="N271" s="12">
        <v>12.152228385555</v>
      </c>
      <c r="O271" s="12">
        <v>16</v>
      </c>
      <c r="P271" s="12">
        <v>1284.17</v>
      </c>
      <c r="Q271" s="12" t="s">
        <v>1</v>
      </c>
    </row>
    <row r="272" spans="1:17" x14ac:dyDescent="0.25">
      <c r="A272" s="12">
        <f t="shared" si="4"/>
        <v>271</v>
      </c>
      <c r="B272" s="12">
        <v>9.0392100000000003E-2</v>
      </c>
      <c r="C272" s="12">
        <v>4.2994900000000003E-2</v>
      </c>
      <c r="D272" s="12">
        <v>0.19017999999999999</v>
      </c>
      <c r="E272" s="12">
        <v>20.7835671954949</v>
      </c>
      <c r="F272" s="12">
        <v>90.25</v>
      </c>
      <c r="G272" s="12">
        <v>56.952039939200603</v>
      </c>
      <c r="H272" s="12" t="s">
        <v>0</v>
      </c>
      <c r="I272" s="12">
        <v>0.37231360000000002</v>
      </c>
      <c r="J272" s="12">
        <v>121.49745</v>
      </c>
      <c r="K272" s="12">
        <v>122.2062</v>
      </c>
      <c r="L272" s="12" t="s">
        <v>1</v>
      </c>
      <c r="M272" s="12" t="s">
        <v>0</v>
      </c>
      <c r="N272" s="12">
        <v>14.558899779057899</v>
      </c>
      <c r="O272" s="12">
        <v>17.5</v>
      </c>
      <c r="P272" s="12">
        <v>4545.47</v>
      </c>
      <c r="Q272" s="12" t="s">
        <v>1</v>
      </c>
    </row>
    <row r="273" spans="1:17" x14ac:dyDescent="0.25">
      <c r="A273" s="12">
        <f t="shared" si="4"/>
        <v>272</v>
      </c>
      <c r="B273" s="12">
        <v>0.88471999999999995</v>
      </c>
      <c r="C273" s="12">
        <v>-4.3098600000000001E-2</v>
      </c>
      <c r="D273" s="12">
        <v>0.66693599999999997</v>
      </c>
      <c r="E273" s="12">
        <v>0.35921178428740802</v>
      </c>
      <c r="F273" s="12">
        <v>121</v>
      </c>
      <c r="G273" s="12">
        <v>301.68967968246199</v>
      </c>
      <c r="H273" s="12" t="s">
        <v>0</v>
      </c>
      <c r="I273" s="12">
        <v>1.0077700000000001</v>
      </c>
      <c r="J273" s="12">
        <v>78.450699999999998</v>
      </c>
      <c r="K273" s="12">
        <v>403.49223999999998</v>
      </c>
      <c r="L273" s="12" t="s">
        <v>1</v>
      </c>
      <c r="M273" s="12" t="s">
        <v>0</v>
      </c>
      <c r="N273" s="12">
        <v>9.4006572063606502</v>
      </c>
      <c r="O273" s="12">
        <v>19</v>
      </c>
      <c r="P273" s="12">
        <v>960.23599999999999</v>
      </c>
      <c r="Q273" s="12" t="s">
        <v>1</v>
      </c>
    </row>
    <row r="274" spans="1:17" x14ac:dyDescent="0.25">
      <c r="A274" s="12">
        <f t="shared" si="4"/>
        <v>273</v>
      </c>
      <c r="B274" s="12">
        <v>0.76501399999999997</v>
      </c>
      <c r="C274" s="12">
        <v>0.23217099999999999</v>
      </c>
      <c r="D274" s="12">
        <v>0.42275200000000002</v>
      </c>
      <c r="E274" s="12">
        <v>252.596256562512</v>
      </c>
      <c r="F274" s="12">
        <v>49</v>
      </c>
      <c r="G274" s="12">
        <v>1.6115780791893399</v>
      </c>
      <c r="H274" s="12" t="s">
        <v>0</v>
      </c>
      <c r="I274" s="12">
        <v>0.91201100000000002</v>
      </c>
      <c r="J274" s="12">
        <v>216.0855</v>
      </c>
      <c r="K274" s="12">
        <v>259.42367999999999</v>
      </c>
      <c r="L274" s="12" t="s">
        <v>1</v>
      </c>
      <c r="M274" s="12" t="s">
        <v>0</v>
      </c>
      <c r="N274" s="12">
        <v>25.8932770869481</v>
      </c>
      <c r="O274" s="12">
        <v>15</v>
      </c>
      <c r="P274" s="12">
        <v>7763.36</v>
      </c>
      <c r="Q274" s="12" t="s">
        <v>1</v>
      </c>
    </row>
    <row r="275" spans="1:17" x14ac:dyDescent="0.25">
      <c r="A275" s="12">
        <f t="shared" si="4"/>
        <v>274</v>
      </c>
      <c r="B275" s="12">
        <v>0.76288100000000003</v>
      </c>
      <c r="C275" s="12">
        <v>0.21331700000000001</v>
      </c>
      <c r="D275" s="12">
        <v>0.48174499999999998</v>
      </c>
      <c r="E275" s="12">
        <v>217.965376462656</v>
      </c>
      <c r="F275" s="12">
        <v>56.25</v>
      </c>
      <c r="G275" s="12">
        <v>30.422931378495001</v>
      </c>
      <c r="H275" s="12" t="s">
        <v>0</v>
      </c>
      <c r="I275" s="12">
        <v>0.910304</v>
      </c>
      <c r="J275" s="12">
        <v>206.6585</v>
      </c>
      <c r="K275" s="12">
        <v>294.22955000000002</v>
      </c>
      <c r="L275" s="12" t="s">
        <v>1</v>
      </c>
      <c r="M275" s="12" t="s">
        <v>0</v>
      </c>
      <c r="N275" s="12">
        <v>24.763650512751099</v>
      </c>
      <c r="O275" s="12">
        <v>15.5</v>
      </c>
      <c r="P275" s="12">
        <v>5286.77</v>
      </c>
      <c r="Q275" s="12" t="s">
        <v>1</v>
      </c>
    </row>
    <row r="276" spans="1:17" x14ac:dyDescent="0.25">
      <c r="A276" s="12">
        <f t="shared" si="4"/>
        <v>275</v>
      </c>
      <c r="B276" s="12">
        <v>0.31677</v>
      </c>
      <c r="C276" s="12">
        <v>4.1628500000000002E-4</v>
      </c>
      <c r="D276" s="12">
        <v>0.23363600000000001</v>
      </c>
      <c r="E276" s="12">
        <v>4.03136738335398</v>
      </c>
      <c r="F276" s="12">
        <v>132.25</v>
      </c>
      <c r="G276" s="12">
        <v>56.805749522236802</v>
      </c>
      <c r="H276" s="12" t="s">
        <v>0</v>
      </c>
      <c r="I276" s="12">
        <v>0.55340999999999996</v>
      </c>
      <c r="J276" s="12">
        <v>100.20814249999999</v>
      </c>
      <c r="K276" s="12">
        <v>147.84523999999999</v>
      </c>
      <c r="L276" s="12" t="s">
        <v>1</v>
      </c>
      <c r="M276" s="12" t="s">
        <v>0</v>
      </c>
      <c r="N276" s="12">
        <v>12.0078265321869</v>
      </c>
      <c r="O276" s="12">
        <v>19.5</v>
      </c>
      <c r="P276" s="12">
        <v>4549.01</v>
      </c>
      <c r="Q276" s="12" t="s">
        <v>1</v>
      </c>
    </row>
    <row r="277" spans="1:17" x14ac:dyDescent="0.25">
      <c r="A277" s="12">
        <f t="shared" si="4"/>
        <v>276</v>
      </c>
      <c r="B277" s="12">
        <v>0.378631</v>
      </c>
      <c r="C277" s="12">
        <v>1.7956400000000001E-2</v>
      </c>
      <c r="D277" s="12">
        <v>0.186944</v>
      </c>
      <c r="E277" s="12">
        <v>9.3558441500748408</v>
      </c>
      <c r="F277" s="12">
        <v>132.25</v>
      </c>
      <c r="G277" s="12">
        <v>14.7980388673297</v>
      </c>
      <c r="H277" s="12" t="s">
        <v>0</v>
      </c>
      <c r="I277" s="12">
        <v>0.602904</v>
      </c>
      <c r="J277" s="12">
        <v>108.9782</v>
      </c>
      <c r="K277" s="12">
        <v>120.29696</v>
      </c>
      <c r="L277" s="12" t="s">
        <v>1</v>
      </c>
      <c r="M277" s="12" t="s">
        <v>0</v>
      </c>
      <c r="N277" s="12">
        <v>13.0587324417272</v>
      </c>
      <c r="O277" s="12">
        <v>19.5</v>
      </c>
      <c r="P277" s="12">
        <v>5895.91</v>
      </c>
      <c r="Q277" s="12" t="s">
        <v>1</v>
      </c>
    </row>
    <row r="278" spans="1:17" x14ac:dyDescent="0.25">
      <c r="A278" s="12">
        <f t="shared" si="4"/>
        <v>277</v>
      </c>
      <c r="B278" s="12">
        <v>1.1128100000000001</v>
      </c>
      <c r="C278" s="12">
        <v>1.16729E-2</v>
      </c>
      <c r="D278" s="12">
        <v>0.65715800000000002</v>
      </c>
      <c r="E278" s="12">
        <v>7.1945195149123604</v>
      </c>
      <c r="F278" s="12">
        <v>56.25</v>
      </c>
      <c r="G278" s="12">
        <v>257.84528594557997</v>
      </c>
      <c r="H278" s="12" t="s">
        <v>0</v>
      </c>
      <c r="I278" s="12">
        <v>1.19024</v>
      </c>
      <c r="J278" s="12">
        <v>105.83645</v>
      </c>
      <c r="K278" s="12">
        <v>397.72322000000003</v>
      </c>
      <c r="L278" s="12" t="s">
        <v>1</v>
      </c>
      <c r="M278" s="12" t="s">
        <v>0</v>
      </c>
      <c r="N278" s="12">
        <v>12.682260150491</v>
      </c>
      <c r="O278" s="12">
        <v>15.5</v>
      </c>
      <c r="P278" s="12">
        <v>1438.99</v>
      </c>
      <c r="Q278" s="12" t="s">
        <v>1</v>
      </c>
    </row>
    <row r="279" spans="1:17" x14ac:dyDescent="0.25">
      <c r="A279" s="12">
        <f t="shared" si="4"/>
        <v>278</v>
      </c>
      <c r="B279" s="12">
        <v>1.05264</v>
      </c>
      <c r="C279" s="12">
        <v>0.15724299999999999</v>
      </c>
      <c r="D279" s="12">
        <v>0.66026700000000005</v>
      </c>
      <c r="E279" s="12">
        <v>130.05142194938099</v>
      </c>
      <c r="F279" s="12">
        <v>36</v>
      </c>
      <c r="G279" s="12">
        <v>108.26488020716801</v>
      </c>
      <c r="H279" s="12" t="s">
        <v>0</v>
      </c>
      <c r="I279" s="12">
        <v>1.14211</v>
      </c>
      <c r="J279" s="12">
        <v>178.6215</v>
      </c>
      <c r="K279" s="12">
        <v>399.55752999999999</v>
      </c>
      <c r="L279" s="12" t="s">
        <v>1</v>
      </c>
      <c r="M279" s="12" t="s">
        <v>0</v>
      </c>
      <c r="N279" s="12">
        <v>21.4040090296957</v>
      </c>
      <c r="O279" s="12">
        <v>14</v>
      </c>
      <c r="P279" s="12">
        <v>3502.16</v>
      </c>
      <c r="Q279" s="12" t="s">
        <v>1</v>
      </c>
    </row>
    <row r="280" spans="1:17" x14ac:dyDescent="0.25">
      <c r="A280" s="12">
        <f t="shared" si="4"/>
        <v>279</v>
      </c>
      <c r="B280" s="12">
        <v>1.11283</v>
      </c>
      <c r="C280" s="12">
        <v>0.11164499999999999</v>
      </c>
      <c r="D280" s="12">
        <v>0.63189700000000004</v>
      </c>
      <c r="E280" s="12">
        <v>75.204122807168105</v>
      </c>
      <c r="F280" s="12">
        <v>42.25</v>
      </c>
      <c r="G280" s="12">
        <v>171.242678959654</v>
      </c>
      <c r="H280" s="12" t="s">
        <v>0</v>
      </c>
      <c r="I280" s="12">
        <v>1.1902600000000001</v>
      </c>
      <c r="J280" s="12">
        <v>155.82249999999999</v>
      </c>
      <c r="K280" s="12">
        <v>382.81923</v>
      </c>
      <c r="L280" s="12" t="s">
        <v>1</v>
      </c>
      <c r="M280" s="12" t="s">
        <v>0</v>
      </c>
      <c r="N280" s="12">
        <v>18.672031065855801</v>
      </c>
      <c r="O280" s="12">
        <v>14.5</v>
      </c>
      <c r="P280" s="12">
        <v>2523.62</v>
      </c>
      <c r="Q280" s="12" t="s">
        <v>1</v>
      </c>
    </row>
    <row r="281" spans="1:17" x14ac:dyDescent="0.25">
      <c r="A281" s="12">
        <f t="shared" si="4"/>
        <v>280</v>
      </c>
      <c r="B281" s="12">
        <v>1.11043</v>
      </c>
      <c r="C281" s="12">
        <v>3.5176199999999998E-2</v>
      </c>
      <c r="D281" s="12">
        <v>0.69107700000000005</v>
      </c>
      <c r="E281" s="12">
        <v>16.731755531946199</v>
      </c>
      <c r="F281" s="12">
        <v>56.25</v>
      </c>
      <c r="G281" s="12">
        <v>256.03506969412598</v>
      </c>
      <c r="H281" s="12" t="s">
        <v>0</v>
      </c>
      <c r="I281" s="12">
        <v>1.18834</v>
      </c>
      <c r="J281" s="12">
        <v>117.5881</v>
      </c>
      <c r="K281" s="12">
        <v>417.73543000000001</v>
      </c>
      <c r="L281" s="12" t="s">
        <v>1</v>
      </c>
      <c r="M281" s="12" t="s">
        <v>0</v>
      </c>
      <c r="N281" s="12">
        <v>14.090446862134501</v>
      </c>
      <c r="O281" s="12">
        <v>15.5</v>
      </c>
      <c r="P281" s="12">
        <v>1459.6</v>
      </c>
      <c r="Q281" s="12" t="s">
        <v>1</v>
      </c>
    </row>
    <row r="282" spans="1:17" x14ac:dyDescent="0.25">
      <c r="A282" s="12">
        <f t="shared" si="4"/>
        <v>281</v>
      </c>
      <c r="B282" s="12">
        <v>1.08555</v>
      </c>
      <c r="C282" s="12">
        <v>0.25836700000000001</v>
      </c>
      <c r="D282" s="12">
        <v>0.85223800000000005</v>
      </c>
      <c r="E282" s="12">
        <v>304.949222188227</v>
      </c>
      <c r="F282" s="12">
        <v>36</v>
      </c>
      <c r="G282" s="12">
        <v>109.184177480953</v>
      </c>
      <c r="H282" s="12" t="s">
        <v>0</v>
      </c>
      <c r="I282" s="12">
        <v>1.1684399999999999</v>
      </c>
      <c r="J282" s="12">
        <v>229.18350000000001</v>
      </c>
      <c r="K282" s="12">
        <v>512.82042000000001</v>
      </c>
      <c r="L282" s="12" t="s">
        <v>1</v>
      </c>
      <c r="M282" s="12" t="s">
        <v>0</v>
      </c>
      <c r="N282" s="12">
        <v>27.462795371538501</v>
      </c>
      <c r="O282" s="12">
        <v>14</v>
      </c>
      <c r="P282" s="12">
        <v>3486.07</v>
      </c>
      <c r="Q282" s="12" t="s">
        <v>1</v>
      </c>
    </row>
    <row r="283" spans="1:17" x14ac:dyDescent="0.25">
      <c r="A283" s="12">
        <f t="shared" si="4"/>
        <v>282</v>
      </c>
      <c r="B283" s="12">
        <v>0.93945000000000001</v>
      </c>
      <c r="C283" s="12">
        <v>0.32608599999999999</v>
      </c>
      <c r="D283" s="12">
        <v>0.54053600000000002</v>
      </c>
      <c r="E283" s="12">
        <v>463.11644012244102</v>
      </c>
      <c r="F283" s="12">
        <v>42.25</v>
      </c>
      <c r="G283" s="12">
        <v>16.253489288046499</v>
      </c>
      <c r="H283" s="12" t="s">
        <v>0</v>
      </c>
      <c r="I283" s="12">
        <v>1.0515600000000001</v>
      </c>
      <c r="J283" s="12">
        <v>263.04300000000001</v>
      </c>
      <c r="K283" s="12">
        <v>328.91624000000002</v>
      </c>
      <c r="L283" s="12" t="s">
        <v>1</v>
      </c>
      <c r="M283" s="12" t="s">
        <v>0</v>
      </c>
      <c r="N283" s="12">
        <v>31.520140336959699</v>
      </c>
      <c r="O283" s="12">
        <v>14.5</v>
      </c>
      <c r="P283" s="12">
        <v>5828.48</v>
      </c>
      <c r="Q283" s="12" t="s">
        <v>1</v>
      </c>
    </row>
    <row r="284" spans="1:17" x14ac:dyDescent="0.25">
      <c r="A284" s="12">
        <f t="shared" si="4"/>
        <v>283</v>
      </c>
      <c r="B284" s="12">
        <v>0.98371500000000001</v>
      </c>
      <c r="C284" s="12">
        <v>0.310859</v>
      </c>
      <c r="D284" s="12">
        <v>0.60073299999999996</v>
      </c>
      <c r="E284" s="12">
        <v>424.682384595104</v>
      </c>
      <c r="F284" s="12">
        <v>30.25</v>
      </c>
      <c r="G284" s="12">
        <v>2.3716843843122501</v>
      </c>
      <c r="H284" s="12" t="s">
        <v>0</v>
      </c>
      <c r="I284" s="12">
        <v>1.086972</v>
      </c>
      <c r="J284" s="12">
        <v>255.42949999999999</v>
      </c>
      <c r="K284" s="12">
        <v>364.43247000000002</v>
      </c>
      <c r="L284" s="12" t="s">
        <v>1</v>
      </c>
      <c r="M284" s="12" t="s">
        <v>0</v>
      </c>
      <c r="N284" s="12">
        <v>30.607823383246998</v>
      </c>
      <c r="O284" s="12">
        <v>13.5</v>
      </c>
      <c r="P284" s="12">
        <v>6737.89</v>
      </c>
      <c r="Q284" s="12" t="s">
        <v>1</v>
      </c>
    </row>
    <row r="285" spans="1:17" x14ac:dyDescent="0.25">
      <c r="A285" s="12">
        <f t="shared" si="4"/>
        <v>284</v>
      </c>
      <c r="B285" s="12">
        <v>0.52836000000000005</v>
      </c>
      <c r="C285" s="12">
        <v>1.21788E-2</v>
      </c>
      <c r="D285" s="12">
        <v>0.18468399999999999</v>
      </c>
      <c r="E285" s="12">
        <v>7.3580406609694098</v>
      </c>
      <c r="F285" s="12">
        <v>132.25</v>
      </c>
      <c r="G285" s="12">
        <v>21.241744549446398</v>
      </c>
      <c r="H285" s="12" t="s">
        <v>0</v>
      </c>
      <c r="I285" s="12">
        <v>0.72267999999999999</v>
      </c>
      <c r="J285" s="12">
        <v>106.0894</v>
      </c>
      <c r="K285" s="12">
        <v>118.96356</v>
      </c>
      <c r="L285" s="12" t="s">
        <v>1</v>
      </c>
      <c r="M285" s="12" t="s">
        <v>0</v>
      </c>
      <c r="N285" s="12">
        <v>12.7125708582393</v>
      </c>
      <c r="O285" s="12">
        <v>19.5</v>
      </c>
      <c r="P285" s="12">
        <v>5617.76</v>
      </c>
      <c r="Q285" s="12" t="s">
        <v>1</v>
      </c>
    </row>
    <row r="286" spans="1:17" x14ac:dyDescent="0.25">
      <c r="A286" s="12">
        <f t="shared" si="4"/>
        <v>285</v>
      </c>
      <c r="B286" s="12">
        <v>1.0083</v>
      </c>
      <c r="C286" s="12">
        <v>5.35343E-2</v>
      </c>
      <c r="D286" s="12">
        <v>0.76914000000000005</v>
      </c>
      <c r="E286" s="12">
        <v>26.939856370990601</v>
      </c>
      <c r="F286" s="12">
        <v>49</v>
      </c>
      <c r="G286" s="12">
        <v>234.51272217376601</v>
      </c>
      <c r="H286" s="12" t="s">
        <v>0</v>
      </c>
      <c r="I286" s="12">
        <v>1.1066</v>
      </c>
      <c r="J286" s="12">
        <v>126.76715</v>
      </c>
      <c r="K286" s="12">
        <v>463.79259999999999</v>
      </c>
      <c r="L286" s="12" t="s">
        <v>1</v>
      </c>
      <c r="M286" s="12" t="s">
        <v>0</v>
      </c>
      <c r="N286" s="12">
        <v>15.190361872836</v>
      </c>
      <c r="O286" s="12">
        <v>15</v>
      </c>
      <c r="P286" s="12">
        <v>1710.46</v>
      </c>
      <c r="Q286" s="12" t="s">
        <v>1</v>
      </c>
    </row>
    <row r="287" spans="1:17" x14ac:dyDescent="0.25">
      <c r="A287" s="12">
        <f t="shared" si="4"/>
        <v>286</v>
      </c>
      <c r="B287" s="12">
        <v>0.97060900000000006</v>
      </c>
      <c r="C287" s="12">
        <v>5.4088200000000003E-2</v>
      </c>
      <c r="D287" s="12">
        <v>0.69179100000000004</v>
      </c>
      <c r="E287" s="12">
        <v>27.285458649757</v>
      </c>
      <c r="F287" s="12">
        <v>56.25</v>
      </c>
      <c r="G287" s="12">
        <v>211.42275411972199</v>
      </c>
      <c r="H287" s="12" t="s">
        <v>0</v>
      </c>
      <c r="I287" s="12">
        <v>1.076487</v>
      </c>
      <c r="J287" s="12">
        <v>127.0441</v>
      </c>
      <c r="K287" s="12">
        <v>418.15669000000003</v>
      </c>
      <c r="L287" s="12" t="s">
        <v>1</v>
      </c>
      <c r="M287" s="12" t="s">
        <v>0</v>
      </c>
      <c r="N287" s="12">
        <v>15.223548472997701</v>
      </c>
      <c r="O287" s="12">
        <v>15.5</v>
      </c>
      <c r="P287" s="12">
        <v>1992.76</v>
      </c>
      <c r="Q287" s="12" t="s">
        <v>1</v>
      </c>
    </row>
    <row r="288" spans="1:17" x14ac:dyDescent="0.25">
      <c r="A288" s="12">
        <f t="shared" si="4"/>
        <v>287</v>
      </c>
      <c r="B288" s="12">
        <v>0.98252200000000001</v>
      </c>
      <c r="C288" s="12">
        <v>-1.5910000000000001E-2</v>
      </c>
      <c r="D288" s="12">
        <v>0.65105400000000002</v>
      </c>
      <c r="E288" s="12">
        <v>1.0601720168606901</v>
      </c>
      <c r="F288" s="12">
        <v>81</v>
      </c>
      <c r="G288" s="12">
        <v>282.40572294989602</v>
      </c>
      <c r="H288" s="12" t="s">
        <v>0</v>
      </c>
      <c r="I288" s="12">
        <v>1.086017</v>
      </c>
      <c r="J288" s="12">
        <v>92.045000000000002</v>
      </c>
      <c r="K288" s="12">
        <v>394.12186000000003</v>
      </c>
      <c r="L288" s="12" t="s">
        <v>1</v>
      </c>
      <c r="M288" s="12" t="s">
        <v>0</v>
      </c>
      <c r="N288" s="12">
        <v>11.0296465494822</v>
      </c>
      <c r="O288" s="12">
        <v>17</v>
      </c>
      <c r="P288" s="12">
        <v>1166.2</v>
      </c>
      <c r="Q288" s="12" t="s">
        <v>1</v>
      </c>
    </row>
    <row r="289" spans="1:17" x14ac:dyDescent="0.25">
      <c r="A289" s="12">
        <f t="shared" si="4"/>
        <v>288</v>
      </c>
      <c r="B289" s="12">
        <v>0.97701400000000005</v>
      </c>
      <c r="C289" s="12">
        <v>1.24837E-2</v>
      </c>
      <c r="D289" s="12">
        <v>0.77895499999999995</v>
      </c>
      <c r="E289" s="12">
        <v>7.4574803686558999</v>
      </c>
      <c r="F289" s="12">
        <v>72.25</v>
      </c>
      <c r="G289" s="12">
        <v>272.27893227547298</v>
      </c>
      <c r="H289" s="12" t="s">
        <v>0</v>
      </c>
      <c r="I289" s="12">
        <v>1.0816110000000001</v>
      </c>
      <c r="J289" s="12">
        <v>106.24185</v>
      </c>
      <c r="K289" s="12">
        <v>469.58345000000003</v>
      </c>
      <c r="L289" s="12" t="s">
        <v>1</v>
      </c>
      <c r="M289" s="12" t="s">
        <v>0</v>
      </c>
      <c r="N289" s="12">
        <v>12.7308387665067</v>
      </c>
      <c r="O289" s="12">
        <v>16.5</v>
      </c>
      <c r="P289" s="12">
        <v>1277.18</v>
      </c>
      <c r="Q289" s="12" t="s">
        <v>1</v>
      </c>
    </row>
    <row r="290" spans="1:17" x14ac:dyDescent="0.25">
      <c r="A290" s="12">
        <f t="shared" si="4"/>
        <v>289</v>
      </c>
      <c r="B290" s="12">
        <v>1.0095700000000001</v>
      </c>
      <c r="C290" s="12">
        <v>0.123098</v>
      </c>
      <c r="D290" s="12">
        <v>0.91367399999999999</v>
      </c>
      <c r="E290" s="12">
        <v>87.576487048233005</v>
      </c>
      <c r="F290" s="12">
        <v>49</v>
      </c>
      <c r="G290" s="12">
        <v>222.37918348958499</v>
      </c>
      <c r="H290" s="12" t="s">
        <v>0</v>
      </c>
      <c r="I290" s="12">
        <v>1.10765</v>
      </c>
      <c r="J290" s="12">
        <v>161.54900000000001</v>
      </c>
      <c r="K290" s="12">
        <v>549.06766000000005</v>
      </c>
      <c r="L290" s="12" t="s">
        <v>1</v>
      </c>
      <c r="M290" s="12" t="s">
        <v>0</v>
      </c>
      <c r="N290" s="12">
        <v>19.358230978568098</v>
      </c>
      <c r="O290" s="12">
        <v>15</v>
      </c>
      <c r="P290" s="12">
        <v>1856.98</v>
      </c>
      <c r="Q290" s="12" t="s">
        <v>1</v>
      </c>
    </row>
    <row r="291" spans="1:17" x14ac:dyDescent="0.25">
      <c r="A291" s="12">
        <f t="shared" si="4"/>
        <v>290</v>
      </c>
      <c r="B291" s="12">
        <v>0.90365099999999998</v>
      </c>
      <c r="C291" s="12">
        <v>1.7446900000000001E-2</v>
      </c>
      <c r="D291" s="12">
        <v>0.75078800000000001</v>
      </c>
      <c r="E291" s="12">
        <v>9.1700318330958392</v>
      </c>
      <c r="F291" s="12">
        <v>72.25</v>
      </c>
      <c r="G291" s="12">
        <v>265.22130277725603</v>
      </c>
      <c r="H291" s="12" t="s">
        <v>0</v>
      </c>
      <c r="I291" s="12">
        <v>1.0229200000000001</v>
      </c>
      <c r="J291" s="12">
        <v>108.72345</v>
      </c>
      <c r="K291" s="12">
        <v>452.96492000000001</v>
      </c>
      <c r="L291" s="12" t="s">
        <v>1</v>
      </c>
      <c r="M291" s="12" t="s">
        <v>0</v>
      </c>
      <c r="N291" s="12">
        <v>13.0282060420479</v>
      </c>
      <c r="O291" s="12">
        <v>16.5</v>
      </c>
      <c r="P291" s="12">
        <v>1355.75</v>
      </c>
      <c r="Q291" s="12" t="s">
        <v>1</v>
      </c>
    </row>
    <row r="292" spans="1:17" x14ac:dyDescent="0.25">
      <c r="A292" s="12">
        <f t="shared" si="4"/>
        <v>291</v>
      </c>
      <c r="B292" s="12">
        <v>1.0046900000000001</v>
      </c>
      <c r="C292" s="12">
        <v>5.0599199999999997E-2</v>
      </c>
      <c r="D292" s="12">
        <v>0.64911700000000006</v>
      </c>
      <c r="E292" s="12">
        <v>25.145280886319998</v>
      </c>
      <c r="F292" s="12">
        <v>56.25</v>
      </c>
      <c r="G292" s="12">
        <v>205.330055500844</v>
      </c>
      <c r="H292" s="12" t="s">
        <v>0</v>
      </c>
      <c r="I292" s="12">
        <v>1.10375</v>
      </c>
      <c r="J292" s="12">
        <v>125.2996</v>
      </c>
      <c r="K292" s="12">
        <v>392.97903000000002</v>
      </c>
      <c r="L292" s="12" t="s">
        <v>1</v>
      </c>
      <c r="M292" s="12" t="s">
        <v>0</v>
      </c>
      <c r="N292" s="12">
        <v>15.0145070432017</v>
      </c>
      <c r="O292" s="12">
        <v>15.5</v>
      </c>
      <c r="P292" s="12">
        <v>2069.79</v>
      </c>
      <c r="Q292" s="12" t="s">
        <v>1</v>
      </c>
    </row>
    <row r="293" spans="1:17" x14ac:dyDescent="0.25">
      <c r="A293" s="12">
        <f t="shared" si="4"/>
        <v>292</v>
      </c>
      <c r="B293" s="12">
        <v>1.0400199999999999</v>
      </c>
      <c r="C293" s="12">
        <v>1.41253E-2</v>
      </c>
      <c r="D293" s="12">
        <v>0.622471</v>
      </c>
      <c r="E293" s="12">
        <v>8.00434031383997</v>
      </c>
      <c r="F293" s="12">
        <v>64</v>
      </c>
      <c r="G293" s="12">
        <v>248.831176749859</v>
      </c>
      <c r="H293" s="12" t="s">
        <v>0</v>
      </c>
      <c r="I293" s="12">
        <v>1.13201</v>
      </c>
      <c r="J293" s="12">
        <v>107.06265</v>
      </c>
      <c r="K293" s="12">
        <v>377.25788999999997</v>
      </c>
      <c r="L293" s="12" t="s">
        <v>1</v>
      </c>
      <c r="M293" s="12" t="s">
        <v>0</v>
      </c>
      <c r="N293" s="12">
        <v>12.829194287043499</v>
      </c>
      <c r="O293" s="12">
        <v>16</v>
      </c>
      <c r="P293" s="12">
        <v>1542.35</v>
      </c>
      <c r="Q293" s="12" t="s">
        <v>1</v>
      </c>
    </row>
    <row r="294" spans="1:17" x14ac:dyDescent="0.25">
      <c r="A294" s="12">
        <f t="shared" si="4"/>
        <v>293</v>
      </c>
      <c r="B294" s="12">
        <v>0.96264400000000006</v>
      </c>
      <c r="C294" s="12">
        <v>0.32049899999999998</v>
      </c>
      <c r="D294" s="12">
        <v>1.0395399999999999</v>
      </c>
      <c r="E294" s="12">
        <v>448.82110718569498</v>
      </c>
      <c r="F294" s="12">
        <v>30.25</v>
      </c>
      <c r="G294" s="12">
        <v>71.420558675924099</v>
      </c>
      <c r="H294" s="12" t="s">
        <v>0</v>
      </c>
      <c r="I294" s="12">
        <v>1.0701149999999999</v>
      </c>
      <c r="J294" s="12">
        <v>260.24950000000001</v>
      </c>
      <c r="K294" s="12">
        <v>623.32860000000005</v>
      </c>
      <c r="L294" s="12" t="s">
        <v>1</v>
      </c>
      <c r="M294" s="12" t="s">
        <v>0</v>
      </c>
      <c r="N294" s="12">
        <v>31.185398442929799</v>
      </c>
      <c r="O294" s="12">
        <v>13.5</v>
      </c>
      <c r="P294" s="12">
        <v>4215.3599999999997</v>
      </c>
      <c r="Q294" s="12" t="s">
        <v>1</v>
      </c>
    </row>
    <row r="295" spans="1:17" x14ac:dyDescent="0.25">
      <c r="A295" s="12">
        <f t="shared" si="4"/>
        <v>294</v>
      </c>
      <c r="B295" s="12">
        <v>1.0789899999999999</v>
      </c>
      <c r="C295" s="12">
        <v>0.26688699999999999</v>
      </c>
      <c r="D295" s="12">
        <v>0.96024799999999999</v>
      </c>
      <c r="E295" s="12">
        <v>323.03830058880402</v>
      </c>
      <c r="F295" s="12">
        <v>36</v>
      </c>
      <c r="G295" s="12">
        <v>127.565575530868</v>
      </c>
      <c r="H295" s="12" t="s">
        <v>0</v>
      </c>
      <c r="I295" s="12">
        <v>1.1631899999999999</v>
      </c>
      <c r="J295" s="12">
        <v>233.4435</v>
      </c>
      <c r="K295" s="12">
        <v>576.54632000000004</v>
      </c>
      <c r="L295" s="12" t="s">
        <v>1</v>
      </c>
      <c r="M295" s="12" t="s">
        <v>0</v>
      </c>
      <c r="N295" s="12">
        <v>27.973266274909601</v>
      </c>
      <c r="O295" s="12">
        <v>14</v>
      </c>
      <c r="P295" s="12">
        <v>3177.51</v>
      </c>
      <c r="Q295" s="12" t="s">
        <v>1</v>
      </c>
    </row>
    <row r="296" spans="1:17" x14ac:dyDescent="0.25">
      <c r="A296" s="12">
        <f t="shared" si="4"/>
        <v>295</v>
      </c>
      <c r="B296" s="12">
        <v>0.14670800000000001</v>
      </c>
      <c r="C296" s="12">
        <v>4.6999699999999998E-2</v>
      </c>
      <c r="D296" s="12">
        <v>0.166156</v>
      </c>
      <c r="E296" s="12">
        <v>23.028914000224798</v>
      </c>
      <c r="F296" s="12">
        <v>100</v>
      </c>
      <c r="G296" s="12">
        <v>30.678244740851898</v>
      </c>
      <c r="H296" s="12" t="s">
        <v>0</v>
      </c>
      <c r="I296" s="12">
        <v>0.41736600000000001</v>
      </c>
      <c r="J296" s="12">
        <v>123.49985</v>
      </c>
      <c r="K296" s="12">
        <v>108.03203999999999</v>
      </c>
      <c r="L296" s="12" t="s">
        <v>1</v>
      </c>
      <c r="M296" s="12" t="s">
        <v>0</v>
      </c>
      <c r="N296" s="12">
        <v>14.798845069412501</v>
      </c>
      <c r="O296" s="12">
        <v>18</v>
      </c>
      <c r="P296" s="12">
        <v>5278.34</v>
      </c>
      <c r="Q296" s="12" t="s">
        <v>1</v>
      </c>
    </row>
    <row r="297" spans="1:17" x14ac:dyDescent="0.25">
      <c r="A297" s="12">
        <f t="shared" si="4"/>
        <v>296</v>
      </c>
      <c r="B297" s="12">
        <v>0.50749999999999995</v>
      </c>
      <c r="C297" s="12">
        <v>-4.9410700000000002E-2</v>
      </c>
      <c r="D297" s="12">
        <v>0.24712500000000001</v>
      </c>
      <c r="E297" s="12">
        <v>0.95556223701236598</v>
      </c>
      <c r="F297" s="12">
        <v>156.25</v>
      </c>
      <c r="G297" s="12">
        <v>121.17003229423899</v>
      </c>
      <c r="H297" s="12" t="s">
        <v>0</v>
      </c>
      <c r="I297" s="12">
        <v>0.70599999999999996</v>
      </c>
      <c r="J297" s="12">
        <v>75.294650000000004</v>
      </c>
      <c r="K297" s="12">
        <v>155.80375000000001</v>
      </c>
      <c r="L297" s="12" t="s">
        <v>1</v>
      </c>
      <c r="M297" s="12" t="s">
        <v>0</v>
      </c>
      <c r="N297" s="12">
        <v>9.0224713625615003</v>
      </c>
      <c r="O297" s="12">
        <v>20.5</v>
      </c>
      <c r="P297" s="12">
        <v>3282.18</v>
      </c>
      <c r="Q297" s="12" t="s">
        <v>1</v>
      </c>
    </row>
    <row r="298" spans="1:17" x14ac:dyDescent="0.25">
      <c r="A298" s="12">
        <f t="shared" si="4"/>
        <v>297</v>
      </c>
      <c r="B298" s="12">
        <v>0.49344700000000002</v>
      </c>
      <c r="C298" s="12">
        <v>4.1599700000000003E-2</v>
      </c>
      <c r="D298" s="12">
        <v>0.235236</v>
      </c>
      <c r="E298" s="12">
        <v>20.028374291896899</v>
      </c>
      <c r="F298" s="12">
        <v>110.25</v>
      </c>
      <c r="G298" s="12">
        <v>18.683236497654299</v>
      </c>
      <c r="H298" s="12" t="s">
        <v>0</v>
      </c>
      <c r="I298" s="12">
        <v>0.69475699999999996</v>
      </c>
      <c r="J298" s="12">
        <v>120.79985000000001</v>
      </c>
      <c r="K298" s="12">
        <v>148.78924000000001</v>
      </c>
      <c r="L298" s="12" t="s">
        <v>1</v>
      </c>
      <c r="M298" s="12" t="s">
        <v>0</v>
      </c>
      <c r="N298" s="12">
        <v>14.4753071729096</v>
      </c>
      <c r="O298" s="12">
        <v>18.5</v>
      </c>
      <c r="P298" s="12">
        <v>5722.32</v>
      </c>
      <c r="Q298" s="12" t="s">
        <v>1</v>
      </c>
    </row>
    <row r="299" spans="1:17" x14ac:dyDescent="0.25">
      <c r="A299" s="12">
        <f t="shared" si="4"/>
        <v>298</v>
      </c>
      <c r="B299" s="12">
        <v>1.0355099999999999</v>
      </c>
      <c r="C299" s="12">
        <v>-1.247E-2</v>
      </c>
      <c r="D299" s="12">
        <v>0.71354399999999996</v>
      </c>
      <c r="E299" s="12">
        <v>1.5270834316891799</v>
      </c>
      <c r="F299" s="12">
        <v>81</v>
      </c>
      <c r="G299" s="12">
        <v>290.762294855319</v>
      </c>
      <c r="H299" s="12" t="s">
        <v>0</v>
      </c>
      <c r="I299" s="12">
        <v>1.1284000000000001</v>
      </c>
      <c r="J299" s="12">
        <v>93.765000000000001</v>
      </c>
      <c r="K299" s="12">
        <v>430.99095999999997</v>
      </c>
      <c r="L299" s="12" t="s">
        <v>1</v>
      </c>
      <c r="M299" s="12" t="s">
        <v>0</v>
      </c>
      <c r="N299" s="12">
        <v>11.235752172439501</v>
      </c>
      <c r="O299" s="12">
        <v>17</v>
      </c>
      <c r="P299" s="12">
        <v>1076.1099999999999</v>
      </c>
      <c r="Q299" s="12" t="s">
        <v>1</v>
      </c>
    </row>
    <row r="300" spans="1:17" x14ac:dyDescent="0.25">
      <c r="A300" s="12">
        <f t="shared" si="4"/>
        <v>299</v>
      </c>
      <c r="B300" s="12">
        <v>0.162244</v>
      </c>
      <c r="C300" s="12">
        <v>-3.34326E-2</v>
      </c>
      <c r="D300" s="12">
        <v>0.18544099999999999</v>
      </c>
      <c r="E300" s="12">
        <v>4.0844243871109498E-4</v>
      </c>
      <c r="F300" s="12">
        <v>144</v>
      </c>
      <c r="G300" s="12">
        <v>103.657502889848</v>
      </c>
      <c r="H300" s="12" t="s">
        <v>0</v>
      </c>
      <c r="I300" s="12">
        <v>0.42979499999999998</v>
      </c>
      <c r="J300" s="12">
        <v>83.283699999999996</v>
      </c>
      <c r="K300" s="12">
        <v>119.41019</v>
      </c>
      <c r="L300" s="12" t="s">
        <v>1</v>
      </c>
      <c r="M300" s="12" t="s">
        <v>0</v>
      </c>
      <c r="N300" s="12">
        <v>9.9797900411006992</v>
      </c>
      <c r="O300" s="12">
        <v>20</v>
      </c>
      <c r="P300" s="12">
        <v>3583.85</v>
      </c>
      <c r="Q300" s="12" t="s">
        <v>1</v>
      </c>
    </row>
    <row r="301" spans="1:17" x14ac:dyDescent="0.25">
      <c r="A301" s="12">
        <f t="shared" si="4"/>
        <v>300</v>
      </c>
      <c r="B301" s="12">
        <v>0.83097100000000002</v>
      </c>
      <c r="C301" s="12">
        <v>-8.7953000000000007E-3</v>
      </c>
      <c r="D301" s="12">
        <v>0.77599300000000004</v>
      </c>
      <c r="E301" s="12">
        <v>2.1197022049067602</v>
      </c>
      <c r="F301" s="12">
        <v>90.25</v>
      </c>
      <c r="G301" s="12">
        <v>277.08110707449799</v>
      </c>
      <c r="H301" s="12" t="s">
        <v>0</v>
      </c>
      <c r="I301" s="12">
        <v>0.96477599999999997</v>
      </c>
      <c r="J301" s="12">
        <v>95.602350000000001</v>
      </c>
      <c r="K301" s="12">
        <v>467.83587</v>
      </c>
      <c r="L301" s="12" t="s">
        <v>1</v>
      </c>
      <c r="M301" s="12" t="s">
        <v>0</v>
      </c>
      <c r="N301" s="12">
        <v>11.455919711009701</v>
      </c>
      <c r="O301" s="12">
        <v>17.5</v>
      </c>
      <c r="P301" s="12">
        <v>1224.3</v>
      </c>
      <c r="Q301" s="12" t="s">
        <v>1</v>
      </c>
    </row>
    <row r="302" spans="1:17" x14ac:dyDescent="0.25">
      <c r="A302" s="12">
        <f t="shared" si="4"/>
        <v>301</v>
      </c>
      <c r="B302" s="12">
        <v>0.99553199999999997</v>
      </c>
      <c r="C302" s="12">
        <v>8.7816199999999997E-2</v>
      </c>
      <c r="D302" s="12">
        <v>0.72314999999999996</v>
      </c>
      <c r="E302" s="12">
        <v>52.480494037973003</v>
      </c>
      <c r="F302" s="12">
        <v>49</v>
      </c>
      <c r="G302" s="12">
        <v>205.68196206492701</v>
      </c>
      <c r="H302" s="12" t="s">
        <v>0</v>
      </c>
      <c r="I302" s="12">
        <v>1.096425</v>
      </c>
      <c r="J302" s="12">
        <v>143.90809999999999</v>
      </c>
      <c r="K302" s="12">
        <v>436.6585</v>
      </c>
      <c r="L302" s="12" t="s">
        <v>1</v>
      </c>
      <c r="M302" s="12" t="s">
        <v>0</v>
      </c>
      <c r="N302" s="12">
        <v>17.2443422087842</v>
      </c>
      <c r="O302" s="12">
        <v>15</v>
      </c>
      <c r="P302" s="12">
        <v>2065.31</v>
      </c>
      <c r="Q302" s="12" t="s">
        <v>1</v>
      </c>
    </row>
    <row r="303" spans="1:17" x14ac:dyDescent="0.25">
      <c r="A303" s="12">
        <f t="shared" si="4"/>
        <v>302</v>
      </c>
      <c r="B303" s="12">
        <v>0.955376</v>
      </c>
      <c r="C303" s="12">
        <v>0.110165</v>
      </c>
      <c r="D303" s="12">
        <v>0.67945199999999994</v>
      </c>
      <c r="E303" s="12">
        <v>73.674029688437301</v>
      </c>
      <c r="F303" s="12">
        <v>42.25</v>
      </c>
      <c r="G303" s="12">
        <v>135.17916541865199</v>
      </c>
      <c r="H303" s="12" t="s">
        <v>0</v>
      </c>
      <c r="I303" s="12">
        <v>1.0643</v>
      </c>
      <c r="J303" s="12">
        <v>155.08250000000001</v>
      </c>
      <c r="K303" s="12">
        <v>410.87668000000002</v>
      </c>
      <c r="L303" s="12" t="s">
        <v>1</v>
      </c>
      <c r="M303" s="12" t="s">
        <v>0</v>
      </c>
      <c r="N303" s="12">
        <v>18.583357716443899</v>
      </c>
      <c r="O303" s="12">
        <v>14.5</v>
      </c>
      <c r="P303" s="12">
        <v>3056.27</v>
      </c>
      <c r="Q303" s="12" t="s">
        <v>1</v>
      </c>
    </row>
    <row r="304" spans="1:17" x14ac:dyDescent="0.25">
      <c r="A304" s="12">
        <f t="shared" si="4"/>
        <v>303</v>
      </c>
      <c r="B304" s="12">
        <v>0.95842099999999997</v>
      </c>
      <c r="C304" s="12">
        <v>0.1817</v>
      </c>
      <c r="D304" s="12">
        <v>0.67513400000000001</v>
      </c>
      <c r="E304" s="12">
        <v>165.61981239415999</v>
      </c>
      <c r="F304" s="12">
        <v>42.25</v>
      </c>
      <c r="G304" s="12">
        <v>97.153157657346497</v>
      </c>
      <c r="H304" s="12" t="s">
        <v>0</v>
      </c>
      <c r="I304" s="12">
        <v>1.0667359999999999</v>
      </c>
      <c r="J304" s="12">
        <v>190.85</v>
      </c>
      <c r="K304" s="12">
        <v>408.32906000000003</v>
      </c>
      <c r="L304" s="12" t="s">
        <v>1</v>
      </c>
      <c r="M304" s="12" t="s">
        <v>0</v>
      </c>
      <c r="N304" s="12">
        <v>22.869336128727099</v>
      </c>
      <c r="O304" s="12">
        <v>14.5</v>
      </c>
      <c r="P304" s="12">
        <v>3702.33</v>
      </c>
      <c r="Q304" s="12" t="s">
        <v>1</v>
      </c>
    </row>
    <row r="305" spans="1:17" x14ac:dyDescent="0.25">
      <c r="A305" s="12">
        <f t="shared" si="4"/>
        <v>304</v>
      </c>
      <c r="B305" s="12">
        <v>1.04061</v>
      </c>
      <c r="C305" s="12">
        <v>0.12123299999999999</v>
      </c>
      <c r="D305" s="12">
        <v>0.95756399999999997</v>
      </c>
      <c r="E305" s="12">
        <v>85.497587961407504</v>
      </c>
      <c r="F305" s="12">
        <v>42.25</v>
      </c>
      <c r="G305" s="12">
        <v>191.268142192531</v>
      </c>
      <c r="H305" s="12" t="s">
        <v>0</v>
      </c>
      <c r="I305" s="12">
        <v>1.1324799999999999</v>
      </c>
      <c r="J305" s="12">
        <v>160.6165</v>
      </c>
      <c r="K305" s="12">
        <v>574.96276</v>
      </c>
      <c r="L305" s="12" t="s">
        <v>1</v>
      </c>
      <c r="M305" s="12" t="s">
        <v>0</v>
      </c>
      <c r="N305" s="12">
        <v>19.246490575424101</v>
      </c>
      <c r="O305" s="12">
        <v>14.5</v>
      </c>
      <c r="P305" s="12">
        <v>2252.06</v>
      </c>
      <c r="Q305" s="12" t="s">
        <v>1</v>
      </c>
    </row>
    <row r="306" spans="1:17" x14ac:dyDescent="0.25">
      <c r="A306" s="12">
        <f t="shared" si="4"/>
        <v>305</v>
      </c>
      <c r="B306" s="12">
        <v>0.96650000000000003</v>
      </c>
      <c r="C306" s="12">
        <v>7.4914599999999998E-2</v>
      </c>
      <c r="D306" s="12">
        <v>0.71706999999999999</v>
      </c>
      <c r="E306" s="12">
        <v>41.878374182602698</v>
      </c>
      <c r="F306" s="12">
        <v>56.25</v>
      </c>
      <c r="G306" s="12">
        <v>205.18325506173699</v>
      </c>
      <c r="H306" s="12" t="s">
        <v>0</v>
      </c>
      <c r="I306" s="12">
        <v>1.0731999999999999</v>
      </c>
      <c r="J306" s="12">
        <v>137.4573</v>
      </c>
      <c r="K306" s="12">
        <v>433.07130000000001</v>
      </c>
      <c r="L306" s="12" t="s">
        <v>1</v>
      </c>
      <c r="M306" s="12" t="s">
        <v>0</v>
      </c>
      <c r="N306" s="12">
        <v>16.4713502596137</v>
      </c>
      <c r="O306" s="12">
        <v>15.5</v>
      </c>
      <c r="P306" s="12">
        <v>2071.66</v>
      </c>
      <c r="Q306" s="12" t="s">
        <v>1</v>
      </c>
    </row>
    <row r="307" spans="1:17" x14ac:dyDescent="0.25">
      <c r="A307" s="12">
        <f t="shared" si="4"/>
        <v>306</v>
      </c>
      <c r="B307" s="12">
        <v>0.87605900000000003</v>
      </c>
      <c r="C307" s="12">
        <v>0.333258</v>
      </c>
      <c r="D307" s="12">
        <v>0.59600900000000001</v>
      </c>
      <c r="E307" s="12">
        <v>481.79576554647798</v>
      </c>
      <c r="F307" s="12">
        <v>36</v>
      </c>
      <c r="G307" s="12">
        <v>0.43531073297053802</v>
      </c>
      <c r="H307" s="12" t="s">
        <v>0</v>
      </c>
      <c r="I307" s="12">
        <v>1.000847</v>
      </c>
      <c r="J307" s="12">
        <v>266.62900000000002</v>
      </c>
      <c r="K307" s="12">
        <v>361.64530999999999</v>
      </c>
      <c r="L307" s="12" t="s">
        <v>1</v>
      </c>
      <c r="M307" s="12" t="s">
        <v>0</v>
      </c>
      <c r="N307" s="12">
        <v>31.9498465950557</v>
      </c>
      <c r="O307" s="12">
        <v>14</v>
      </c>
      <c r="P307" s="12">
        <v>7059.18</v>
      </c>
      <c r="Q307" s="12" t="s">
        <v>1</v>
      </c>
    </row>
    <row r="308" spans="1:17" x14ac:dyDescent="0.25">
      <c r="A308" s="12">
        <f t="shared" si="4"/>
        <v>307</v>
      </c>
      <c r="B308" s="12">
        <v>1.0324199999999999</v>
      </c>
      <c r="C308" s="12">
        <v>-7.6376100000000004E-3</v>
      </c>
      <c r="D308" s="12">
        <v>0.71942799999999996</v>
      </c>
      <c r="E308" s="12">
        <v>2.3264853076788099</v>
      </c>
      <c r="F308" s="12">
        <v>64</v>
      </c>
      <c r="G308" s="12">
        <v>276.68722165059103</v>
      </c>
      <c r="H308" s="12" t="s">
        <v>0</v>
      </c>
      <c r="I308" s="12">
        <v>1.1259300000000001</v>
      </c>
      <c r="J308" s="12">
        <v>96.181195000000002</v>
      </c>
      <c r="K308" s="12">
        <v>434.46251999999998</v>
      </c>
      <c r="L308" s="12" t="s">
        <v>1</v>
      </c>
      <c r="M308" s="12" t="s">
        <v>0</v>
      </c>
      <c r="N308" s="12">
        <v>11.5252820420102</v>
      </c>
      <c r="O308" s="12">
        <v>16</v>
      </c>
      <c r="P308" s="12">
        <v>1228.6199999999999</v>
      </c>
      <c r="Q308" s="12" t="s">
        <v>1</v>
      </c>
    </row>
    <row r="309" spans="1:17" x14ac:dyDescent="0.25">
      <c r="A309" s="12">
        <f t="shared" si="4"/>
        <v>308</v>
      </c>
      <c r="B309" s="12">
        <v>1.06481</v>
      </c>
      <c r="C309" s="12">
        <v>0.124972</v>
      </c>
      <c r="D309" s="12">
        <v>0.88758800000000004</v>
      </c>
      <c r="E309" s="12">
        <v>89.6905712432862</v>
      </c>
      <c r="F309" s="12">
        <v>36</v>
      </c>
      <c r="G309" s="12">
        <v>177.99726709626501</v>
      </c>
      <c r="H309" s="12" t="s">
        <v>0</v>
      </c>
      <c r="I309" s="12">
        <v>1.15184</v>
      </c>
      <c r="J309" s="12">
        <v>162.48599999999999</v>
      </c>
      <c r="K309" s="12">
        <v>533.67692</v>
      </c>
      <c r="L309" s="12" t="s">
        <v>1</v>
      </c>
      <c r="M309" s="12" t="s">
        <v>0</v>
      </c>
      <c r="N309" s="12">
        <v>19.470510611539702</v>
      </c>
      <c r="O309" s="12">
        <v>14</v>
      </c>
      <c r="P309" s="12">
        <v>2430.33</v>
      </c>
      <c r="Q309" s="12" t="s">
        <v>1</v>
      </c>
    </row>
    <row r="310" spans="1:17" x14ac:dyDescent="0.25">
      <c r="A310" s="12">
        <f t="shared" si="4"/>
        <v>309</v>
      </c>
      <c r="B310" s="12">
        <v>0.24457799999999999</v>
      </c>
      <c r="C310" s="12">
        <v>-4.6991499999999999E-2</v>
      </c>
      <c r="D310" s="12">
        <v>0.42866100000000001</v>
      </c>
      <c r="E310" s="12">
        <v>0.69319555057467797</v>
      </c>
      <c r="F310" s="12">
        <v>144</v>
      </c>
      <c r="G310" s="12">
        <v>232.132356614749</v>
      </c>
      <c r="H310" s="12" t="s">
        <v>0</v>
      </c>
      <c r="I310" s="12">
        <v>0.49566199999999999</v>
      </c>
      <c r="J310" s="12">
        <v>76.504249999999999</v>
      </c>
      <c r="K310" s="12">
        <v>262.90998999999999</v>
      </c>
      <c r="L310" s="12" t="s">
        <v>1</v>
      </c>
      <c r="M310" s="12" t="s">
        <v>0</v>
      </c>
      <c r="N310" s="12">
        <v>9.1674163401947606</v>
      </c>
      <c r="O310" s="12">
        <v>20</v>
      </c>
      <c r="P310" s="12">
        <v>1738.9</v>
      </c>
      <c r="Q310" s="12" t="s">
        <v>1</v>
      </c>
    </row>
    <row r="311" spans="1:17" x14ac:dyDescent="0.25">
      <c r="A311" s="12">
        <f t="shared" si="4"/>
        <v>310</v>
      </c>
      <c r="B311" s="12">
        <v>0.29812499999999997</v>
      </c>
      <c r="C311" s="12">
        <v>-3.30815E-2</v>
      </c>
      <c r="D311" s="12">
        <v>0.48018300000000003</v>
      </c>
      <c r="E311" s="12">
        <v>6.8226908791494996E-7</v>
      </c>
      <c r="F311" s="12">
        <v>144</v>
      </c>
      <c r="G311" s="12">
        <v>216.05456035729</v>
      </c>
      <c r="H311" s="12" t="s">
        <v>0</v>
      </c>
      <c r="I311" s="12">
        <v>0.53849999999999998</v>
      </c>
      <c r="J311" s="12">
        <v>83.459249999999997</v>
      </c>
      <c r="K311" s="12">
        <v>293.30797000000001</v>
      </c>
      <c r="L311" s="12" t="s">
        <v>1</v>
      </c>
      <c r="M311" s="12" t="s">
        <v>0</v>
      </c>
      <c r="N311" s="12">
        <v>10.0008259958159</v>
      </c>
      <c r="O311" s="12">
        <v>20</v>
      </c>
      <c r="P311" s="12">
        <v>1934.94</v>
      </c>
      <c r="Q311" s="12" t="s">
        <v>1</v>
      </c>
    </row>
    <row r="312" spans="1:17" x14ac:dyDescent="0.25">
      <c r="A312" s="12">
        <f t="shared" si="4"/>
        <v>311</v>
      </c>
      <c r="B312" s="12">
        <v>0.85275900000000004</v>
      </c>
      <c r="C312" s="12">
        <v>0.36802299999999999</v>
      </c>
      <c r="D312" s="12">
        <v>0.58777000000000001</v>
      </c>
      <c r="E312" s="12">
        <v>577.57411029017999</v>
      </c>
      <c r="F312" s="12">
        <v>42.25</v>
      </c>
      <c r="G312" s="12">
        <v>0.30015388177894498</v>
      </c>
      <c r="H312" s="12" t="s">
        <v>0</v>
      </c>
      <c r="I312" s="12">
        <v>0.98220700000000005</v>
      </c>
      <c r="J312" s="12">
        <v>284.01150000000001</v>
      </c>
      <c r="K312" s="12">
        <v>356.78429999999997</v>
      </c>
      <c r="L312" s="12" t="s">
        <v>1</v>
      </c>
      <c r="M312" s="12" t="s">
        <v>0</v>
      </c>
      <c r="N312" s="12">
        <v>34.032771589855798</v>
      </c>
      <c r="O312" s="12">
        <v>14.5</v>
      </c>
      <c r="P312" s="12">
        <v>7499.97</v>
      </c>
      <c r="Q312" s="12" t="s">
        <v>1</v>
      </c>
    </row>
    <row r="313" spans="1:17" x14ac:dyDescent="0.25">
      <c r="A313" s="12">
        <f t="shared" si="4"/>
        <v>312</v>
      </c>
      <c r="B313" s="12">
        <v>0.20507500000000001</v>
      </c>
      <c r="C313" s="12">
        <v>9.2081499999999997E-2</v>
      </c>
      <c r="D313" s="12">
        <v>0.181561</v>
      </c>
      <c r="E313" s="12">
        <v>56.248428114838298</v>
      </c>
      <c r="F313" s="12">
        <v>90.25</v>
      </c>
      <c r="G313" s="12">
        <v>3.7934232313754902E-2</v>
      </c>
      <c r="H313" s="12" t="s">
        <v>0</v>
      </c>
      <c r="I313" s="12">
        <v>0.46405999999999997</v>
      </c>
      <c r="J313" s="12">
        <v>146.04075</v>
      </c>
      <c r="K313" s="12">
        <v>117.12099000000001</v>
      </c>
      <c r="L313" s="12" t="s">
        <v>1</v>
      </c>
      <c r="M313" s="12" t="s">
        <v>0</v>
      </c>
      <c r="N313" s="12">
        <v>17.4998952069237</v>
      </c>
      <c r="O313" s="12">
        <v>17.5</v>
      </c>
      <c r="P313" s="12">
        <v>7371.09</v>
      </c>
      <c r="Q313" s="12" t="s">
        <v>1</v>
      </c>
    </row>
    <row r="314" spans="1:17" x14ac:dyDescent="0.25">
      <c r="A314" s="12">
        <f t="shared" si="4"/>
        <v>313</v>
      </c>
      <c r="B314" s="12">
        <v>0.24395800000000001</v>
      </c>
      <c r="C314" s="12">
        <v>-1.6507100000000001E-4</v>
      </c>
      <c r="D314" s="12">
        <v>0.22012899999999999</v>
      </c>
      <c r="E314" s="12">
        <v>3.89270896052082</v>
      </c>
      <c r="F314" s="12">
        <v>132.25</v>
      </c>
      <c r="G314" s="12">
        <v>66.380528550196999</v>
      </c>
      <c r="H314" s="12" t="s">
        <v>0</v>
      </c>
      <c r="I314" s="12">
        <v>0.495166</v>
      </c>
      <c r="J314" s="12">
        <v>99.917464499999994</v>
      </c>
      <c r="K314" s="12">
        <v>139.87611000000001</v>
      </c>
      <c r="L314" s="12" t="s">
        <v>1</v>
      </c>
      <c r="M314" s="12" t="s">
        <v>0</v>
      </c>
      <c r="N314" s="12">
        <v>11.972994921564799</v>
      </c>
      <c r="O314" s="12">
        <v>19.5</v>
      </c>
      <c r="P314" s="12">
        <v>4326.1899999999996</v>
      </c>
      <c r="Q314" s="12" t="s">
        <v>1</v>
      </c>
    </row>
    <row r="315" spans="1:17" x14ac:dyDescent="0.25">
      <c r="A315" s="12">
        <f t="shared" si="4"/>
        <v>314</v>
      </c>
      <c r="B315" s="12">
        <v>0.50717100000000004</v>
      </c>
      <c r="C315" s="12">
        <v>8.5582699999999998E-2</v>
      </c>
      <c r="D315" s="12">
        <v>0.24520900000000001</v>
      </c>
      <c r="E315" s="12">
        <v>50.559542167620499</v>
      </c>
      <c r="F315" s="12">
        <v>81</v>
      </c>
      <c r="G315" s="12">
        <v>1.3126253510977599</v>
      </c>
      <c r="H315" s="12" t="s">
        <v>0</v>
      </c>
      <c r="I315" s="12">
        <v>0.70573600000000003</v>
      </c>
      <c r="J315" s="12">
        <v>142.79134999999999</v>
      </c>
      <c r="K315" s="12">
        <v>154.67330999999999</v>
      </c>
      <c r="L315" s="12" t="s">
        <v>1</v>
      </c>
      <c r="M315" s="12" t="s">
        <v>0</v>
      </c>
      <c r="N315" s="12">
        <v>17.110523339925098</v>
      </c>
      <c r="O315" s="12">
        <v>17</v>
      </c>
      <c r="P315" s="12">
        <v>7718.18</v>
      </c>
      <c r="Q315" s="12" t="s">
        <v>1</v>
      </c>
    </row>
    <row r="316" spans="1:17" x14ac:dyDescent="0.25">
      <c r="A316" s="12">
        <f t="shared" si="4"/>
        <v>315</v>
      </c>
      <c r="B316" s="12">
        <v>0.98192999999999997</v>
      </c>
      <c r="C316" s="12">
        <v>0.10412200000000001</v>
      </c>
      <c r="D316" s="12">
        <v>0.83932600000000002</v>
      </c>
      <c r="E316" s="12">
        <v>67.589688919991005</v>
      </c>
      <c r="F316" s="12">
        <v>42.25</v>
      </c>
      <c r="G316" s="12">
        <v>175.423856150121</v>
      </c>
      <c r="H316" s="12" t="s">
        <v>0</v>
      </c>
      <c r="I316" s="12">
        <v>1.0855399999999999</v>
      </c>
      <c r="J316" s="12">
        <v>152.06100000000001</v>
      </c>
      <c r="K316" s="12">
        <v>505.20233999999999</v>
      </c>
      <c r="L316" s="12" t="s">
        <v>1</v>
      </c>
      <c r="M316" s="12" t="s">
        <v>0</v>
      </c>
      <c r="N316" s="12">
        <v>18.221294844487101</v>
      </c>
      <c r="O316" s="12">
        <v>14.5</v>
      </c>
      <c r="P316" s="12">
        <v>2465.66</v>
      </c>
      <c r="Q316" s="12" t="s">
        <v>1</v>
      </c>
    </row>
    <row r="317" spans="1:17" x14ac:dyDescent="0.25">
      <c r="A317" s="12">
        <f t="shared" si="4"/>
        <v>316</v>
      </c>
      <c r="B317" s="12">
        <v>0.99693900000000002</v>
      </c>
      <c r="C317" s="12">
        <v>-2.65566E-2</v>
      </c>
      <c r="D317" s="12">
        <v>0.76059200000000005</v>
      </c>
      <c r="E317" s="12">
        <v>0.15347717420299301</v>
      </c>
      <c r="F317" s="12">
        <v>81</v>
      </c>
      <c r="G317" s="12">
        <v>306.39490754829001</v>
      </c>
      <c r="H317" s="12" t="s">
        <v>0</v>
      </c>
      <c r="I317" s="12">
        <v>1.0975509999999999</v>
      </c>
      <c r="J317" s="12">
        <v>86.721699999999998</v>
      </c>
      <c r="K317" s="12">
        <v>458.74928</v>
      </c>
      <c r="L317" s="12" t="s">
        <v>1</v>
      </c>
      <c r="M317" s="12" t="s">
        <v>0</v>
      </c>
      <c r="N317" s="12">
        <v>10.3917616293142</v>
      </c>
      <c r="O317" s="12">
        <v>17</v>
      </c>
      <c r="P317" s="12">
        <v>910.98900000000003</v>
      </c>
      <c r="Q317" s="12" t="s">
        <v>1</v>
      </c>
    </row>
    <row r="318" spans="1:17" x14ac:dyDescent="0.25">
      <c r="A318" s="12">
        <f t="shared" si="4"/>
        <v>317</v>
      </c>
      <c r="B318" s="12">
        <v>0.91654599999999997</v>
      </c>
      <c r="C318" s="12">
        <v>0.69896599999999998</v>
      </c>
      <c r="D318" s="12">
        <v>1.06359</v>
      </c>
      <c r="E318" s="12">
        <v>1923.79006097415</v>
      </c>
      <c r="F318" s="12">
        <v>30.25</v>
      </c>
      <c r="G318" s="12">
        <v>1.0264743103771801</v>
      </c>
      <c r="H318" s="12" t="s">
        <v>0</v>
      </c>
      <c r="I318" s="12">
        <v>1.033236</v>
      </c>
      <c r="J318" s="12">
        <v>449.483</v>
      </c>
      <c r="K318" s="12">
        <v>637.5181</v>
      </c>
      <c r="L318" s="12" t="s">
        <v>1</v>
      </c>
      <c r="M318" s="12" t="s">
        <v>0</v>
      </c>
      <c r="N318" s="12">
        <v>53.861031234732202</v>
      </c>
      <c r="O318" s="12">
        <v>13.5</v>
      </c>
      <c r="P318" s="12">
        <v>6930.2</v>
      </c>
      <c r="Q318" s="12" t="s">
        <v>1</v>
      </c>
    </row>
    <row r="319" spans="1:17" x14ac:dyDescent="0.25">
      <c r="A319" s="12">
        <f t="shared" si="4"/>
        <v>318</v>
      </c>
      <c r="B319" s="12">
        <v>0.27452599999999999</v>
      </c>
      <c r="C319" s="12">
        <v>-3.2378799999999999E-2</v>
      </c>
      <c r="D319" s="12">
        <v>0.42942799999999998</v>
      </c>
      <c r="E319" s="12">
        <v>1.8428013752971001E-3</v>
      </c>
      <c r="F319" s="12">
        <v>156.25</v>
      </c>
      <c r="G319" s="12">
        <v>208.59035665152899</v>
      </c>
      <c r="H319" s="12" t="s">
        <v>0</v>
      </c>
      <c r="I319" s="12">
        <v>0.51961999999999997</v>
      </c>
      <c r="J319" s="12">
        <v>83.810599999999994</v>
      </c>
      <c r="K319" s="12">
        <v>263.36252000000002</v>
      </c>
      <c r="L319" s="12" t="s">
        <v>1</v>
      </c>
      <c r="M319" s="12" t="s">
        <v>0</v>
      </c>
      <c r="N319" s="12">
        <v>10.0429278624589</v>
      </c>
      <c r="O319" s="12">
        <v>20.5</v>
      </c>
      <c r="P319" s="12">
        <v>2028.43</v>
      </c>
      <c r="Q319" s="12" t="s">
        <v>1</v>
      </c>
    </row>
    <row r="320" spans="1:17" x14ac:dyDescent="0.25">
      <c r="A320" s="12">
        <f t="shared" si="4"/>
        <v>319</v>
      </c>
      <c r="B320" s="12">
        <v>0.38468999999999998</v>
      </c>
      <c r="C320" s="12">
        <v>-9.3997000000000004E-3</v>
      </c>
      <c r="D320" s="12">
        <v>0.40536</v>
      </c>
      <c r="E320" s="12">
        <v>2.01556919353105</v>
      </c>
      <c r="F320" s="12">
        <v>144</v>
      </c>
      <c r="G320" s="12">
        <v>153.85649732707799</v>
      </c>
      <c r="H320" s="12" t="s">
        <v>0</v>
      </c>
      <c r="I320" s="12">
        <v>0.60775000000000001</v>
      </c>
      <c r="J320" s="12">
        <v>95.300150000000002</v>
      </c>
      <c r="K320" s="12">
        <v>249.16239999999999</v>
      </c>
      <c r="L320" s="12" t="s">
        <v>1</v>
      </c>
      <c r="M320" s="12" t="s">
        <v>0</v>
      </c>
      <c r="N320" s="12">
        <v>11.419707432371499</v>
      </c>
      <c r="O320" s="12">
        <v>20</v>
      </c>
      <c r="P320" s="12">
        <v>2772.58</v>
      </c>
      <c r="Q320" s="12" t="s">
        <v>1</v>
      </c>
    </row>
    <row r="321" spans="1:17" x14ac:dyDescent="0.25">
      <c r="A321" s="12">
        <f t="shared" si="4"/>
        <v>320</v>
      </c>
      <c r="B321" s="12">
        <v>0.94630000000000003</v>
      </c>
      <c r="C321" s="12">
        <v>0.37223099999999998</v>
      </c>
      <c r="D321" s="12">
        <v>0.63018099999999999</v>
      </c>
      <c r="E321" s="12">
        <v>589.75595475037801</v>
      </c>
      <c r="F321" s="12">
        <v>30.25</v>
      </c>
      <c r="G321" s="12">
        <v>0.156881102645899</v>
      </c>
      <c r="H321" s="12" t="s">
        <v>0</v>
      </c>
      <c r="I321" s="12">
        <v>1.0569999999999999</v>
      </c>
      <c r="J321" s="12">
        <v>286.1155</v>
      </c>
      <c r="K321" s="12">
        <v>381.80678999999998</v>
      </c>
      <c r="L321" s="12" t="s">
        <v>1</v>
      </c>
      <c r="M321" s="12" t="s">
        <v>0</v>
      </c>
      <c r="N321" s="12">
        <v>34.284891491426798</v>
      </c>
      <c r="O321" s="12">
        <v>13.5</v>
      </c>
      <c r="P321" s="12">
        <v>7155.43</v>
      </c>
      <c r="Q321" s="12" t="s">
        <v>1</v>
      </c>
    </row>
    <row r="322" spans="1:17" x14ac:dyDescent="0.25">
      <c r="A322" s="12">
        <f t="shared" si="4"/>
        <v>321</v>
      </c>
      <c r="B322" s="12">
        <v>0.87770499999999996</v>
      </c>
      <c r="C322" s="12">
        <v>0.39801900000000001</v>
      </c>
      <c r="D322" s="12">
        <v>0.64891100000000002</v>
      </c>
      <c r="E322" s="12">
        <v>667.18707591266696</v>
      </c>
      <c r="F322" s="12">
        <v>36</v>
      </c>
      <c r="G322" s="12">
        <v>4.8350114468005204E-3</v>
      </c>
      <c r="H322" s="12" t="s">
        <v>0</v>
      </c>
      <c r="I322" s="12">
        <v>1.0021640000000001</v>
      </c>
      <c r="J322" s="12">
        <v>299.0095</v>
      </c>
      <c r="K322" s="12">
        <v>392.85748999999998</v>
      </c>
      <c r="L322" s="12" t="s">
        <v>1</v>
      </c>
      <c r="M322" s="12" t="s">
        <v>0</v>
      </c>
      <c r="N322" s="12">
        <v>35.829964690503601</v>
      </c>
      <c r="O322" s="12">
        <v>14</v>
      </c>
      <c r="P322" s="12">
        <v>7274.62</v>
      </c>
      <c r="Q322" s="12" t="s">
        <v>1</v>
      </c>
    </row>
    <row r="323" spans="1:17" x14ac:dyDescent="0.25">
      <c r="A323" s="12">
        <f t="shared" si="4"/>
        <v>322</v>
      </c>
      <c r="B323" s="12">
        <v>0.20313300000000001</v>
      </c>
      <c r="C323" s="12">
        <v>-2.0044300000000002E-3</v>
      </c>
      <c r="D323" s="12">
        <v>0.14108999999999999</v>
      </c>
      <c r="E323" s="12">
        <v>3.4699895056982699</v>
      </c>
      <c r="F323" s="12">
        <v>132.25</v>
      </c>
      <c r="G323" s="12">
        <v>32.272048940514097</v>
      </c>
      <c r="H323" s="12" t="s">
        <v>0</v>
      </c>
      <c r="I323" s="12">
        <v>0.46250599999999997</v>
      </c>
      <c r="J323" s="12">
        <v>98.997784999999993</v>
      </c>
      <c r="K323" s="12">
        <v>93.243099999999998</v>
      </c>
      <c r="L323" s="12" t="s">
        <v>1</v>
      </c>
      <c r="M323" s="12" t="s">
        <v>0</v>
      </c>
      <c r="N323" s="12">
        <v>11.862790784199399</v>
      </c>
      <c r="O323" s="12">
        <v>19.5</v>
      </c>
      <c r="P323" s="12">
        <v>5226.49</v>
      </c>
      <c r="Q323" s="12" t="s">
        <v>1</v>
      </c>
    </row>
    <row r="324" spans="1:17" x14ac:dyDescent="0.25">
      <c r="A324" s="12">
        <f t="shared" ref="A324:A387" si="5">A323+1</f>
        <v>323</v>
      </c>
      <c r="B324" s="12">
        <v>1.1233</v>
      </c>
      <c r="C324" s="12">
        <v>0.69046300000000005</v>
      </c>
      <c r="D324" s="12">
        <v>0.71946299999999996</v>
      </c>
      <c r="E324" s="12">
        <v>1879.35939109327</v>
      </c>
      <c r="F324" s="12">
        <v>25</v>
      </c>
      <c r="G324" s="12">
        <v>37.720462063426503</v>
      </c>
      <c r="H324" s="12" t="s">
        <v>0</v>
      </c>
      <c r="I324" s="12">
        <v>1.1986000000000001</v>
      </c>
      <c r="J324" s="12">
        <v>445.23149999999998</v>
      </c>
      <c r="K324" s="12">
        <v>434.48316999999997</v>
      </c>
      <c r="L324" s="12" t="s">
        <v>1</v>
      </c>
      <c r="M324" s="12" t="s">
        <v>0</v>
      </c>
      <c r="N324" s="12">
        <v>53.3515788765908</v>
      </c>
      <c r="O324" s="12">
        <v>13</v>
      </c>
      <c r="P324" s="12">
        <v>9541.7199999999993</v>
      </c>
      <c r="Q324" s="12" t="s">
        <v>1</v>
      </c>
    </row>
    <row r="325" spans="1:17" x14ac:dyDescent="0.25">
      <c r="A325" s="12">
        <f t="shared" si="5"/>
        <v>324</v>
      </c>
      <c r="B325" s="12">
        <v>0.50593200000000005</v>
      </c>
      <c r="C325" s="12">
        <v>5.74659E-2</v>
      </c>
      <c r="D325" s="12">
        <v>0.27373700000000001</v>
      </c>
      <c r="E325" s="12">
        <v>29.440623334802002</v>
      </c>
      <c r="F325" s="12">
        <v>100</v>
      </c>
      <c r="G325" s="12">
        <v>25.428947630699898</v>
      </c>
      <c r="H325" s="12" t="s">
        <v>0</v>
      </c>
      <c r="I325" s="12">
        <v>0.70474499999999995</v>
      </c>
      <c r="J325" s="12">
        <v>128.73294999999999</v>
      </c>
      <c r="K325" s="12">
        <v>171.50483</v>
      </c>
      <c r="L325" s="12" t="s">
        <v>1</v>
      </c>
      <c r="M325" s="12" t="s">
        <v>0</v>
      </c>
      <c r="N325" s="12">
        <v>15.425921427260199</v>
      </c>
      <c r="O325" s="12">
        <v>18</v>
      </c>
      <c r="P325" s="12">
        <v>5459.41</v>
      </c>
      <c r="Q325" s="12" t="s">
        <v>1</v>
      </c>
    </row>
    <row r="326" spans="1:17" x14ac:dyDescent="0.25">
      <c r="A326" s="12">
        <f t="shared" si="5"/>
        <v>325</v>
      </c>
      <c r="B326" s="12">
        <v>0.470302</v>
      </c>
      <c r="C326" s="12">
        <v>0.13692799999999999</v>
      </c>
      <c r="D326" s="12">
        <v>0.112452</v>
      </c>
      <c r="E326" s="12">
        <v>103.771861584186</v>
      </c>
      <c r="F326" s="12">
        <v>72.25</v>
      </c>
      <c r="G326" s="12">
        <v>627.05648339275604</v>
      </c>
      <c r="H326" s="12" t="s">
        <v>0</v>
      </c>
      <c r="I326" s="12">
        <v>0.67624099999999998</v>
      </c>
      <c r="J326" s="12">
        <v>168.464</v>
      </c>
      <c r="K326" s="12">
        <v>76.346680000000006</v>
      </c>
      <c r="L326" s="12" t="s">
        <v>1</v>
      </c>
      <c r="M326" s="12" t="s">
        <v>0</v>
      </c>
      <c r="N326" s="12">
        <v>20.186847480167</v>
      </c>
      <c r="O326" s="12">
        <v>16.5</v>
      </c>
      <c r="P326" s="12">
        <v>16440</v>
      </c>
      <c r="Q326" s="12" t="s">
        <v>1</v>
      </c>
    </row>
    <row r="327" spans="1:17" x14ac:dyDescent="0.25">
      <c r="A327" s="12">
        <f t="shared" si="5"/>
        <v>326</v>
      </c>
      <c r="B327" s="12">
        <v>0.93430500000000005</v>
      </c>
      <c r="C327" s="12">
        <v>-1.2781799999999999E-2</v>
      </c>
      <c r="D327" s="12">
        <v>0.84841699999999998</v>
      </c>
      <c r="E327" s="12">
        <v>1.4812614652088401</v>
      </c>
      <c r="F327" s="12">
        <v>81</v>
      </c>
      <c r="G327" s="12">
        <v>288.58562809157399</v>
      </c>
      <c r="H327" s="12" t="s">
        <v>0</v>
      </c>
      <c r="I327" s="12">
        <v>1.047444</v>
      </c>
      <c r="J327" s="12">
        <v>93.609099999999998</v>
      </c>
      <c r="K327" s="12">
        <v>510.56603000000001</v>
      </c>
      <c r="L327" s="12" t="s">
        <v>1</v>
      </c>
      <c r="M327" s="12" t="s">
        <v>0</v>
      </c>
      <c r="N327" s="12">
        <v>11.2170708546378</v>
      </c>
      <c r="O327" s="12">
        <v>17</v>
      </c>
      <c r="P327" s="12">
        <v>1099.45</v>
      </c>
      <c r="Q327" s="12" t="s">
        <v>1</v>
      </c>
    </row>
    <row r="328" spans="1:17" x14ac:dyDescent="0.25">
      <c r="A328" s="12">
        <f t="shared" si="5"/>
        <v>327</v>
      </c>
      <c r="B328" s="12">
        <v>0.87497000000000003</v>
      </c>
      <c r="C328" s="12">
        <v>-6.1954700000000001E-2</v>
      </c>
      <c r="D328" s="12">
        <v>0.78008100000000002</v>
      </c>
      <c r="E328" s="12">
        <v>2.98977016961256</v>
      </c>
      <c r="F328" s="12">
        <v>144</v>
      </c>
      <c r="G328" s="12">
        <v>331.34881003025703</v>
      </c>
      <c r="H328" s="12" t="s">
        <v>0</v>
      </c>
      <c r="I328" s="12">
        <v>0.99997000000000003</v>
      </c>
      <c r="J328" s="12">
        <v>69.022649999999999</v>
      </c>
      <c r="K328" s="12">
        <v>470.24779000000001</v>
      </c>
      <c r="L328" s="12" t="s">
        <v>1</v>
      </c>
      <c r="M328" s="12" t="s">
        <v>0</v>
      </c>
      <c r="N328" s="12">
        <v>8.2709048118704995</v>
      </c>
      <c r="O328" s="12">
        <v>20</v>
      </c>
      <c r="P328" s="12">
        <v>655.90899999999999</v>
      </c>
      <c r="Q328" s="12" t="s">
        <v>1</v>
      </c>
    </row>
    <row r="329" spans="1:17" x14ac:dyDescent="0.25">
      <c r="A329" s="12">
        <f t="shared" si="5"/>
        <v>328</v>
      </c>
      <c r="B329" s="12">
        <v>0.163158</v>
      </c>
      <c r="C329" s="12">
        <v>-2.5392999999999999E-2</v>
      </c>
      <c r="D329" s="12">
        <v>0.38721899999999998</v>
      </c>
      <c r="E329" s="12">
        <v>0.212961994847984</v>
      </c>
      <c r="F329" s="12">
        <v>144</v>
      </c>
      <c r="G329" s="12">
        <v>216.97693563520301</v>
      </c>
      <c r="H329" s="12" t="s">
        <v>0</v>
      </c>
      <c r="I329" s="12">
        <v>0.43052600000000002</v>
      </c>
      <c r="J329" s="12">
        <v>87.3035</v>
      </c>
      <c r="K329" s="12">
        <v>238.45921000000001</v>
      </c>
      <c r="L329" s="12" t="s">
        <v>1</v>
      </c>
      <c r="M329" s="12" t="s">
        <v>0</v>
      </c>
      <c r="N329" s="12">
        <v>10.461478054568101</v>
      </c>
      <c r="O329" s="12">
        <v>20</v>
      </c>
      <c r="P329" s="12">
        <v>1923.5</v>
      </c>
      <c r="Q329" s="12" t="s">
        <v>1</v>
      </c>
    </row>
    <row r="330" spans="1:17" x14ac:dyDescent="0.25">
      <c r="A330" s="12">
        <f t="shared" si="5"/>
        <v>329</v>
      </c>
      <c r="B330" s="12">
        <v>0.83416699999999999</v>
      </c>
      <c r="C330" s="12">
        <v>0.14237900000000001</v>
      </c>
      <c r="D330" s="12">
        <v>0.41654000000000002</v>
      </c>
      <c r="E330" s="12">
        <v>110.53244192035299</v>
      </c>
      <c r="F330" s="12">
        <v>56.25</v>
      </c>
      <c r="G330" s="12">
        <v>35.568969206230001</v>
      </c>
      <c r="H330" s="12" t="s">
        <v>0</v>
      </c>
      <c r="I330" s="12">
        <v>0.967333</v>
      </c>
      <c r="J330" s="12">
        <v>171.18950000000001</v>
      </c>
      <c r="K330" s="12">
        <v>255.7586</v>
      </c>
      <c r="L330" s="12" t="s">
        <v>1</v>
      </c>
      <c r="M330" s="12" t="s">
        <v>0</v>
      </c>
      <c r="N330" s="12">
        <v>20.513441012358999</v>
      </c>
      <c r="O330" s="12">
        <v>15.5</v>
      </c>
      <c r="P330" s="12">
        <v>5123.1499999999996</v>
      </c>
      <c r="Q330" s="12" t="s">
        <v>1</v>
      </c>
    </row>
    <row r="331" spans="1:17" x14ac:dyDescent="0.25">
      <c r="A331" s="12">
        <f t="shared" si="5"/>
        <v>330</v>
      </c>
      <c r="B331" s="12">
        <v>0.56379400000000002</v>
      </c>
      <c r="C331" s="12">
        <v>8.8955500000000007E-2</v>
      </c>
      <c r="D331" s="12">
        <v>0.208922</v>
      </c>
      <c r="E331" s="12">
        <v>53.474158445543303</v>
      </c>
      <c r="F331" s="12">
        <v>90.25</v>
      </c>
      <c r="G331" s="12">
        <v>1.1351880810658601</v>
      </c>
      <c r="H331" s="12" t="s">
        <v>0</v>
      </c>
      <c r="I331" s="12">
        <v>0.75103500000000001</v>
      </c>
      <c r="J331" s="12">
        <v>144.47774999999999</v>
      </c>
      <c r="K331" s="12">
        <v>133.26398</v>
      </c>
      <c r="L331" s="12" t="s">
        <v>1</v>
      </c>
      <c r="M331" s="12" t="s">
        <v>0</v>
      </c>
      <c r="N331" s="12">
        <v>17.3126027135038</v>
      </c>
      <c r="O331" s="12">
        <v>17.5</v>
      </c>
      <c r="P331" s="12">
        <v>7688.89</v>
      </c>
      <c r="Q331" s="12" t="s">
        <v>1</v>
      </c>
    </row>
    <row r="332" spans="1:17" x14ac:dyDescent="0.25">
      <c r="A332" s="12">
        <f t="shared" si="5"/>
        <v>331</v>
      </c>
      <c r="B332" s="12">
        <v>1.0932599999999999</v>
      </c>
      <c r="C332" s="12">
        <v>4.7416699999999999E-2</v>
      </c>
      <c r="D332" s="12">
        <v>0.74965099999999996</v>
      </c>
      <c r="E332" s="12">
        <v>23.2693299332119</v>
      </c>
      <c r="F332" s="12">
        <v>56.25</v>
      </c>
      <c r="G332" s="12">
        <v>257.89808063126202</v>
      </c>
      <c r="H332" s="12" t="s">
        <v>0</v>
      </c>
      <c r="I332" s="12">
        <v>1.1746000000000001</v>
      </c>
      <c r="J332" s="12">
        <v>123.70835</v>
      </c>
      <c r="K332" s="12">
        <v>452.29408999999998</v>
      </c>
      <c r="L332" s="12" t="s">
        <v>1</v>
      </c>
      <c r="M332" s="12" t="s">
        <v>0</v>
      </c>
      <c r="N332" s="12">
        <v>14.8238293847535</v>
      </c>
      <c r="O332" s="12">
        <v>15.5</v>
      </c>
      <c r="P332" s="12">
        <v>1438.39</v>
      </c>
      <c r="Q332" s="12" t="s">
        <v>1</v>
      </c>
    </row>
    <row r="333" spans="1:17" x14ac:dyDescent="0.25">
      <c r="A333" s="12">
        <f t="shared" si="5"/>
        <v>332</v>
      </c>
      <c r="B333" s="12">
        <v>1.0307900000000001</v>
      </c>
      <c r="C333" s="12">
        <v>3.1551500000000003E-2</v>
      </c>
      <c r="D333" s="12">
        <v>0.65731399999999995</v>
      </c>
      <c r="E333" s="12">
        <v>15.0022595728895</v>
      </c>
      <c r="F333" s="12">
        <v>56.25</v>
      </c>
      <c r="G333" s="12">
        <v>219.41644653480901</v>
      </c>
      <c r="H333" s="12" t="s">
        <v>0</v>
      </c>
      <c r="I333" s="12">
        <v>1.12463</v>
      </c>
      <c r="J333" s="12">
        <v>115.77575</v>
      </c>
      <c r="K333" s="12">
        <v>397.81526000000002</v>
      </c>
      <c r="L333" s="12" t="s">
        <v>1</v>
      </c>
      <c r="M333" s="12" t="s">
        <v>0</v>
      </c>
      <c r="N333" s="12">
        <v>13.873275044828199</v>
      </c>
      <c r="O333" s="12">
        <v>15.5</v>
      </c>
      <c r="P333" s="12">
        <v>1893.36</v>
      </c>
      <c r="Q333" s="12" t="s">
        <v>1</v>
      </c>
    </row>
    <row r="334" spans="1:17" x14ac:dyDescent="0.25">
      <c r="A334" s="12">
        <f t="shared" si="5"/>
        <v>333</v>
      </c>
      <c r="B334" s="12">
        <v>0.986676</v>
      </c>
      <c r="C334" s="12">
        <v>6.7712999999999995E-2</v>
      </c>
      <c r="D334" s="12">
        <v>0.61126800000000003</v>
      </c>
      <c r="E334" s="12">
        <v>36.480036073877997</v>
      </c>
      <c r="F334" s="12">
        <v>56.25</v>
      </c>
      <c r="G334" s="12">
        <v>181.49626038656399</v>
      </c>
      <c r="H334" s="12" t="s">
        <v>0</v>
      </c>
      <c r="I334" s="12">
        <v>1.08934</v>
      </c>
      <c r="J334" s="12">
        <v>133.85650000000001</v>
      </c>
      <c r="K334" s="12">
        <v>370.64812000000001</v>
      </c>
      <c r="L334" s="12" t="s">
        <v>1</v>
      </c>
      <c r="M334" s="12" t="s">
        <v>0</v>
      </c>
      <c r="N334" s="12">
        <v>16.039870534529499</v>
      </c>
      <c r="O334" s="12">
        <v>15.5</v>
      </c>
      <c r="P334" s="12">
        <v>2382.6999999999998</v>
      </c>
      <c r="Q334" s="12" t="s">
        <v>1</v>
      </c>
    </row>
    <row r="335" spans="1:17" x14ac:dyDescent="0.25">
      <c r="A335" s="12">
        <f t="shared" si="5"/>
        <v>334</v>
      </c>
      <c r="B335" s="12">
        <v>1.13218</v>
      </c>
      <c r="C335" s="12">
        <v>-3.96175E-2</v>
      </c>
      <c r="D335" s="12">
        <v>0.62933399999999995</v>
      </c>
      <c r="E335" s="12">
        <v>0.152704856627571</v>
      </c>
      <c r="F335" s="12">
        <v>81</v>
      </c>
      <c r="G335" s="12">
        <v>309.34285176902898</v>
      </c>
      <c r="H335" s="12" t="s">
        <v>0</v>
      </c>
      <c r="I335" s="12">
        <v>1.20574</v>
      </c>
      <c r="J335" s="12">
        <v>80.191249999999997</v>
      </c>
      <c r="K335" s="12">
        <v>381.30705999999998</v>
      </c>
      <c r="L335" s="12" t="s">
        <v>1</v>
      </c>
      <c r="M335" s="12" t="s">
        <v>0</v>
      </c>
      <c r="N335" s="12">
        <v>9.6092253121969406</v>
      </c>
      <c r="O335" s="12">
        <v>17</v>
      </c>
      <c r="P335" s="12">
        <v>880.327</v>
      </c>
      <c r="Q335" s="12" t="s">
        <v>1</v>
      </c>
    </row>
    <row r="336" spans="1:17" x14ac:dyDescent="0.25">
      <c r="A336" s="12">
        <f t="shared" si="5"/>
        <v>335</v>
      </c>
      <c r="B336" s="12">
        <v>0.96069800000000005</v>
      </c>
      <c r="C336" s="12">
        <v>6.4922900000000006E-2</v>
      </c>
      <c r="D336" s="12">
        <v>0.66456499999999996</v>
      </c>
      <c r="E336" s="12">
        <v>34.488644009433003</v>
      </c>
      <c r="F336" s="12">
        <v>56.25</v>
      </c>
      <c r="G336" s="12">
        <v>197.60964746556499</v>
      </c>
      <c r="H336" s="12" t="s">
        <v>0</v>
      </c>
      <c r="I336" s="12">
        <v>1.0685579999999999</v>
      </c>
      <c r="J336" s="12">
        <v>132.46145000000001</v>
      </c>
      <c r="K336" s="12">
        <v>402.09334999999999</v>
      </c>
      <c r="L336" s="12" t="s">
        <v>1</v>
      </c>
      <c r="M336" s="12" t="s">
        <v>0</v>
      </c>
      <c r="N336" s="12">
        <v>15.8727032965605</v>
      </c>
      <c r="O336" s="12">
        <v>15.5</v>
      </c>
      <c r="P336" s="12">
        <v>2169.06</v>
      </c>
      <c r="Q336" s="12" t="s">
        <v>1</v>
      </c>
    </row>
    <row r="337" spans="1:17" x14ac:dyDescent="0.25">
      <c r="A337" s="12">
        <f t="shared" si="5"/>
        <v>336</v>
      </c>
      <c r="B337" s="12">
        <v>0.73564600000000002</v>
      </c>
      <c r="C337" s="12">
        <v>0.180922</v>
      </c>
      <c r="D337" s="12">
        <v>0.60559200000000002</v>
      </c>
      <c r="E337" s="12">
        <v>164.42221759139201</v>
      </c>
      <c r="F337" s="12">
        <v>49</v>
      </c>
      <c r="G337" s="12">
        <v>35.315504195158503</v>
      </c>
      <c r="H337" s="12" t="s">
        <v>0</v>
      </c>
      <c r="I337" s="12">
        <v>0.88851599999999997</v>
      </c>
      <c r="J337" s="12">
        <v>190.46100000000001</v>
      </c>
      <c r="K337" s="12">
        <v>367.29928000000001</v>
      </c>
      <c r="L337" s="12" t="s">
        <v>1</v>
      </c>
      <c r="M337" s="12" t="s">
        <v>0</v>
      </c>
      <c r="N337" s="12">
        <v>22.8227227058605</v>
      </c>
      <c r="O337" s="12">
        <v>15</v>
      </c>
      <c r="P337" s="12">
        <v>5130.92</v>
      </c>
      <c r="Q337" s="12" t="s">
        <v>1</v>
      </c>
    </row>
    <row r="338" spans="1:17" x14ac:dyDescent="0.25">
      <c r="A338" s="12">
        <f t="shared" si="5"/>
        <v>337</v>
      </c>
      <c r="B338" s="12">
        <v>0.95522399999999996</v>
      </c>
      <c r="C338" s="12">
        <v>0.322299</v>
      </c>
      <c r="D338" s="12">
        <v>0.63062200000000002</v>
      </c>
      <c r="E338" s="12">
        <v>453.40225743717002</v>
      </c>
      <c r="F338" s="12">
        <v>42.25</v>
      </c>
      <c r="G338" s="12">
        <v>36.400890715706502</v>
      </c>
      <c r="H338" s="12" t="s">
        <v>0</v>
      </c>
      <c r="I338" s="12">
        <v>1.064179</v>
      </c>
      <c r="J338" s="12">
        <v>261.14949999999999</v>
      </c>
      <c r="K338" s="12">
        <v>382.06698</v>
      </c>
      <c r="L338" s="12" t="s">
        <v>1</v>
      </c>
      <c r="M338" s="12" t="s">
        <v>0</v>
      </c>
      <c r="N338" s="12">
        <v>31.293244408430802</v>
      </c>
      <c r="O338" s="12">
        <v>14.5</v>
      </c>
      <c r="P338" s="12">
        <v>5097.84</v>
      </c>
      <c r="Q338" s="12" t="s">
        <v>1</v>
      </c>
    </row>
    <row r="339" spans="1:17" x14ac:dyDescent="0.25">
      <c r="A339" s="12">
        <f t="shared" si="5"/>
        <v>338</v>
      </c>
      <c r="B339" s="12">
        <v>0.89517199999999997</v>
      </c>
      <c r="C339" s="12">
        <v>0.30956400000000001</v>
      </c>
      <c r="D339" s="12">
        <v>0.56771400000000005</v>
      </c>
      <c r="E339" s="12">
        <v>421.49051640997902</v>
      </c>
      <c r="F339" s="12">
        <v>36</v>
      </c>
      <c r="G339" s="12">
        <v>0.38518176693563499</v>
      </c>
      <c r="H339" s="12" t="s">
        <v>0</v>
      </c>
      <c r="I339" s="12">
        <v>1.0161370000000001</v>
      </c>
      <c r="J339" s="12">
        <v>254.78200000000001</v>
      </c>
      <c r="K339" s="12">
        <v>344.95125999999999</v>
      </c>
      <c r="L339" s="12" t="s">
        <v>1</v>
      </c>
      <c r="M339" s="12" t="s">
        <v>0</v>
      </c>
      <c r="N339" s="12">
        <v>30.5302342025116</v>
      </c>
      <c r="O339" s="12">
        <v>14</v>
      </c>
      <c r="P339" s="12">
        <v>7073.47</v>
      </c>
      <c r="Q339" s="12" t="s">
        <v>1</v>
      </c>
    </row>
    <row r="340" spans="1:17" x14ac:dyDescent="0.25">
      <c r="A340" s="12">
        <f t="shared" si="5"/>
        <v>339</v>
      </c>
      <c r="B340" s="12">
        <v>0.50193900000000002</v>
      </c>
      <c r="C340" s="12">
        <v>2.11854E-2</v>
      </c>
      <c r="D340" s="12">
        <v>0.254301</v>
      </c>
      <c r="E340" s="12">
        <v>10.576779609128</v>
      </c>
      <c r="F340" s="12">
        <v>132.25</v>
      </c>
      <c r="G340" s="12">
        <v>56.973958368174102</v>
      </c>
      <c r="H340" s="12" t="s">
        <v>0</v>
      </c>
      <c r="I340" s="12">
        <v>0.70155100000000004</v>
      </c>
      <c r="J340" s="12">
        <v>110.59269999999999</v>
      </c>
      <c r="K340" s="12">
        <v>160.03758999999999</v>
      </c>
      <c r="L340" s="12" t="s">
        <v>1</v>
      </c>
      <c r="M340" s="12" t="s">
        <v>0</v>
      </c>
      <c r="N340" s="12">
        <v>13.252196120950799</v>
      </c>
      <c r="O340" s="12">
        <v>19.5</v>
      </c>
      <c r="P340" s="12">
        <v>4544.9399999999996</v>
      </c>
      <c r="Q340" s="12" t="s">
        <v>1</v>
      </c>
    </row>
    <row r="341" spans="1:17" x14ac:dyDescent="0.25">
      <c r="A341" s="12">
        <f t="shared" si="5"/>
        <v>340</v>
      </c>
      <c r="B341" s="12">
        <v>1.0255799999999999</v>
      </c>
      <c r="C341" s="12">
        <v>6.1823799999999998E-2</v>
      </c>
      <c r="D341" s="12">
        <v>0.75051000000000001</v>
      </c>
      <c r="E341" s="12">
        <v>32.342224928934002</v>
      </c>
      <c r="F341" s="12">
        <v>49</v>
      </c>
      <c r="G341" s="12">
        <v>226.603944232689</v>
      </c>
      <c r="H341" s="12" t="s">
        <v>0</v>
      </c>
      <c r="I341" s="12">
        <v>1.12046</v>
      </c>
      <c r="J341" s="12">
        <v>130.9119</v>
      </c>
      <c r="K341" s="12">
        <v>452.80090000000001</v>
      </c>
      <c r="L341" s="12" t="s">
        <v>1</v>
      </c>
      <c r="M341" s="12" t="s">
        <v>0</v>
      </c>
      <c r="N341" s="12">
        <v>15.6870225011805</v>
      </c>
      <c r="O341" s="12">
        <v>15</v>
      </c>
      <c r="P341" s="12">
        <v>1805.52</v>
      </c>
      <c r="Q341" s="12" t="s">
        <v>1</v>
      </c>
    </row>
    <row r="342" spans="1:17" x14ac:dyDescent="0.25">
      <c r="A342" s="12">
        <f t="shared" si="5"/>
        <v>341</v>
      </c>
      <c r="B342" s="12">
        <v>0.963565</v>
      </c>
      <c r="C342" s="12">
        <v>-1.78783E-3</v>
      </c>
      <c r="D342" s="12">
        <v>0.77011200000000002</v>
      </c>
      <c r="E342" s="12">
        <v>3.5185065228862</v>
      </c>
      <c r="F342" s="12">
        <v>72.25</v>
      </c>
      <c r="G342" s="12">
        <v>278.14837314392901</v>
      </c>
      <c r="H342" s="12" t="s">
        <v>0</v>
      </c>
      <c r="I342" s="12">
        <v>1.0708519999999999</v>
      </c>
      <c r="J342" s="12">
        <v>99.106084999999993</v>
      </c>
      <c r="K342" s="12">
        <v>464.36608000000001</v>
      </c>
      <c r="L342" s="12" t="s">
        <v>1</v>
      </c>
      <c r="M342" s="12" t="s">
        <v>0</v>
      </c>
      <c r="N342" s="12">
        <v>11.8757682487146</v>
      </c>
      <c r="O342" s="12">
        <v>16.5</v>
      </c>
      <c r="P342" s="12">
        <v>1212.6099999999999</v>
      </c>
      <c r="Q342" s="12" t="s">
        <v>1</v>
      </c>
    </row>
    <row r="343" spans="1:17" x14ac:dyDescent="0.25">
      <c r="A343" s="12">
        <f t="shared" si="5"/>
        <v>342</v>
      </c>
      <c r="B343" s="12">
        <v>1.0228299999999999</v>
      </c>
      <c r="C343" s="12">
        <v>6.4721300000000004E-3</v>
      </c>
      <c r="D343" s="12">
        <v>0.73998399999999998</v>
      </c>
      <c r="E343" s="12">
        <v>5.6200241176862402</v>
      </c>
      <c r="F343" s="12">
        <v>64</v>
      </c>
      <c r="G343" s="12">
        <v>272.04028697616798</v>
      </c>
      <c r="H343" s="12" t="s">
        <v>0</v>
      </c>
      <c r="I343" s="12">
        <v>1.11826</v>
      </c>
      <c r="J343" s="12">
        <v>103.236065</v>
      </c>
      <c r="K343" s="12">
        <v>446.59055999999998</v>
      </c>
      <c r="L343" s="12" t="s">
        <v>1</v>
      </c>
      <c r="M343" s="12" t="s">
        <v>0</v>
      </c>
      <c r="N343" s="12">
        <v>12.3706590049364</v>
      </c>
      <c r="O343" s="12">
        <v>16</v>
      </c>
      <c r="P343" s="12">
        <v>1279.82</v>
      </c>
      <c r="Q343" s="12" t="s">
        <v>1</v>
      </c>
    </row>
    <row r="344" spans="1:17" x14ac:dyDescent="0.25">
      <c r="A344" s="12">
        <f t="shared" si="5"/>
        <v>343</v>
      </c>
      <c r="B344" s="12">
        <v>1.0683</v>
      </c>
      <c r="C344" s="12">
        <v>0.14410999999999999</v>
      </c>
      <c r="D344" s="12">
        <v>0.91781000000000001</v>
      </c>
      <c r="E344" s="12">
        <v>112.723935330713</v>
      </c>
      <c r="F344" s="12">
        <v>36</v>
      </c>
      <c r="G344" s="12">
        <v>175.79853818727699</v>
      </c>
      <c r="H344" s="12" t="s">
        <v>0</v>
      </c>
      <c r="I344" s="12">
        <v>1.1546000000000001</v>
      </c>
      <c r="J344" s="12">
        <v>172.05500000000001</v>
      </c>
      <c r="K344" s="12">
        <v>551.50789999999995</v>
      </c>
      <c r="L344" s="12" t="s">
        <v>1</v>
      </c>
      <c r="M344" s="12" t="s">
        <v>0</v>
      </c>
      <c r="N344" s="12">
        <v>20.6171528825158</v>
      </c>
      <c r="O344" s="12">
        <v>14</v>
      </c>
      <c r="P344" s="12">
        <v>2460.5</v>
      </c>
      <c r="Q344" s="12" t="s">
        <v>1</v>
      </c>
    </row>
    <row r="345" spans="1:17" x14ac:dyDescent="0.25">
      <c r="A345" s="12">
        <f t="shared" si="5"/>
        <v>344</v>
      </c>
      <c r="B345" s="12">
        <v>0.28858499999999998</v>
      </c>
      <c r="C345" s="12">
        <v>-2.9568199999999999E-2</v>
      </c>
      <c r="D345" s="12">
        <v>0.38317600000000002</v>
      </c>
      <c r="E345" s="12">
        <v>4.4657556626413901E-2</v>
      </c>
      <c r="F345" s="12">
        <v>144</v>
      </c>
      <c r="G345" s="12">
        <v>172.53074405029</v>
      </c>
      <c r="H345" s="12" t="s">
        <v>0</v>
      </c>
      <c r="I345" s="12">
        <v>0.53086800000000001</v>
      </c>
      <c r="J345" s="12">
        <v>85.215900000000005</v>
      </c>
      <c r="K345" s="12">
        <v>236.07383999999999</v>
      </c>
      <c r="L345" s="12" t="s">
        <v>1</v>
      </c>
      <c r="M345" s="12" t="s">
        <v>0</v>
      </c>
      <c r="N345" s="12">
        <v>10.2113233461461</v>
      </c>
      <c r="O345" s="12">
        <v>20</v>
      </c>
      <c r="P345" s="12">
        <v>2505.69</v>
      </c>
      <c r="Q345" s="12" t="s">
        <v>1</v>
      </c>
    </row>
    <row r="346" spans="1:17" x14ac:dyDescent="0.25">
      <c r="A346" s="12">
        <f t="shared" si="5"/>
        <v>345</v>
      </c>
      <c r="B346" s="12">
        <v>0.81581000000000004</v>
      </c>
      <c r="C346" s="12">
        <v>4.36719E-2</v>
      </c>
      <c r="D346" s="12">
        <v>0.680809</v>
      </c>
      <c r="E346" s="12">
        <v>21.1550492633476</v>
      </c>
      <c r="F346" s="12">
        <v>72.25</v>
      </c>
      <c r="G346" s="12">
        <v>207.59756937586701</v>
      </c>
      <c r="H346" s="12" t="s">
        <v>0</v>
      </c>
      <c r="I346" s="12">
        <v>0.95264000000000004</v>
      </c>
      <c r="J346" s="12">
        <v>121.83595</v>
      </c>
      <c r="K346" s="12">
        <v>411.67730999999998</v>
      </c>
      <c r="L346" s="12" t="s">
        <v>1</v>
      </c>
      <c r="M346" s="12" t="s">
        <v>0</v>
      </c>
      <c r="N346" s="12">
        <v>14.5994618449713</v>
      </c>
      <c r="O346" s="12">
        <v>16.5</v>
      </c>
      <c r="P346" s="12">
        <v>2040.99</v>
      </c>
      <c r="Q346" s="12" t="s">
        <v>1</v>
      </c>
    </row>
    <row r="347" spans="1:17" x14ac:dyDescent="0.25">
      <c r="A347" s="12">
        <f t="shared" si="5"/>
        <v>346</v>
      </c>
      <c r="B347" s="12">
        <v>1.0871299999999999</v>
      </c>
      <c r="C347" s="12">
        <v>7.0229700000000006E-2</v>
      </c>
      <c r="D347" s="12">
        <v>0.66496</v>
      </c>
      <c r="E347" s="12">
        <v>38.324236179478099</v>
      </c>
      <c r="F347" s="12">
        <v>49</v>
      </c>
      <c r="G347" s="12">
        <v>201.460303066991</v>
      </c>
      <c r="H347" s="12" t="s">
        <v>0</v>
      </c>
      <c r="I347" s="12">
        <v>1.1697</v>
      </c>
      <c r="J347" s="12">
        <v>135.11484999999999</v>
      </c>
      <c r="K347" s="12">
        <v>402.32639999999998</v>
      </c>
      <c r="L347" s="12" t="s">
        <v>1</v>
      </c>
      <c r="M347" s="12" t="s">
        <v>0</v>
      </c>
      <c r="N347" s="12">
        <v>16.1906571686274</v>
      </c>
      <c r="O347" s="12">
        <v>15</v>
      </c>
      <c r="P347" s="12">
        <v>2119.31</v>
      </c>
      <c r="Q347" s="12" t="s">
        <v>1</v>
      </c>
    </row>
    <row r="348" spans="1:17" x14ac:dyDescent="0.25">
      <c r="A348" s="12">
        <f t="shared" si="5"/>
        <v>347</v>
      </c>
      <c r="B348" s="12">
        <v>1.1224700000000001</v>
      </c>
      <c r="C348" s="12">
        <v>0.10334500000000001</v>
      </c>
      <c r="D348" s="12">
        <v>0.64843399999999995</v>
      </c>
      <c r="E348" s="12">
        <v>66.826395911257706</v>
      </c>
      <c r="F348" s="12">
        <v>42.25</v>
      </c>
      <c r="G348" s="12">
        <v>180.02875484631201</v>
      </c>
      <c r="H348" s="12" t="s">
        <v>0</v>
      </c>
      <c r="I348" s="12">
        <v>1.19797</v>
      </c>
      <c r="J348" s="12">
        <v>151.67250000000001</v>
      </c>
      <c r="K348" s="12">
        <v>392.57605999999998</v>
      </c>
      <c r="L348" s="12" t="s">
        <v>1</v>
      </c>
      <c r="M348" s="12" t="s">
        <v>0</v>
      </c>
      <c r="N348" s="12">
        <v>18.174741336045901</v>
      </c>
      <c r="O348" s="12">
        <v>14.5</v>
      </c>
      <c r="P348" s="12">
        <v>2402.62</v>
      </c>
      <c r="Q348" s="12" t="s">
        <v>1</v>
      </c>
    </row>
    <row r="349" spans="1:17" x14ac:dyDescent="0.25">
      <c r="A349" s="12">
        <f t="shared" si="5"/>
        <v>348</v>
      </c>
      <c r="B349" s="12">
        <v>0.43838100000000002</v>
      </c>
      <c r="C349" s="12">
        <v>-1.20191E-2</v>
      </c>
      <c r="D349" s="12">
        <v>0.37701299999999999</v>
      </c>
      <c r="E349" s="12">
        <v>1.59458197826659</v>
      </c>
      <c r="F349" s="12">
        <v>132.25</v>
      </c>
      <c r="G349" s="12">
        <v>133.33479078551301</v>
      </c>
      <c r="H349" s="12" t="s">
        <v>0</v>
      </c>
      <c r="I349" s="12">
        <v>0.65070399999999995</v>
      </c>
      <c r="J349" s="12">
        <v>93.990449999999996</v>
      </c>
      <c r="K349" s="12">
        <v>232.43767</v>
      </c>
      <c r="L349" s="12" t="s">
        <v>1</v>
      </c>
      <c r="M349" s="12" t="s">
        <v>0</v>
      </c>
      <c r="N349" s="12">
        <v>11.2627675867975</v>
      </c>
      <c r="O349" s="12">
        <v>19.5</v>
      </c>
      <c r="P349" s="12">
        <v>3085.32</v>
      </c>
      <c r="Q349" s="12" t="s">
        <v>1</v>
      </c>
    </row>
    <row r="350" spans="1:17" x14ac:dyDescent="0.25">
      <c r="A350" s="12">
        <f t="shared" si="5"/>
        <v>349</v>
      </c>
      <c r="B350" s="12">
        <v>0.39432800000000001</v>
      </c>
      <c r="C350" s="12">
        <v>8.5247600000000007E-2</v>
      </c>
      <c r="D350" s="12">
        <v>0.433865</v>
      </c>
      <c r="E350" s="12">
        <v>50.2744247060145</v>
      </c>
      <c r="F350" s="12">
        <v>90.25</v>
      </c>
      <c r="G350" s="12">
        <v>55.137338218052101</v>
      </c>
      <c r="H350" s="12" t="s">
        <v>0</v>
      </c>
      <c r="I350" s="12">
        <v>0.61546199999999995</v>
      </c>
      <c r="J350" s="12">
        <v>142.62379999999999</v>
      </c>
      <c r="K350" s="12">
        <v>265.98034999999999</v>
      </c>
      <c r="L350" s="12" t="s">
        <v>1</v>
      </c>
      <c r="M350" s="12" t="s">
        <v>0</v>
      </c>
      <c r="N350" s="12">
        <v>17.0904460160144</v>
      </c>
      <c r="O350" s="12">
        <v>17.5</v>
      </c>
      <c r="P350" s="12">
        <v>4589.71</v>
      </c>
      <c r="Q350" s="12" t="s">
        <v>1</v>
      </c>
    </row>
    <row r="351" spans="1:17" x14ac:dyDescent="0.25">
      <c r="A351" s="12">
        <f t="shared" si="5"/>
        <v>350</v>
      </c>
      <c r="B351" s="12">
        <v>1.1020799999999999</v>
      </c>
      <c r="C351" s="12">
        <v>3.24459E-2</v>
      </c>
      <c r="D351" s="12">
        <v>0.65708299999999997</v>
      </c>
      <c r="E351" s="12">
        <v>15.4202491472895</v>
      </c>
      <c r="F351" s="12">
        <v>56.25</v>
      </c>
      <c r="G351" s="12">
        <v>248.548614632388</v>
      </c>
      <c r="H351" s="12" t="s">
        <v>0</v>
      </c>
      <c r="I351" s="12">
        <v>1.1816599999999999</v>
      </c>
      <c r="J351" s="12">
        <v>116.22295</v>
      </c>
      <c r="K351" s="12">
        <v>397.67896999999999</v>
      </c>
      <c r="L351" s="12" t="s">
        <v>1</v>
      </c>
      <c r="M351" s="12" t="s">
        <v>0</v>
      </c>
      <c r="N351" s="12">
        <v>13.9268625067971</v>
      </c>
      <c r="O351" s="12">
        <v>15.5</v>
      </c>
      <c r="P351" s="12">
        <v>1545.62</v>
      </c>
      <c r="Q351" s="12" t="s">
        <v>1</v>
      </c>
    </row>
    <row r="352" spans="1:17" x14ac:dyDescent="0.25">
      <c r="A352" s="12">
        <f t="shared" si="5"/>
        <v>351</v>
      </c>
      <c r="B352" s="12">
        <v>0.11633599999999999</v>
      </c>
      <c r="C352" s="12">
        <v>-2.1409299999999999E-2</v>
      </c>
      <c r="D352" s="12">
        <v>0.16492299999999999</v>
      </c>
      <c r="E352" s="12">
        <v>0.49022283609790501</v>
      </c>
      <c r="F352" s="12">
        <v>132.25</v>
      </c>
      <c r="G352" s="12">
        <v>84.916982398949102</v>
      </c>
      <c r="H352" s="12" t="s">
        <v>0</v>
      </c>
      <c r="I352" s="12">
        <v>0.39306799999999997</v>
      </c>
      <c r="J352" s="12">
        <v>89.295349999999999</v>
      </c>
      <c r="K352" s="12">
        <v>107.30457</v>
      </c>
      <c r="L352" s="12" t="s">
        <v>1</v>
      </c>
      <c r="M352" s="12" t="s">
        <v>0</v>
      </c>
      <c r="N352" s="12">
        <v>10.700159150549201</v>
      </c>
      <c r="O352" s="12">
        <v>19.5</v>
      </c>
      <c r="P352" s="12">
        <v>3936.51</v>
      </c>
      <c r="Q352" s="12" t="s">
        <v>1</v>
      </c>
    </row>
    <row r="353" spans="1:17" x14ac:dyDescent="0.25">
      <c r="A353" s="12">
        <f t="shared" si="5"/>
        <v>352</v>
      </c>
      <c r="B353" s="12">
        <v>0.87691200000000002</v>
      </c>
      <c r="C353" s="12">
        <v>-1.78053E-2</v>
      </c>
      <c r="D353" s="12">
        <v>0.70545199999999997</v>
      </c>
      <c r="E353" s="12">
        <v>0.83922224254379796</v>
      </c>
      <c r="F353" s="12">
        <v>100</v>
      </c>
      <c r="G353" s="12">
        <v>284.78735486657899</v>
      </c>
      <c r="H353" s="12" t="s">
        <v>0</v>
      </c>
      <c r="I353" s="12">
        <v>1.0015289999999999</v>
      </c>
      <c r="J353" s="12">
        <v>91.097350000000006</v>
      </c>
      <c r="K353" s="12">
        <v>426.21668</v>
      </c>
      <c r="L353" s="12" t="s">
        <v>1</v>
      </c>
      <c r="M353" s="12" t="s">
        <v>0</v>
      </c>
      <c r="N353" s="12">
        <v>10.9160907392522</v>
      </c>
      <c r="O353" s="12">
        <v>18</v>
      </c>
      <c r="P353" s="12">
        <v>1140.3900000000001</v>
      </c>
      <c r="Q353" s="12" t="s">
        <v>1</v>
      </c>
    </row>
    <row r="354" spans="1:17" x14ac:dyDescent="0.25">
      <c r="A354" s="12">
        <f t="shared" si="5"/>
        <v>353</v>
      </c>
      <c r="B354" s="12">
        <v>0.93925199999999998</v>
      </c>
      <c r="C354" s="12">
        <v>1.7719700000000001E-2</v>
      </c>
      <c r="D354" s="12">
        <v>0.71194500000000005</v>
      </c>
      <c r="E354" s="12">
        <v>9.2692889482100504</v>
      </c>
      <c r="F354" s="12">
        <v>72.25</v>
      </c>
      <c r="G354" s="12">
        <v>259.47913831863298</v>
      </c>
      <c r="H354" s="12" t="s">
        <v>0</v>
      </c>
      <c r="I354" s="12">
        <v>1.051401</v>
      </c>
      <c r="J354" s="12">
        <v>108.85984999999999</v>
      </c>
      <c r="K354" s="12">
        <v>430.04755</v>
      </c>
      <c r="L354" s="12" t="s">
        <v>1</v>
      </c>
      <c r="M354" s="12" t="s">
        <v>0</v>
      </c>
      <c r="N354" s="12">
        <v>13.0445506972638</v>
      </c>
      <c r="O354" s="12">
        <v>16.5</v>
      </c>
      <c r="P354" s="12">
        <v>1420.45</v>
      </c>
      <c r="Q354" s="12" t="s">
        <v>1</v>
      </c>
    </row>
    <row r="355" spans="1:17" x14ac:dyDescent="0.25">
      <c r="A355" s="12">
        <f t="shared" si="5"/>
        <v>354</v>
      </c>
      <c r="B355" s="12">
        <v>0.91257299999999997</v>
      </c>
      <c r="C355" s="12">
        <v>9.8608699999999994E-2</v>
      </c>
      <c r="D355" s="12">
        <v>0.71716199999999997</v>
      </c>
      <c r="E355" s="12">
        <v>62.2673861342831</v>
      </c>
      <c r="F355" s="12">
        <v>56.25</v>
      </c>
      <c r="G355" s="12">
        <v>190.69718266091101</v>
      </c>
      <c r="H355" s="12" t="s">
        <v>0</v>
      </c>
      <c r="I355" s="12">
        <v>1.0300579999999999</v>
      </c>
      <c r="J355" s="12">
        <v>149.30435</v>
      </c>
      <c r="K355" s="12">
        <v>433.12558000000001</v>
      </c>
      <c r="L355" s="12" t="s">
        <v>1</v>
      </c>
      <c r="M355" s="12" t="s">
        <v>0</v>
      </c>
      <c r="N355" s="12">
        <v>17.890968643600299</v>
      </c>
      <c r="O355" s="12">
        <v>15.5</v>
      </c>
      <c r="P355" s="12">
        <v>2259.6</v>
      </c>
      <c r="Q355" s="12" t="s">
        <v>1</v>
      </c>
    </row>
    <row r="356" spans="1:17" x14ac:dyDescent="0.25">
      <c r="A356" s="12">
        <f t="shared" si="5"/>
        <v>355</v>
      </c>
      <c r="B356" s="12">
        <v>0.21318500000000001</v>
      </c>
      <c r="C356" s="12">
        <v>2.10219E-2</v>
      </c>
      <c r="D356" s="12">
        <v>0.41706399999999999</v>
      </c>
      <c r="E356" s="12">
        <v>10.5131584890075</v>
      </c>
      <c r="F356" s="12">
        <v>121</v>
      </c>
      <c r="G356" s="12">
        <v>159.60826431150301</v>
      </c>
      <c r="H356" s="12" t="s">
        <v>0</v>
      </c>
      <c r="I356" s="12">
        <v>0.47054800000000002</v>
      </c>
      <c r="J356" s="12">
        <v>110.51094999999999</v>
      </c>
      <c r="K356" s="12">
        <v>256.06776000000002</v>
      </c>
      <c r="L356" s="12" t="s">
        <v>1</v>
      </c>
      <c r="M356" s="12" t="s">
        <v>0</v>
      </c>
      <c r="N356" s="12">
        <v>13.242400112417799</v>
      </c>
      <c r="O356" s="12">
        <v>19</v>
      </c>
      <c r="P356" s="12">
        <v>2688.73</v>
      </c>
      <c r="Q356" s="12" t="s">
        <v>1</v>
      </c>
    </row>
    <row r="357" spans="1:17" x14ac:dyDescent="0.25">
      <c r="A357" s="12">
        <f t="shared" si="5"/>
        <v>356</v>
      </c>
      <c r="B357" s="12">
        <v>0.89220500000000003</v>
      </c>
      <c r="C357" s="12">
        <v>0.32988699999999999</v>
      </c>
      <c r="D357" s="12">
        <v>0.53392200000000001</v>
      </c>
      <c r="E357" s="12">
        <v>472.97006994908901</v>
      </c>
      <c r="F357" s="12">
        <v>36</v>
      </c>
      <c r="G357" s="12">
        <v>1.28092782886094</v>
      </c>
      <c r="H357" s="12" t="s">
        <v>0</v>
      </c>
      <c r="I357" s="12">
        <v>1.0137640000000001</v>
      </c>
      <c r="J357" s="12">
        <v>264.94349999999997</v>
      </c>
      <c r="K357" s="12">
        <v>325.01398</v>
      </c>
      <c r="L357" s="12" t="s">
        <v>1</v>
      </c>
      <c r="M357" s="12" t="s">
        <v>0</v>
      </c>
      <c r="N357" s="12">
        <v>31.7478750674425</v>
      </c>
      <c r="O357" s="12">
        <v>14</v>
      </c>
      <c r="P357" s="12">
        <v>7713.1</v>
      </c>
      <c r="Q357" s="12" t="s">
        <v>1</v>
      </c>
    </row>
    <row r="358" spans="1:17" x14ac:dyDescent="0.25">
      <c r="A358" s="12">
        <f t="shared" si="5"/>
        <v>357</v>
      </c>
      <c r="B358" s="12">
        <v>0.47052300000000002</v>
      </c>
      <c r="C358" s="12">
        <v>1.01904E-2</v>
      </c>
      <c r="D358" s="12">
        <v>0.28804000000000002</v>
      </c>
      <c r="E358" s="12">
        <v>6.7259155508550297</v>
      </c>
      <c r="F358" s="12">
        <v>132.25</v>
      </c>
      <c r="G358" s="12">
        <v>81.720609318070899</v>
      </c>
      <c r="H358" s="12" t="s">
        <v>0</v>
      </c>
      <c r="I358" s="12">
        <v>0.67641799999999996</v>
      </c>
      <c r="J358" s="12">
        <v>105.09520000000001</v>
      </c>
      <c r="K358" s="12">
        <v>179.9436</v>
      </c>
      <c r="L358" s="12" t="s">
        <v>1</v>
      </c>
      <c r="M358" s="12" t="s">
        <v>0</v>
      </c>
      <c r="N358" s="12">
        <v>12.593437015015899</v>
      </c>
      <c r="O358" s="12">
        <v>19.5</v>
      </c>
      <c r="P358" s="12">
        <v>4000.42</v>
      </c>
      <c r="Q358" s="12" t="s">
        <v>1</v>
      </c>
    </row>
    <row r="359" spans="1:17" x14ac:dyDescent="0.25">
      <c r="A359" s="12">
        <f t="shared" si="5"/>
        <v>358</v>
      </c>
      <c r="B359" s="12">
        <v>1.0109999999999999</v>
      </c>
      <c r="C359" s="12">
        <v>0.40956900000000002</v>
      </c>
      <c r="D359" s="12">
        <v>0.59777599999999997</v>
      </c>
      <c r="E359" s="12">
        <v>703.41522698867595</v>
      </c>
      <c r="F359" s="12">
        <v>36</v>
      </c>
      <c r="G359" s="12">
        <v>12.3664948290486</v>
      </c>
      <c r="H359" s="12" t="s">
        <v>0</v>
      </c>
      <c r="I359" s="12">
        <v>1.1080000000000001</v>
      </c>
      <c r="J359" s="12">
        <v>304.78449999999998</v>
      </c>
      <c r="K359" s="12">
        <v>362.68783999999999</v>
      </c>
      <c r="L359" s="12" t="s">
        <v>1</v>
      </c>
      <c r="M359" s="12" t="s">
        <v>0</v>
      </c>
      <c r="N359" s="12">
        <v>36.521976302467998</v>
      </c>
      <c r="O359" s="12">
        <v>14</v>
      </c>
      <c r="P359" s="12">
        <v>6016.44</v>
      </c>
      <c r="Q359" s="12" t="s">
        <v>1</v>
      </c>
    </row>
    <row r="360" spans="1:17" x14ac:dyDescent="0.25">
      <c r="A360" s="12">
        <f t="shared" si="5"/>
        <v>359</v>
      </c>
      <c r="B360" s="12">
        <v>0.62161500000000003</v>
      </c>
      <c r="C360" s="12">
        <v>0.19325600000000001</v>
      </c>
      <c r="D360" s="12">
        <v>0.251689</v>
      </c>
      <c r="E360" s="12">
        <v>183.91990291745799</v>
      </c>
      <c r="F360" s="12">
        <v>64</v>
      </c>
      <c r="G360" s="12">
        <v>69.537321748920903</v>
      </c>
      <c r="H360" s="12" t="s">
        <v>0</v>
      </c>
      <c r="I360" s="12">
        <v>0.797292</v>
      </c>
      <c r="J360" s="12">
        <v>196.62799999999999</v>
      </c>
      <c r="K360" s="12">
        <v>158.49651</v>
      </c>
      <c r="L360" s="12" t="s">
        <v>1</v>
      </c>
      <c r="M360" s="12" t="s">
        <v>0</v>
      </c>
      <c r="N360" s="12">
        <v>23.561707227243101</v>
      </c>
      <c r="O360" s="12">
        <v>16</v>
      </c>
      <c r="P360" s="12">
        <v>10343.700000000001</v>
      </c>
      <c r="Q360" s="12" t="s">
        <v>1</v>
      </c>
    </row>
    <row r="361" spans="1:17" x14ac:dyDescent="0.25">
      <c r="A361" s="12">
        <f t="shared" si="5"/>
        <v>360</v>
      </c>
      <c r="B361" s="12">
        <v>0.48026400000000002</v>
      </c>
      <c r="C361" s="12">
        <v>3.2392299999999999E-2</v>
      </c>
      <c r="D361" s="12">
        <v>0.22178200000000001</v>
      </c>
      <c r="E361" s="12">
        <v>15.395037904326299</v>
      </c>
      <c r="F361" s="12">
        <v>110.25</v>
      </c>
      <c r="G361" s="12">
        <v>15.552326702195501</v>
      </c>
      <c r="H361" s="12" t="s">
        <v>0</v>
      </c>
      <c r="I361" s="12">
        <v>0.68421100000000001</v>
      </c>
      <c r="J361" s="12">
        <v>116.19615</v>
      </c>
      <c r="K361" s="12">
        <v>140.85138000000001</v>
      </c>
      <c r="L361" s="12" t="s">
        <v>1</v>
      </c>
      <c r="M361" s="12" t="s">
        <v>0</v>
      </c>
      <c r="N361" s="12">
        <v>13.923651093602199</v>
      </c>
      <c r="O361" s="12">
        <v>18.5</v>
      </c>
      <c r="P361" s="12">
        <v>5860.57</v>
      </c>
      <c r="Q361" s="12" t="s">
        <v>1</v>
      </c>
    </row>
    <row r="362" spans="1:17" x14ac:dyDescent="0.25">
      <c r="A362" s="12">
        <f t="shared" si="5"/>
        <v>361</v>
      </c>
      <c r="B362" s="12">
        <v>0.43085299999999999</v>
      </c>
      <c r="C362" s="12">
        <v>4.23551E-2</v>
      </c>
      <c r="D362" s="12">
        <v>0.241309</v>
      </c>
      <c r="E362" s="12">
        <v>20.435521750030802</v>
      </c>
      <c r="F362" s="12">
        <v>100</v>
      </c>
      <c r="G362" s="12">
        <v>9.8214408286732908</v>
      </c>
      <c r="H362" s="12" t="s">
        <v>0</v>
      </c>
      <c r="I362" s="12">
        <v>0.64468199999999998</v>
      </c>
      <c r="J362" s="12">
        <v>121.17755</v>
      </c>
      <c r="K362" s="12">
        <v>152.37231</v>
      </c>
      <c r="L362" s="12" t="s">
        <v>1</v>
      </c>
      <c r="M362" s="12" t="s">
        <v>0</v>
      </c>
      <c r="N362" s="12">
        <v>14.520566529764899</v>
      </c>
      <c r="O362" s="12">
        <v>18</v>
      </c>
      <c r="P362" s="12">
        <v>6156.12</v>
      </c>
      <c r="Q362" s="12" t="s">
        <v>1</v>
      </c>
    </row>
    <row r="363" spans="1:17" x14ac:dyDescent="0.25">
      <c r="A363" s="12">
        <f t="shared" si="5"/>
        <v>362</v>
      </c>
      <c r="B363" s="12">
        <v>6.8563399999999997E-2</v>
      </c>
      <c r="C363" s="12">
        <v>-5.0280200000000002E-3</v>
      </c>
      <c r="D363" s="12">
        <v>0.100318</v>
      </c>
      <c r="E363" s="12">
        <v>2.8278933373338799</v>
      </c>
      <c r="F363" s="12">
        <v>132.25</v>
      </c>
      <c r="G363" s="12">
        <v>22.716584091574401</v>
      </c>
      <c r="H363" s="12" t="s">
        <v>0</v>
      </c>
      <c r="I363" s="12">
        <v>0.35485070000000002</v>
      </c>
      <c r="J363" s="12">
        <v>97.485990000000001</v>
      </c>
      <c r="K363" s="12">
        <v>69.187619999999995</v>
      </c>
      <c r="L363" s="12" t="s">
        <v>1</v>
      </c>
      <c r="M363" s="12" t="s">
        <v>0</v>
      </c>
      <c r="N363" s="12">
        <v>11.681634127072201</v>
      </c>
      <c r="O363" s="12">
        <v>19.5</v>
      </c>
      <c r="P363" s="12">
        <v>5560.34</v>
      </c>
      <c r="Q363" s="12" t="s">
        <v>1</v>
      </c>
    </row>
    <row r="364" spans="1:17" x14ac:dyDescent="0.25">
      <c r="A364" s="12">
        <f t="shared" si="5"/>
        <v>363</v>
      </c>
      <c r="B364" s="12">
        <v>0.89340900000000001</v>
      </c>
      <c r="C364" s="12">
        <v>-2.6788099999999999E-2</v>
      </c>
      <c r="D364" s="12">
        <v>0.660138</v>
      </c>
      <c r="E364" s="12">
        <v>0.14280194032125601</v>
      </c>
      <c r="F364" s="12">
        <v>100</v>
      </c>
      <c r="G364" s="12">
        <v>285.35817608106498</v>
      </c>
      <c r="H364" s="12" t="s">
        <v>0</v>
      </c>
      <c r="I364" s="12">
        <v>1.0147269999999999</v>
      </c>
      <c r="J364" s="12">
        <v>86.605950000000007</v>
      </c>
      <c r="K364" s="12">
        <v>399.48142000000001</v>
      </c>
      <c r="L364" s="12" t="s">
        <v>1</v>
      </c>
      <c r="M364" s="12" t="s">
        <v>0</v>
      </c>
      <c r="N364" s="12">
        <v>10.377891439862299</v>
      </c>
      <c r="O364" s="12">
        <v>18</v>
      </c>
      <c r="P364" s="12">
        <v>1134.22</v>
      </c>
      <c r="Q364" s="12" t="s">
        <v>1</v>
      </c>
    </row>
    <row r="365" spans="1:17" x14ac:dyDescent="0.25">
      <c r="A365" s="12">
        <f t="shared" si="5"/>
        <v>364</v>
      </c>
      <c r="B365" s="12">
        <v>0.80491699999999999</v>
      </c>
      <c r="C365" s="12">
        <v>0.23039799999999999</v>
      </c>
      <c r="D365" s="12">
        <v>0.44718599999999997</v>
      </c>
      <c r="E365" s="12">
        <v>249.230910158678</v>
      </c>
      <c r="F365" s="12">
        <v>42.25</v>
      </c>
      <c r="G365" s="12">
        <v>0.19616405029086101</v>
      </c>
      <c r="H365" s="12" t="s">
        <v>0</v>
      </c>
      <c r="I365" s="12">
        <v>0.94393300000000002</v>
      </c>
      <c r="J365" s="12">
        <v>215.19900000000001</v>
      </c>
      <c r="K365" s="12">
        <v>273.83974000000001</v>
      </c>
      <c r="L365" s="12" t="s">
        <v>1</v>
      </c>
      <c r="M365" s="12" t="s">
        <v>0</v>
      </c>
      <c r="N365" s="12">
        <v>25.787048810929701</v>
      </c>
      <c r="O365" s="12">
        <v>14.5</v>
      </c>
      <c r="P365" s="12">
        <v>7461.66</v>
      </c>
      <c r="Q365" s="12" t="s">
        <v>1</v>
      </c>
    </row>
    <row r="366" spans="1:17" x14ac:dyDescent="0.25">
      <c r="A366" s="12">
        <f t="shared" si="5"/>
        <v>365</v>
      </c>
      <c r="B366" s="12">
        <v>0.33339600000000003</v>
      </c>
      <c r="C366" s="12">
        <v>-7.8947699999999996E-2</v>
      </c>
      <c r="D366" s="12">
        <v>0.23322200000000001</v>
      </c>
      <c r="E366" s="12">
        <v>7.5472233156071997</v>
      </c>
      <c r="F366" s="12">
        <v>182.25</v>
      </c>
      <c r="G366" s="12">
        <v>163.63526400000001</v>
      </c>
      <c r="H366" s="12" t="s">
        <v>0</v>
      </c>
      <c r="I366" s="12">
        <v>0.566716</v>
      </c>
      <c r="J366" s="12">
        <v>60.526150000000001</v>
      </c>
      <c r="K366" s="12">
        <v>147.60097999999999</v>
      </c>
      <c r="L366" s="12" t="s">
        <v>1</v>
      </c>
      <c r="M366" s="12" t="s">
        <v>0</v>
      </c>
      <c r="N366" s="12">
        <v>7.2527789831163503</v>
      </c>
      <c r="O366" s="12">
        <v>21.5</v>
      </c>
      <c r="P366" s="12">
        <v>2630.92</v>
      </c>
      <c r="Q366" s="12" t="s">
        <v>1</v>
      </c>
    </row>
    <row r="367" spans="1:17" x14ac:dyDescent="0.25">
      <c r="A367" s="12">
        <f t="shared" si="5"/>
        <v>366</v>
      </c>
      <c r="B367" s="12">
        <v>1.0153700000000001</v>
      </c>
      <c r="C367" s="12">
        <v>-3.9462900000000002E-2</v>
      </c>
      <c r="D367" s="12">
        <v>0.73899199999999998</v>
      </c>
      <c r="E367" s="12">
        <v>0.145551343312814</v>
      </c>
      <c r="F367" s="12">
        <v>100</v>
      </c>
      <c r="G367" s="12">
        <v>315.62199474572998</v>
      </c>
      <c r="H367" s="12" t="s">
        <v>0</v>
      </c>
      <c r="I367" s="12">
        <v>1.11229</v>
      </c>
      <c r="J367" s="12">
        <v>80.268550000000005</v>
      </c>
      <c r="K367" s="12">
        <v>446.00528000000003</v>
      </c>
      <c r="L367" s="12" t="s">
        <v>1</v>
      </c>
      <c r="M367" s="12" t="s">
        <v>0</v>
      </c>
      <c r="N367" s="12">
        <v>9.6184880823449692</v>
      </c>
      <c r="O367" s="12">
        <v>18</v>
      </c>
      <c r="P367" s="12">
        <v>815.5</v>
      </c>
      <c r="Q367" s="12" t="s">
        <v>1</v>
      </c>
    </row>
    <row r="368" spans="1:17" x14ac:dyDescent="0.25">
      <c r="A368" s="12">
        <f t="shared" si="5"/>
        <v>367</v>
      </c>
      <c r="B368" s="12">
        <v>0.94686599999999999</v>
      </c>
      <c r="C368" s="12">
        <v>8.5319199999999998E-2</v>
      </c>
      <c r="D368" s="12">
        <v>0.61334599999999995</v>
      </c>
      <c r="E368" s="12">
        <v>50.335277332739501</v>
      </c>
      <c r="F368" s="12">
        <v>56.25</v>
      </c>
      <c r="G368" s="12">
        <v>171.30434991630599</v>
      </c>
      <c r="H368" s="12" t="s">
        <v>0</v>
      </c>
      <c r="I368" s="12">
        <v>1.0574920000000001</v>
      </c>
      <c r="J368" s="12">
        <v>142.65960000000001</v>
      </c>
      <c r="K368" s="12">
        <v>371.87414000000001</v>
      </c>
      <c r="L368" s="12" t="s">
        <v>1</v>
      </c>
      <c r="M368" s="12" t="s">
        <v>0</v>
      </c>
      <c r="N368" s="12">
        <v>17.0947358888643</v>
      </c>
      <c r="O368" s="12">
        <v>15.5</v>
      </c>
      <c r="P368" s="12">
        <v>2522.7600000000002</v>
      </c>
      <c r="Q368" s="12" t="s">
        <v>1</v>
      </c>
    </row>
    <row r="369" spans="1:17" x14ac:dyDescent="0.25">
      <c r="A369" s="12">
        <f t="shared" si="5"/>
        <v>368</v>
      </c>
      <c r="B369" s="12">
        <v>1.06047</v>
      </c>
      <c r="C369" s="12">
        <v>8.9972099999999999E-2</v>
      </c>
      <c r="D369" s="12">
        <v>0.63190599999999997</v>
      </c>
      <c r="E369" s="12">
        <v>54.368675059048101</v>
      </c>
      <c r="F369" s="12">
        <v>49</v>
      </c>
      <c r="G369" s="12">
        <v>179.249548004503</v>
      </c>
      <c r="H369" s="12" t="s">
        <v>0</v>
      </c>
      <c r="I369" s="12">
        <v>1.1483699999999999</v>
      </c>
      <c r="J369" s="12">
        <v>144.98605000000001</v>
      </c>
      <c r="K369" s="12">
        <v>382.82454000000001</v>
      </c>
      <c r="L369" s="12" t="s">
        <v>1</v>
      </c>
      <c r="M369" s="12" t="s">
        <v>0</v>
      </c>
      <c r="N369" s="12">
        <v>17.373511718241701</v>
      </c>
      <c r="O369" s="12">
        <v>15</v>
      </c>
      <c r="P369" s="12">
        <v>2413.23</v>
      </c>
      <c r="Q369" s="12" t="s">
        <v>1</v>
      </c>
    </row>
    <row r="370" spans="1:17" x14ac:dyDescent="0.25">
      <c r="A370" s="12">
        <f t="shared" si="5"/>
        <v>369</v>
      </c>
      <c r="B370" s="12">
        <v>0.91245100000000001</v>
      </c>
      <c r="C370" s="12">
        <v>0.33182400000000001</v>
      </c>
      <c r="D370" s="12">
        <v>0.60216199999999998</v>
      </c>
      <c r="E370" s="12">
        <v>478.03140483798398</v>
      </c>
      <c r="F370" s="12">
        <v>36</v>
      </c>
      <c r="G370" s="12">
        <v>0.73043950084443598</v>
      </c>
      <c r="H370" s="12" t="s">
        <v>0</v>
      </c>
      <c r="I370" s="12">
        <v>1.02996</v>
      </c>
      <c r="J370" s="12">
        <v>265.91199999999998</v>
      </c>
      <c r="K370" s="12">
        <v>365.27557999999999</v>
      </c>
      <c r="L370" s="12" t="s">
        <v>1</v>
      </c>
      <c r="M370" s="12" t="s">
        <v>0</v>
      </c>
      <c r="N370" s="12">
        <v>31.8639293092066</v>
      </c>
      <c r="O370" s="12">
        <v>14</v>
      </c>
      <c r="P370" s="12">
        <v>6988.05</v>
      </c>
      <c r="Q370" s="12" t="s">
        <v>1</v>
      </c>
    </row>
    <row r="371" spans="1:17" x14ac:dyDescent="0.25">
      <c r="A371" s="12">
        <f t="shared" si="5"/>
        <v>370</v>
      </c>
      <c r="B371" s="12">
        <v>0.965445</v>
      </c>
      <c r="C371" s="12">
        <v>0.28553299999999998</v>
      </c>
      <c r="D371" s="12">
        <v>0.66266800000000003</v>
      </c>
      <c r="E371" s="12">
        <v>364.44454235086999</v>
      </c>
      <c r="F371" s="12">
        <v>42.25</v>
      </c>
      <c r="G371" s="12">
        <v>54.859387521110897</v>
      </c>
      <c r="H371" s="12" t="s">
        <v>0</v>
      </c>
      <c r="I371" s="12">
        <v>1.0723560000000001</v>
      </c>
      <c r="J371" s="12">
        <v>242.76650000000001</v>
      </c>
      <c r="K371" s="12">
        <v>400.97412000000003</v>
      </c>
      <c r="L371" s="12" t="s">
        <v>1</v>
      </c>
      <c r="M371" s="12" t="s">
        <v>0</v>
      </c>
      <c r="N371" s="12">
        <v>29.090430648648798</v>
      </c>
      <c r="O371" s="12">
        <v>14.5</v>
      </c>
      <c r="P371" s="12">
        <v>4596.55</v>
      </c>
      <c r="Q371" s="12" t="s">
        <v>1</v>
      </c>
    </row>
    <row r="372" spans="1:17" x14ac:dyDescent="0.25">
      <c r="A372" s="12">
        <f t="shared" si="5"/>
        <v>371</v>
      </c>
      <c r="B372" s="12">
        <v>0.47497</v>
      </c>
      <c r="C372" s="12">
        <v>0.124306</v>
      </c>
      <c r="D372" s="12">
        <v>0.23431099999999999</v>
      </c>
      <c r="E372" s="12">
        <v>88.936359786363198</v>
      </c>
      <c r="F372" s="12">
        <v>81</v>
      </c>
      <c r="G372" s="12">
        <v>15.360815849878</v>
      </c>
      <c r="H372" s="12" t="s">
        <v>0</v>
      </c>
      <c r="I372" s="12">
        <v>0.67996999999999996</v>
      </c>
      <c r="J372" s="12">
        <v>162.15299999999999</v>
      </c>
      <c r="K372" s="12">
        <v>148.24349000000001</v>
      </c>
      <c r="L372" s="12" t="s">
        <v>1</v>
      </c>
      <c r="M372" s="12" t="s">
        <v>0</v>
      </c>
      <c r="N372" s="12">
        <v>19.430607604304299</v>
      </c>
      <c r="O372" s="12">
        <v>17</v>
      </c>
      <c r="P372" s="12">
        <v>8730.5400000000009</v>
      </c>
      <c r="Q372" s="12" t="s">
        <v>1</v>
      </c>
    </row>
    <row r="373" spans="1:17" x14ac:dyDescent="0.25">
      <c r="A373" s="12">
        <f t="shared" si="5"/>
        <v>372</v>
      </c>
      <c r="B373" s="12">
        <v>1.0215000000000001</v>
      </c>
      <c r="C373" s="12">
        <v>4.3166299999999998E-2</v>
      </c>
      <c r="D373" s="12">
        <v>0.76934199999999997</v>
      </c>
      <c r="E373" s="12">
        <v>20.877306369948801</v>
      </c>
      <c r="F373" s="12">
        <v>49</v>
      </c>
      <c r="G373" s="12">
        <v>237.888789167948</v>
      </c>
      <c r="H373" s="12" t="s">
        <v>0</v>
      </c>
      <c r="I373" s="12">
        <v>1.1172</v>
      </c>
      <c r="J373" s="12">
        <v>121.58315</v>
      </c>
      <c r="K373" s="12">
        <v>463.91178000000002</v>
      </c>
      <c r="L373" s="12" t="s">
        <v>1</v>
      </c>
      <c r="M373" s="12" t="s">
        <v>0</v>
      </c>
      <c r="N373" s="12">
        <v>14.5691691115506</v>
      </c>
      <c r="O373" s="12">
        <v>15</v>
      </c>
      <c r="P373" s="12">
        <v>1670.37</v>
      </c>
      <c r="Q373" s="12" t="s">
        <v>1</v>
      </c>
    </row>
    <row r="374" spans="1:17" x14ac:dyDescent="0.25">
      <c r="A374" s="12">
        <f t="shared" si="5"/>
        <v>373</v>
      </c>
      <c r="B374" s="12">
        <v>1.0346299999999999</v>
      </c>
      <c r="C374" s="12">
        <v>2.2357499999999999E-2</v>
      </c>
      <c r="D374" s="12">
        <v>0.68294600000000005</v>
      </c>
      <c r="E374" s="12">
        <v>11.0384867421684</v>
      </c>
      <c r="F374" s="12">
        <v>56.25</v>
      </c>
      <c r="G374" s="12">
        <v>230.178776674798</v>
      </c>
      <c r="H374" s="12" t="s">
        <v>0</v>
      </c>
      <c r="I374" s="12">
        <v>1.1276999999999999</v>
      </c>
      <c r="J374" s="12">
        <v>111.17874999999999</v>
      </c>
      <c r="K374" s="12">
        <v>412.93813999999998</v>
      </c>
      <c r="L374" s="12" t="s">
        <v>1</v>
      </c>
      <c r="M374" s="12" t="s">
        <v>0</v>
      </c>
      <c r="N374" s="12">
        <v>13.3224218188195</v>
      </c>
      <c r="O374" s="12">
        <v>15.5</v>
      </c>
      <c r="P374" s="12">
        <v>1762.35</v>
      </c>
      <c r="Q374" s="12" t="s">
        <v>1</v>
      </c>
    </row>
    <row r="375" spans="1:17" x14ac:dyDescent="0.25">
      <c r="A375" s="12">
        <f t="shared" si="5"/>
        <v>374</v>
      </c>
      <c r="B375" s="12">
        <v>0.98375800000000002</v>
      </c>
      <c r="C375" s="12">
        <v>3.70307E-2</v>
      </c>
      <c r="D375" s="12">
        <v>0.576291</v>
      </c>
      <c r="E375" s="12">
        <v>17.653091003904802</v>
      </c>
      <c r="F375" s="12">
        <v>64</v>
      </c>
      <c r="G375" s="12">
        <v>228.637598396697</v>
      </c>
      <c r="H375" s="12" t="s">
        <v>0</v>
      </c>
      <c r="I375" s="12">
        <v>1.0870059999999999</v>
      </c>
      <c r="J375" s="12">
        <v>118.51535</v>
      </c>
      <c r="K375" s="12">
        <v>350.01168999999999</v>
      </c>
      <c r="L375" s="12" t="s">
        <v>1</v>
      </c>
      <c r="M375" s="12" t="s">
        <v>0</v>
      </c>
      <c r="N375" s="12">
        <v>14.2015581638131</v>
      </c>
      <c r="O375" s="12">
        <v>16</v>
      </c>
      <c r="P375" s="12">
        <v>1780.92</v>
      </c>
      <c r="Q375" s="12" t="s">
        <v>1</v>
      </c>
    </row>
    <row r="376" spans="1:17" x14ac:dyDescent="0.25">
      <c r="A376" s="12">
        <f t="shared" si="5"/>
        <v>375</v>
      </c>
      <c r="B376" s="12">
        <v>0.93979800000000002</v>
      </c>
      <c r="C376" s="12">
        <v>-1.97349E-2</v>
      </c>
      <c r="D376" s="12">
        <v>0.74019500000000005</v>
      </c>
      <c r="E376" s="12">
        <v>0.64076801304612796</v>
      </c>
      <c r="F376" s="12">
        <v>90.25</v>
      </c>
      <c r="G376" s="12">
        <v>293.48852692812898</v>
      </c>
      <c r="H376" s="12" t="s">
        <v>0</v>
      </c>
      <c r="I376" s="12">
        <v>1.0518380000000001</v>
      </c>
      <c r="J376" s="12">
        <v>90.132549999999995</v>
      </c>
      <c r="K376" s="12">
        <v>446.71505000000002</v>
      </c>
      <c r="L376" s="12" t="s">
        <v>1</v>
      </c>
      <c r="M376" s="12" t="s">
        <v>0</v>
      </c>
      <c r="N376" s="12">
        <v>10.8004798642352</v>
      </c>
      <c r="O376" s="12">
        <v>17.5</v>
      </c>
      <c r="P376" s="12">
        <v>1047</v>
      </c>
      <c r="Q376" s="12" t="s">
        <v>1</v>
      </c>
    </row>
    <row r="377" spans="1:17" x14ac:dyDescent="0.25">
      <c r="A377" s="12">
        <f t="shared" si="5"/>
        <v>376</v>
      </c>
      <c r="B377" s="12">
        <v>1.0995600000000001</v>
      </c>
      <c r="C377" s="12">
        <v>8.3689700000000006E-2</v>
      </c>
      <c r="D377" s="12">
        <v>0.79778300000000002</v>
      </c>
      <c r="E377" s="12">
        <v>48.959483039324503</v>
      </c>
      <c r="F377" s="12">
        <v>42.25</v>
      </c>
      <c r="G377" s="12">
        <v>228.64754092700301</v>
      </c>
      <c r="H377" s="12" t="s">
        <v>0</v>
      </c>
      <c r="I377" s="12">
        <v>1.17964</v>
      </c>
      <c r="J377" s="12">
        <v>141.84485000000001</v>
      </c>
      <c r="K377" s="12">
        <v>480.69197000000003</v>
      </c>
      <c r="L377" s="12" t="s">
        <v>1</v>
      </c>
      <c r="M377" s="12" t="s">
        <v>0</v>
      </c>
      <c r="N377" s="12">
        <v>16.9971053328733</v>
      </c>
      <c r="O377" s="12">
        <v>14.5</v>
      </c>
      <c r="P377" s="12">
        <v>1780.8</v>
      </c>
      <c r="Q377" s="12" t="s">
        <v>1</v>
      </c>
    </row>
    <row r="378" spans="1:17" x14ac:dyDescent="0.25">
      <c r="A378" s="12">
        <f t="shared" si="5"/>
        <v>377</v>
      </c>
      <c r="B378" s="12">
        <v>0.93374000000000001</v>
      </c>
      <c r="C378" s="12">
        <v>5.3983999999999997E-2</v>
      </c>
      <c r="D378" s="12">
        <v>0.79864400000000002</v>
      </c>
      <c r="E378" s="12">
        <v>27.220275531309898</v>
      </c>
      <c r="F378" s="12">
        <v>56.25</v>
      </c>
      <c r="G378" s="12">
        <v>233.11517042296799</v>
      </c>
      <c r="H378" s="12" t="s">
        <v>0</v>
      </c>
      <c r="I378" s="12">
        <v>1.0469900000000001</v>
      </c>
      <c r="J378" s="12">
        <v>126.992</v>
      </c>
      <c r="K378" s="12">
        <v>481.19995999999998</v>
      </c>
      <c r="L378" s="12" t="s">
        <v>1</v>
      </c>
      <c r="M378" s="12" t="s">
        <v>0</v>
      </c>
      <c r="N378" s="12">
        <v>15.2173053898837</v>
      </c>
      <c r="O378" s="12">
        <v>15.5</v>
      </c>
      <c r="P378" s="12">
        <v>1727.14</v>
      </c>
      <c r="Q378" s="12" t="s">
        <v>1</v>
      </c>
    </row>
    <row r="379" spans="1:17" x14ac:dyDescent="0.25">
      <c r="A379" s="12">
        <f t="shared" si="5"/>
        <v>378</v>
      </c>
      <c r="B379" s="12">
        <v>1.06498</v>
      </c>
      <c r="C379" s="12">
        <v>0.104049</v>
      </c>
      <c r="D379" s="12">
        <v>0.65315599999999996</v>
      </c>
      <c r="E379" s="12">
        <v>67.517792222981697</v>
      </c>
      <c r="F379" s="12">
        <v>36</v>
      </c>
      <c r="G379" s="12">
        <v>135.57188975117199</v>
      </c>
      <c r="H379" s="12" t="s">
        <v>0</v>
      </c>
      <c r="I379" s="12">
        <v>1.15198</v>
      </c>
      <c r="J379" s="12">
        <v>152.02449999999999</v>
      </c>
      <c r="K379" s="12">
        <v>395.36203999999998</v>
      </c>
      <c r="L379" s="12" t="s">
        <v>1</v>
      </c>
      <c r="M379" s="12" t="s">
        <v>0</v>
      </c>
      <c r="N379" s="12">
        <v>18.216921091441801</v>
      </c>
      <c r="O379" s="12">
        <v>14</v>
      </c>
      <c r="P379" s="12">
        <v>3050.11</v>
      </c>
      <c r="Q379" s="12" t="s">
        <v>1</v>
      </c>
    </row>
    <row r="380" spans="1:17" x14ac:dyDescent="0.25">
      <c r="A380" s="12">
        <f t="shared" si="5"/>
        <v>379</v>
      </c>
      <c r="B380" s="12">
        <v>1.0560400000000001</v>
      </c>
      <c r="C380" s="12">
        <v>0.10141600000000001</v>
      </c>
      <c r="D380" s="12">
        <v>0.64420699999999997</v>
      </c>
      <c r="E380" s="12">
        <v>64.950163218979995</v>
      </c>
      <c r="F380" s="12">
        <v>36</v>
      </c>
      <c r="G380" s="12">
        <v>135.781235120285</v>
      </c>
      <c r="H380" s="12" t="s">
        <v>0</v>
      </c>
      <c r="I380" s="12">
        <v>1.14483</v>
      </c>
      <c r="J380" s="12">
        <v>150.708</v>
      </c>
      <c r="K380" s="12">
        <v>390.08213000000001</v>
      </c>
      <c r="L380" s="12" t="s">
        <v>1</v>
      </c>
      <c r="M380" s="12" t="s">
        <v>0</v>
      </c>
      <c r="N380" s="12">
        <v>18.059166409684</v>
      </c>
      <c r="O380" s="12">
        <v>14</v>
      </c>
      <c r="P380" s="12">
        <v>3046.83</v>
      </c>
      <c r="Q380" s="12" t="s">
        <v>1</v>
      </c>
    </row>
    <row r="381" spans="1:17" x14ac:dyDescent="0.25">
      <c r="A381" s="12">
        <f t="shared" si="5"/>
        <v>380</v>
      </c>
      <c r="B381" s="12">
        <v>0.95589599999999997</v>
      </c>
      <c r="C381" s="12">
        <v>0.204262</v>
      </c>
      <c r="D381" s="12">
        <v>1.0763100000000001</v>
      </c>
      <c r="E381" s="12">
        <v>202.24040741089399</v>
      </c>
      <c r="F381" s="12">
        <v>42.25</v>
      </c>
      <c r="G381" s="12">
        <v>172.32783952035999</v>
      </c>
      <c r="H381" s="12" t="s">
        <v>0</v>
      </c>
      <c r="I381" s="12">
        <v>1.064716</v>
      </c>
      <c r="J381" s="12">
        <v>202.131</v>
      </c>
      <c r="K381" s="12">
        <v>645.02290000000005</v>
      </c>
      <c r="L381" s="12" t="s">
        <v>1</v>
      </c>
      <c r="M381" s="12" t="s">
        <v>0</v>
      </c>
      <c r="N381" s="12">
        <v>24.221125391856098</v>
      </c>
      <c r="O381" s="12">
        <v>14.5</v>
      </c>
      <c r="P381" s="12">
        <v>2508.5100000000002</v>
      </c>
      <c r="Q381" s="12" t="s">
        <v>1</v>
      </c>
    </row>
    <row r="382" spans="1:17" x14ac:dyDescent="0.25">
      <c r="A382" s="12">
        <f t="shared" si="5"/>
        <v>381</v>
      </c>
      <c r="B382" s="12">
        <v>1.00098</v>
      </c>
      <c r="C382" s="12">
        <v>0.30588799999999999</v>
      </c>
      <c r="D382" s="12">
        <v>1.07934</v>
      </c>
      <c r="E382" s="12">
        <v>412.495644048288</v>
      </c>
      <c r="F382" s="12">
        <v>30.25</v>
      </c>
      <c r="G382" s="12">
        <v>83.496034174516694</v>
      </c>
      <c r="H382" s="12" t="s">
        <v>0</v>
      </c>
      <c r="I382" s="12">
        <v>1.1007800000000001</v>
      </c>
      <c r="J382" s="12">
        <v>252.94399999999999</v>
      </c>
      <c r="K382" s="12">
        <v>646.81060000000002</v>
      </c>
      <c r="L382" s="12" t="s">
        <v>1</v>
      </c>
      <c r="M382" s="12" t="s">
        <v>0</v>
      </c>
      <c r="N382" s="12">
        <v>30.3099887751886</v>
      </c>
      <c r="O382" s="12">
        <v>13.5</v>
      </c>
      <c r="P382" s="12">
        <v>3964.77</v>
      </c>
      <c r="Q382" s="12" t="s">
        <v>1</v>
      </c>
    </row>
    <row r="383" spans="1:17" x14ac:dyDescent="0.25">
      <c r="A383" s="12">
        <f t="shared" si="5"/>
        <v>382</v>
      </c>
      <c r="B383" s="12">
        <v>0.15434800000000001</v>
      </c>
      <c r="C383" s="12">
        <v>3.4210400000000002E-2</v>
      </c>
      <c r="D383" s="12">
        <v>0.16414500000000001</v>
      </c>
      <c r="E383" s="12">
        <v>16.2617136364129</v>
      </c>
      <c r="F383" s="12">
        <v>110.25</v>
      </c>
      <c r="G383" s="12">
        <v>27.3359946676674</v>
      </c>
      <c r="H383" s="12" t="s">
        <v>0</v>
      </c>
      <c r="I383" s="12">
        <v>0.42347800000000002</v>
      </c>
      <c r="J383" s="12">
        <v>117.1052</v>
      </c>
      <c r="K383" s="12">
        <v>106.84555</v>
      </c>
      <c r="L383" s="12" t="s">
        <v>1</v>
      </c>
      <c r="M383" s="12" t="s">
        <v>0</v>
      </c>
      <c r="N383" s="12">
        <v>14.0325815102007</v>
      </c>
      <c r="O383" s="12">
        <v>18.5</v>
      </c>
      <c r="P383" s="12">
        <v>5391.64</v>
      </c>
      <c r="Q383" s="12" t="s">
        <v>1</v>
      </c>
    </row>
    <row r="384" spans="1:17" x14ac:dyDescent="0.25">
      <c r="A384" s="12">
        <f t="shared" si="5"/>
        <v>383</v>
      </c>
      <c r="B384" s="12">
        <v>0.53628600000000004</v>
      </c>
      <c r="C384" s="12">
        <v>5.3779199999999999E-2</v>
      </c>
      <c r="D384" s="12">
        <v>0.29049399999999997</v>
      </c>
      <c r="E384" s="12">
        <v>27.092388472477101</v>
      </c>
      <c r="F384" s="12">
        <v>100</v>
      </c>
      <c r="G384" s="12">
        <v>34.261618021392302</v>
      </c>
      <c r="H384" s="12" t="s">
        <v>0</v>
      </c>
      <c r="I384" s="12">
        <v>0.72902800000000001</v>
      </c>
      <c r="J384" s="12">
        <v>126.8896</v>
      </c>
      <c r="K384" s="12">
        <v>181.39146</v>
      </c>
      <c r="L384" s="12" t="s">
        <v>1</v>
      </c>
      <c r="M384" s="12" t="s">
        <v>0</v>
      </c>
      <c r="N384" s="12">
        <v>15.205034915586699</v>
      </c>
      <c r="O384" s="12">
        <v>18</v>
      </c>
      <c r="P384" s="12">
        <v>5163.53</v>
      </c>
      <c r="Q384" s="12" t="s">
        <v>1</v>
      </c>
    </row>
    <row r="385" spans="1:17" x14ac:dyDescent="0.25">
      <c r="A385" s="12">
        <f t="shared" si="5"/>
        <v>384</v>
      </c>
      <c r="B385" s="12">
        <v>0.18080199999999999</v>
      </c>
      <c r="C385" s="12">
        <v>-5.7008400000000001E-2</v>
      </c>
      <c r="D385" s="12">
        <v>0.20270099999999999</v>
      </c>
      <c r="E385" s="12">
        <v>2.0527452439896998</v>
      </c>
      <c r="F385" s="12">
        <v>144</v>
      </c>
      <c r="G385" s="12">
        <v>144.16508838506201</v>
      </c>
      <c r="H385" s="12" t="s">
        <v>0</v>
      </c>
      <c r="I385" s="12">
        <v>0.44464100000000001</v>
      </c>
      <c r="J385" s="12">
        <v>71.495800000000003</v>
      </c>
      <c r="K385" s="12">
        <v>129.59359000000001</v>
      </c>
      <c r="L385" s="12" t="s">
        <v>1</v>
      </c>
      <c r="M385" s="12" t="s">
        <v>0</v>
      </c>
      <c r="N385" s="12">
        <v>8.5672595336245596</v>
      </c>
      <c r="O385" s="12">
        <v>20</v>
      </c>
      <c r="P385" s="12">
        <v>2917.49</v>
      </c>
      <c r="Q385" s="12" t="s">
        <v>1</v>
      </c>
    </row>
    <row r="386" spans="1:17" x14ac:dyDescent="0.25">
      <c r="A386" s="12">
        <f t="shared" si="5"/>
        <v>385</v>
      </c>
      <c r="B386" s="12">
        <v>0.98931500000000006</v>
      </c>
      <c r="C386" s="12">
        <v>0.13442499999999999</v>
      </c>
      <c r="D386" s="12">
        <v>0.73372800000000005</v>
      </c>
      <c r="E386" s="12">
        <v>100.738993731764</v>
      </c>
      <c r="F386" s="12">
        <v>42.25</v>
      </c>
      <c r="G386" s="12">
        <v>136.282276</v>
      </c>
      <c r="H386" s="12" t="s">
        <v>0</v>
      </c>
      <c r="I386" s="12">
        <v>1.0914520000000001</v>
      </c>
      <c r="J386" s="12">
        <v>167.21250000000001</v>
      </c>
      <c r="K386" s="12">
        <v>442.89952</v>
      </c>
      <c r="L386" s="12" t="s">
        <v>1</v>
      </c>
      <c r="M386" s="12" t="s">
        <v>0</v>
      </c>
      <c r="N386" s="12">
        <v>20.036881673695401</v>
      </c>
      <c r="O386" s="12">
        <v>14.5</v>
      </c>
      <c r="P386" s="12">
        <v>3038.99</v>
      </c>
      <c r="Q386" s="12" t="s">
        <v>1</v>
      </c>
    </row>
    <row r="387" spans="1:17" x14ac:dyDescent="0.25">
      <c r="A387" s="12">
        <f t="shared" si="5"/>
        <v>386</v>
      </c>
      <c r="B387" s="12">
        <v>0.89497000000000004</v>
      </c>
      <c r="C387" s="12">
        <v>0.158968</v>
      </c>
      <c r="D387" s="12">
        <v>0.65017499999999995</v>
      </c>
      <c r="E387" s="12">
        <v>132.419366696324</v>
      </c>
      <c r="F387" s="12">
        <v>42.25</v>
      </c>
      <c r="G387" s="12">
        <v>100.821405904297</v>
      </c>
      <c r="H387" s="12" t="s">
        <v>0</v>
      </c>
      <c r="I387" s="12">
        <v>1.01597</v>
      </c>
      <c r="J387" s="12">
        <v>179.48400000000001</v>
      </c>
      <c r="K387" s="12">
        <v>393.60325</v>
      </c>
      <c r="L387" s="12" t="s">
        <v>1</v>
      </c>
      <c r="M387" s="12" t="s">
        <v>0</v>
      </c>
      <c r="N387" s="12">
        <v>21.5073614133007</v>
      </c>
      <c r="O387" s="12">
        <v>14.5</v>
      </c>
      <c r="P387" s="12">
        <v>3635.04</v>
      </c>
      <c r="Q387" s="12" t="s">
        <v>1</v>
      </c>
    </row>
    <row r="388" spans="1:17" x14ac:dyDescent="0.25">
      <c r="A388" s="12">
        <f t="shared" ref="A388:A451" si="6">A387+1</f>
        <v>387</v>
      </c>
      <c r="B388" s="12">
        <v>0.85940700000000003</v>
      </c>
      <c r="C388" s="12">
        <v>2.0924499999999999E-2</v>
      </c>
      <c r="D388" s="12">
        <v>0.72177199999999997</v>
      </c>
      <c r="E388" s="12">
        <v>10.475349422146399</v>
      </c>
      <c r="F388" s="12">
        <v>81</v>
      </c>
      <c r="G388" s="12">
        <v>254.175317864514</v>
      </c>
      <c r="H388" s="12" t="s">
        <v>0</v>
      </c>
      <c r="I388" s="12">
        <v>0.98752499999999999</v>
      </c>
      <c r="J388" s="12">
        <v>110.46225</v>
      </c>
      <c r="K388" s="12">
        <v>435.84548000000001</v>
      </c>
      <c r="L388" s="12" t="s">
        <v>1</v>
      </c>
      <c r="M388" s="12" t="s">
        <v>0</v>
      </c>
      <c r="N388" s="12">
        <v>13.2365644473957</v>
      </c>
      <c r="O388" s="12">
        <v>17</v>
      </c>
      <c r="P388" s="12">
        <v>1480.85</v>
      </c>
      <c r="Q388" s="12" t="s">
        <v>1</v>
      </c>
    </row>
    <row r="389" spans="1:17" x14ac:dyDescent="0.25">
      <c r="A389" s="12">
        <f t="shared" si="6"/>
        <v>388</v>
      </c>
      <c r="B389" s="12">
        <v>0.93468099999999998</v>
      </c>
      <c r="C389" s="12">
        <v>0.39320100000000002</v>
      </c>
      <c r="D389" s="12">
        <v>0.59228400000000003</v>
      </c>
      <c r="E389" s="12">
        <v>652.35785190649699</v>
      </c>
      <c r="F389" s="12">
        <v>42.25</v>
      </c>
      <c r="G389" s="12">
        <v>12.8761033409645</v>
      </c>
      <c r="H389" s="12" t="s">
        <v>0</v>
      </c>
      <c r="I389" s="12">
        <v>1.047744</v>
      </c>
      <c r="J389" s="12">
        <v>296.60050000000001</v>
      </c>
      <c r="K389" s="12">
        <v>359.44756000000001</v>
      </c>
      <c r="L389" s="12" t="s">
        <v>1</v>
      </c>
      <c r="M389" s="12" t="s">
        <v>0</v>
      </c>
      <c r="N389" s="12">
        <v>35.541296989512801</v>
      </c>
      <c r="O389" s="12">
        <v>14.5</v>
      </c>
      <c r="P389" s="12">
        <v>5990.26</v>
      </c>
      <c r="Q389" s="12" t="s">
        <v>1</v>
      </c>
    </row>
    <row r="390" spans="1:17" x14ac:dyDescent="0.25">
      <c r="A390" s="12">
        <f t="shared" si="6"/>
        <v>389</v>
      </c>
      <c r="B390" s="12">
        <v>1.071</v>
      </c>
      <c r="C390" s="12">
        <v>9.4778200000000007E-2</v>
      </c>
      <c r="D390" s="12">
        <v>0.92089399999999999</v>
      </c>
      <c r="E390" s="12">
        <v>58.6980679740387</v>
      </c>
      <c r="F390" s="12">
        <v>42.25</v>
      </c>
      <c r="G390" s="12">
        <v>240.04705657421599</v>
      </c>
      <c r="H390" s="12" t="s">
        <v>0</v>
      </c>
      <c r="I390" s="12">
        <v>1.1559999999999999</v>
      </c>
      <c r="J390" s="12">
        <v>147.38910000000001</v>
      </c>
      <c r="K390" s="12">
        <v>553.32745999999997</v>
      </c>
      <c r="L390" s="12" t="s">
        <v>1</v>
      </c>
      <c r="M390" s="12" t="s">
        <v>0</v>
      </c>
      <c r="N390" s="12">
        <v>17.661466437571701</v>
      </c>
      <c r="O390" s="12">
        <v>14.5</v>
      </c>
      <c r="P390" s="12">
        <v>1644.89</v>
      </c>
      <c r="Q390" s="12" t="s">
        <v>1</v>
      </c>
    </row>
    <row r="391" spans="1:17" x14ac:dyDescent="0.25">
      <c r="A391" s="12">
        <f t="shared" si="6"/>
        <v>390</v>
      </c>
      <c r="B391" s="12">
        <v>0.575739</v>
      </c>
      <c r="C391" s="12">
        <v>7.33573E-2</v>
      </c>
      <c r="D391" s="12">
        <v>0.283827</v>
      </c>
      <c r="E391" s="12">
        <v>40.6794647206032</v>
      </c>
      <c r="F391" s="12">
        <v>90.25</v>
      </c>
      <c r="G391" s="12">
        <v>19.0957027584912</v>
      </c>
      <c r="H391" s="12" t="s">
        <v>0</v>
      </c>
      <c r="I391" s="12">
        <v>0.76059100000000002</v>
      </c>
      <c r="J391" s="12">
        <v>136.67865</v>
      </c>
      <c r="K391" s="12">
        <v>177.45793</v>
      </c>
      <c r="L391" s="12" t="s">
        <v>1</v>
      </c>
      <c r="M391" s="12" t="s">
        <v>0</v>
      </c>
      <c r="N391" s="12">
        <v>16.378045525127799</v>
      </c>
      <c r="O391" s="12">
        <v>17.5</v>
      </c>
      <c r="P391" s="12">
        <v>5705</v>
      </c>
      <c r="Q391" s="12" t="s">
        <v>1</v>
      </c>
    </row>
    <row r="392" spans="1:17" x14ac:dyDescent="0.25">
      <c r="A392" s="12">
        <f t="shared" si="6"/>
        <v>391</v>
      </c>
      <c r="B392" s="12">
        <v>0.838028</v>
      </c>
      <c r="C392" s="12">
        <v>9.0645899999999998E-4</v>
      </c>
      <c r="D392" s="12">
        <v>0.71220300000000003</v>
      </c>
      <c r="E392" s="12">
        <v>4.1501635726689496</v>
      </c>
      <c r="F392" s="12">
        <v>81</v>
      </c>
      <c r="G392" s="12">
        <v>261.61511495590099</v>
      </c>
      <c r="H392" s="12" t="s">
        <v>0</v>
      </c>
      <c r="I392" s="12">
        <v>0.97042200000000001</v>
      </c>
      <c r="J392" s="12">
        <v>100.45322950000001</v>
      </c>
      <c r="K392" s="12">
        <v>430.19977</v>
      </c>
      <c r="L392" s="12" t="s">
        <v>1</v>
      </c>
      <c r="M392" s="12" t="s">
        <v>0</v>
      </c>
      <c r="N392" s="12">
        <v>12.0371950256833</v>
      </c>
      <c r="O392" s="12">
        <v>17</v>
      </c>
      <c r="P392" s="12">
        <v>1396.3</v>
      </c>
      <c r="Q392" s="12" t="s">
        <v>1</v>
      </c>
    </row>
    <row r="393" spans="1:17" x14ac:dyDescent="0.25">
      <c r="A393" s="12">
        <f t="shared" si="6"/>
        <v>392</v>
      </c>
      <c r="B393" s="12">
        <v>1.1269400000000001</v>
      </c>
      <c r="C393" s="12">
        <v>-2.4878600000000001E-2</v>
      </c>
      <c r="D393" s="12">
        <v>0.73216899999999996</v>
      </c>
      <c r="E393" s="12">
        <v>0.242357355197205</v>
      </c>
      <c r="F393" s="12">
        <v>72.25</v>
      </c>
      <c r="G393" s="12">
        <v>305.34852738197702</v>
      </c>
      <c r="H393" s="12" t="s">
        <v>0</v>
      </c>
      <c r="I393" s="12">
        <v>1.2015499999999999</v>
      </c>
      <c r="J393" s="12">
        <v>87.560699999999997</v>
      </c>
      <c r="K393" s="12">
        <v>441.97971000000001</v>
      </c>
      <c r="L393" s="12" t="s">
        <v>1</v>
      </c>
      <c r="M393" s="12" t="s">
        <v>0</v>
      </c>
      <c r="N393" s="12">
        <v>10.492298034931199</v>
      </c>
      <c r="O393" s="12">
        <v>16.5</v>
      </c>
      <c r="P393" s="12">
        <v>921.90800000000002</v>
      </c>
      <c r="Q393" s="12" t="s">
        <v>1</v>
      </c>
    </row>
    <row r="394" spans="1:17" x14ac:dyDescent="0.25">
      <c r="A394" s="12">
        <f t="shared" si="6"/>
        <v>393</v>
      </c>
      <c r="B394" s="12">
        <v>0.96104699999999998</v>
      </c>
      <c r="C394" s="12">
        <v>0.34168799999999999</v>
      </c>
      <c r="D394" s="12">
        <v>0.62102000000000002</v>
      </c>
      <c r="E394" s="12">
        <v>504.22366574441099</v>
      </c>
      <c r="F394" s="12">
        <v>30.25</v>
      </c>
      <c r="G394" s="12">
        <v>1.2685547757553</v>
      </c>
      <c r="H394" s="12" t="s">
        <v>0</v>
      </c>
      <c r="I394" s="12">
        <v>1.068837</v>
      </c>
      <c r="J394" s="12">
        <v>270.84399999999999</v>
      </c>
      <c r="K394" s="12">
        <v>376.40179999999998</v>
      </c>
      <c r="L394" s="12" t="s">
        <v>1</v>
      </c>
      <c r="M394" s="12" t="s">
        <v>0</v>
      </c>
      <c r="N394" s="12">
        <v>32.454925200151699</v>
      </c>
      <c r="O394" s="12">
        <v>13.5</v>
      </c>
      <c r="P394" s="12">
        <v>6888.9</v>
      </c>
      <c r="Q394" s="12" t="s">
        <v>1</v>
      </c>
    </row>
    <row r="395" spans="1:17" x14ac:dyDescent="0.25">
      <c r="A395" s="12">
        <f t="shared" si="6"/>
        <v>394</v>
      </c>
      <c r="B395" s="12">
        <v>1.0286299999999999</v>
      </c>
      <c r="C395" s="12">
        <v>0.65853300000000004</v>
      </c>
      <c r="D395" s="12">
        <v>0.77748200000000001</v>
      </c>
      <c r="E395" s="12">
        <v>1717.15021689174</v>
      </c>
      <c r="F395" s="12">
        <v>25</v>
      </c>
      <c r="G395" s="12">
        <v>13.380964000000001</v>
      </c>
      <c r="H395" s="12" t="s">
        <v>0</v>
      </c>
      <c r="I395" s="12">
        <v>1.1229</v>
      </c>
      <c r="J395" s="12">
        <v>429.26650000000001</v>
      </c>
      <c r="K395" s="12">
        <v>468.71438000000001</v>
      </c>
      <c r="L395" s="12" t="s">
        <v>1</v>
      </c>
      <c r="M395" s="12" t="s">
        <v>0</v>
      </c>
      <c r="N395" s="12">
        <v>51.438511277454701</v>
      </c>
      <c r="O395" s="12">
        <v>13</v>
      </c>
      <c r="P395" s="12">
        <v>8635.17</v>
      </c>
      <c r="Q395" s="12" t="s">
        <v>1</v>
      </c>
    </row>
    <row r="396" spans="1:17" x14ac:dyDescent="0.25">
      <c r="A396" s="12">
        <f t="shared" si="6"/>
        <v>395</v>
      </c>
      <c r="B396" s="12">
        <v>0.410632</v>
      </c>
      <c r="C396" s="12">
        <v>1.4404999999999999E-3</v>
      </c>
      <c r="D396" s="12">
        <v>0.19301499999999999</v>
      </c>
      <c r="E396" s="12">
        <v>4.2815546442428802</v>
      </c>
      <c r="F396" s="12">
        <v>132.25</v>
      </c>
      <c r="G396" s="12">
        <v>26.508674404954</v>
      </c>
      <c r="H396" s="12" t="s">
        <v>0</v>
      </c>
      <c r="I396" s="12">
        <v>0.62850499999999998</v>
      </c>
      <c r="J396" s="12">
        <v>100.72024999999999</v>
      </c>
      <c r="K396" s="12">
        <v>123.87885</v>
      </c>
      <c r="L396" s="12" t="s">
        <v>1</v>
      </c>
      <c r="M396" s="12" t="s">
        <v>0</v>
      </c>
      <c r="N396" s="12">
        <v>12.069191785273301</v>
      </c>
      <c r="O396" s="12">
        <v>19.5</v>
      </c>
      <c r="P396" s="12">
        <v>5420.74</v>
      </c>
      <c r="Q396" s="12" t="s">
        <v>1</v>
      </c>
    </row>
    <row r="397" spans="1:17" x14ac:dyDescent="0.25">
      <c r="A397" s="12">
        <f t="shared" si="6"/>
        <v>396</v>
      </c>
      <c r="B397" s="12">
        <v>0.79850699999999997</v>
      </c>
      <c r="C397" s="12">
        <v>0.14376800000000001</v>
      </c>
      <c r="D397" s="12">
        <v>0.47570699999999999</v>
      </c>
      <c r="E397" s="12">
        <v>112.289248701546</v>
      </c>
      <c r="F397" s="12">
        <v>56.25</v>
      </c>
      <c r="G397" s="12">
        <v>53.965326094201501</v>
      </c>
      <c r="H397" s="12" t="s">
        <v>0</v>
      </c>
      <c r="I397" s="12">
        <v>0.938805</v>
      </c>
      <c r="J397" s="12">
        <v>171.88399999999999</v>
      </c>
      <c r="K397" s="12">
        <v>290.66712999999999</v>
      </c>
      <c r="L397" s="12" t="s">
        <v>1</v>
      </c>
      <c r="M397" s="12" t="s">
        <v>0</v>
      </c>
      <c r="N397" s="12">
        <v>20.5966621490706</v>
      </c>
      <c r="O397" s="12">
        <v>15.5</v>
      </c>
      <c r="P397" s="12">
        <v>4618.67</v>
      </c>
      <c r="Q397" s="12" t="s">
        <v>1</v>
      </c>
    </row>
    <row r="398" spans="1:17" x14ac:dyDescent="0.25">
      <c r="A398" s="12">
        <f t="shared" si="6"/>
        <v>397</v>
      </c>
      <c r="B398" s="12">
        <v>1.10616</v>
      </c>
      <c r="C398" s="12">
        <v>-3.3149600000000001E-2</v>
      </c>
      <c r="D398" s="12">
        <v>0.65562799999999999</v>
      </c>
      <c r="E398" s="12">
        <v>1.05896649895015E-5</v>
      </c>
      <c r="F398" s="12">
        <v>72.25</v>
      </c>
      <c r="G398" s="12">
        <v>298.19054199948198</v>
      </c>
      <c r="H398" s="12" t="s">
        <v>0</v>
      </c>
      <c r="I398" s="12">
        <v>1.18492</v>
      </c>
      <c r="J398" s="12">
        <v>83.425200000000004</v>
      </c>
      <c r="K398" s="12">
        <v>396.82051999999999</v>
      </c>
      <c r="L398" s="12" t="s">
        <v>1</v>
      </c>
      <c r="M398" s="12" t="s">
        <v>0</v>
      </c>
      <c r="N398" s="12">
        <v>9.9967458234544608</v>
      </c>
      <c r="O398" s="12">
        <v>16.5</v>
      </c>
      <c r="P398" s="12">
        <v>997.10900000000004</v>
      </c>
      <c r="Q398" s="12" t="s">
        <v>1</v>
      </c>
    </row>
    <row r="399" spans="1:17" x14ac:dyDescent="0.25">
      <c r="A399" s="12">
        <f t="shared" si="6"/>
        <v>398</v>
      </c>
      <c r="B399" s="12">
        <v>0.96664799999999995</v>
      </c>
      <c r="C399" s="12">
        <v>0.37647199999999997</v>
      </c>
      <c r="D399" s="12">
        <v>0.59462000000000004</v>
      </c>
      <c r="E399" s="12">
        <v>602.16195999109004</v>
      </c>
      <c r="F399" s="12">
        <v>30.25</v>
      </c>
      <c r="G399" s="12">
        <v>0.62021018952899198</v>
      </c>
      <c r="H399" s="12" t="s">
        <v>0</v>
      </c>
      <c r="I399" s="12">
        <v>1.073318</v>
      </c>
      <c r="J399" s="12">
        <v>288.23599999999999</v>
      </c>
      <c r="K399" s="12">
        <v>360.82580000000002</v>
      </c>
      <c r="L399" s="12" t="s">
        <v>1</v>
      </c>
      <c r="M399" s="12" t="s">
        <v>0</v>
      </c>
      <c r="N399" s="12">
        <v>34.538988569032099</v>
      </c>
      <c r="O399" s="12">
        <v>13.5</v>
      </c>
      <c r="P399" s="12">
        <v>7587.45</v>
      </c>
      <c r="Q399" s="12" t="s">
        <v>1</v>
      </c>
    </row>
    <row r="400" spans="1:17" x14ac:dyDescent="0.25">
      <c r="A400" s="12">
        <f t="shared" si="6"/>
        <v>399</v>
      </c>
      <c r="B400" s="12">
        <v>1.1000399999999999</v>
      </c>
      <c r="C400" s="12">
        <v>0.68319200000000002</v>
      </c>
      <c r="D400" s="12">
        <v>0.84467000000000003</v>
      </c>
      <c r="E400" s="12">
        <v>1841.7779996740201</v>
      </c>
      <c r="F400" s="12">
        <v>25</v>
      </c>
      <c r="G400" s="12">
        <v>7.3082086162506998</v>
      </c>
      <c r="H400" s="12" t="s">
        <v>0</v>
      </c>
      <c r="I400" s="12">
        <v>1.1800299999999999</v>
      </c>
      <c r="J400" s="12">
        <v>441.596</v>
      </c>
      <c r="K400" s="12">
        <v>508.3553</v>
      </c>
      <c r="L400" s="12" t="s">
        <v>1</v>
      </c>
      <c r="M400" s="12" t="s">
        <v>0</v>
      </c>
      <c r="N400" s="12">
        <v>52.915941090392302</v>
      </c>
      <c r="O400" s="12">
        <v>13</v>
      </c>
      <c r="P400" s="12">
        <v>8286.73</v>
      </c>
      <c r="Q400" s="12" t="s">
        <v>1</v>
      </c>
    </row>
    <row r="401" spans="1:17" x14ac:dyDescent="0.25">
      <c r="A401" s="12">
        <f t="shared" si="6"/>
        <v>400</v>
      </c>
      <c r="B401" s="12">
        <v>0.479184</v>
      </c>
      <c r="C401" s="12">
        <v>-4.2752100000000001E-2</v>
      </c>
      <c r="D401" s="12">
        <v>0.140653</v>
      </c>
      <c r="E401" s="12">
        <v>0.33475764598665703</v>
      </c>
      <c r="F401" s="12">
        <v>144</v>
      </c>
      <c r="G401" s="12">
        <v>21.967583768812101</v>
      </c>
      <c r="H401" s="12" t="s">
        <v>0</v>
      </c>
      <c r="I401" s="12">
        <v>0.68334700000000004</v>
      </c>
      <c r="J401" s="12">
        <v>78.623949999999994</v>
      </c>
      <c r="K401" s="12">
        <v>92.98527</v>
      </c>
      <c r="L401" s="12" t="s">
        <v>1</v>
      </c>
      <c r="M401" s="12" t="s">
        <v>0</v>
      </c>
      <c r="N401" s="12">
        <v>9.4214175547195893</v>
      </c>
      <c r="O401" s="12">
        <v>20</v>
      </c>
      <c r="P401" s="12">
        <v>5589.26</v>
      </c>
      <c r="Q401" s="12" t="s">
        <v>1</v>
      </c>
    </row>
    <row r="402" spans="1:17" x14ac:dyDescent="0.25">
      <c r="A402" s="12">
        <f t="shared" si="6"/>
        <v>401</v>
      </c>
      <c r="B402" s="12">
        <v>1.0470200000000001</v>
      </c>
      <c r="C402" s="12">
        <v>0.12554799999999999</v>
      </c>
      <c r="D402" s="12">
        <v>0.87937500000000002</v>
      </c>
      <c r="E402" s="12">
        <v>90.345430303159702</v>
      </c>
      <c r="F402" s="12">
        <v>36</v>
      </c>
      <c r="G402" s="12">
        <v>176.348940400825</v>
      </c>
      <c r="H402" s="12" t="s">
        <v>0</v>
      </c>
      <c r="I402" s="12">
        <v>1.13761</v>
      </c>
      <c r="J402" s="12">
        <v>162.774</v>
      </c>
      <c r="K402" s="12">
        <v>528.83124999999995</v>
      </c>
      <c r="L402" s="12" t="s">
        <v>1</v>
      </c>
      <c r="M402" s="12" t="s">
        <v>0</v>
      </c>
      <c r="N402" s="12">
        <v>19.505021320499999</v>
      </c>
      <c r="O402" s="12">
        <v>14</v>
      </c>
      <c r="P402" s="12">
        <v>2452.9299999999998</v>
      </c>
      <c r="Q402" s="12" t="s">
        <v>1</v>
      </c>
    </row>
    <row r="403" spans="1:17" x14ac:dyDescent="0.25">
      <c r="A403" s="12">
        <f t="shared" si="6"/>
        <v>402</v>
      </c>
      <c r="B403" s="12">
        <v>1.01922</v>
      </c>
      <c r="C403" s="12">
        <v>2.8004000000000001E-2</v>
      </c>
      <c r="D403" s="12">
        <v>0.68145199999999995</v>
      </c>
      <c r="E403" s="12">
        <v>13.400934037732499</v>
      </c>
      <c r="F403" s="12">
        <v>56.25</v>
      </c>
      <c r="G403" s="12">
        <v>226.301328249953</v>
      </c>
      <c r="H403" s="12" t="s">
        <v>0</v>
      </c>
      <c r="I403" s="12">
        <v>1.11537</v>
      </c>
      <c r="J403" s="12">
        <v>114.002</v>
      </c>
      <c r="K403" s="12">
        <v>412.05667999999997</v>
      </c>
      <c r="L403" s="12" t="s">
        <v>1</v>
      </c>
      <c r="M403" s="12" t="s">
        <v>0</v>
      </c>
      <c r="N403" s="12">
        <v>13.660728621153501</v>
      </c>
      <c r="O403" s="12">
        <v>15.5</v>
      </c>
      <c r="P403" s="12">
        <v>1809.19</v>
      </c>
      <c r="Q403" s="12" t="s">
        <v>1</v>
      </c>
    </row>
    <row r="404" spans="1:17" x14ac:dyDescent="0.25">
      <c r="A404" s="12">
        <f t="shared" si="6"/>
        <v>403</v>
      </c>
      <c r="B404" s="12">
        <v>1.0001500000000001</v>
      </c>
      <c r="C404" s="12">
        <v>-2.10352E-2</v>
      </c>
      <c r="D404" s="12">
        <v>0.63214099999999995</v>
      </c>
      <c r="E404" s="12">
        <v>0.52211193838035796</v>
      </c>
      <c r="F404" s="12">
        <v>81</v>
      </c>
      <c r="G404" s="12">
        <v>284.20140133533403</v>
      </c>
      <c r="H404" s="12" t="s">
        <v>0</v>
      </c>
      <c r="I404" s="12">
        <v>1.10012</v>
      </c>
      <c r="J404" s="12">
        <v>89.482399999999998</v>
      </c>
      <c r="K404" s="12">
        <v>382.96319</v>
      </c>
      <c r="L404" s="12" t="s">
        <v>1</v>
      </c>
      <c r="M404" s="12" t="s">
        <v>0</v>
      </c>
      <c r="N404" s="12">
        <v>10.722573137045901</v>
      </c>
      <c r="O404" s="12">
        <v>17</v>
      </c>
      <c r="P404" s="12">
        <v>1146.73</v>
      </c>
      <c r="Q404" s="12" t="s">
        <v>1</v>
      </c>
    </row>
    <row r="405" spans="1:17" x14ac:dyDescent="0.25">
      <c r="A405" s="12">
        <f t="shared" si="6"/>
        <v>404</v>
      </c>
      <c r="B405" s="12">
        <v>1.06619</v>
      </c>
      <c r="C405" s="12">
        <v>-4.2578900000000003E-2</v>
      </c>
      <c r="D405" s="12">
        <v>0.57997699999999996</v>
      </c>
      <c r="E405" s="12">
        <v>0.322857225244496</v>
      </c>
      <c r="F405" s="12">
        <v>90.25</v>
      </c>
      <c r="G405" s="12">
        <v>302.53398521028998</v>
      </c>
      <c r="H405" s="12" t="s">
        <v>0</v>
      </c>
      <c r="I405" s="12">
        <v>1.1529499999999999</v>
      </c>
      <c r="J405" s="12">
        <v>78.710549999999998</v>
      </c>
      <c r="K405" s="12">
        <v>352.18642999999997</v>
      </c>
      <c r="L405" s="12" t="s">
        <v>1</v>
      </c>
      <c r="M405" s="12" t="s">
        <v>0</v>
      </c>
      <c r="N405" s="12">
        <v>9.4317947331777905</v>
      </c>
      <c r="O405" s="12">
        <v>17.5</v>
      </c>
      <c r="P405" s="12">
        <v>951.37099999999998</v>
      </c>
      <c r="Q405" s="12" t="s">
        <v>1</v>
      </c>
    </row>
    <row r="406" spans="1:17" x14ac:dyDescent="0.25">
      <c r="A406" s="12">
        <f t="shared" si="6"/>
        <v>405</v>
      </c>
      <c r="B406" s="12">
        <v>0.83967499999999995</v>
      </c>
      <c r="C406" s="12">
        <v>0.10200099999999999</v>
      </c>
      <c r="D406" s="12">
        <v>0.64231099999999997</v>
      </c>
      <c r="E406" s="12">
        <v>65.516338295869403</v>
      </c>
      <c r="F406" s="12">
        <v>64</v>
      </c>
      <c r="G406" s="12">
        <v>166.95613502270501</v>
      </c>
      <c r="H406" s="12" t="s">
        <v>0</v>
      </c>
      <c r="I406" s="12">
        <v>0.97174000000000005</v>
      </c>
      <c r="J406" s="12">
        <v>151.00049999999999</v>
      </c>
      <c r="K406" s="12">
        <v>388.96348999999998</v>
      </c>
      <c r="L406" s="12" t="s">
        <v>1</v>
      </c>
      <c r="M406" s="12" t="s">
        <v>0</v>
      </c>
      <c r="N406" s="12">
        <v>18.0942163484718</v>
      </c>
      <c r="O406" s="12">
        <v>16</v>
      </c>
      <c r="P406" s="12">
        <v>2583.7800000000002</v>
      </c>
      <c r="Q406" s="12" t="s">
        <v>1</v>
      </c>
    </row>
    <row r="407" spans="1:17" x14ac:dyDescent="0.25">
      <c r="A407" s="12">
        <f t="shared" si="6"/>
        <v>406</v>
      </c>
      <c r="B407" s="12">
        <v>0.48438700000000001</v>
      </c>
      <c r="C407" s="12">
        <v>-2.3976500000000001E-2</v>
      </c>
      <c r="D407" s="12">
        <v>0.22644600000000001</v>
      </c>
      <c r="E407" s="12">
        <v>0.298494867365106</v>
      </c>
      <c r="F407" s="12">
        <v>144</v>
      </c>
      <c r="G407" s="12">
        <v>71.885775259148005</v>
      </c>
      <c r="H407" s="12" t="s">
        <v>0</v>
      </c>
      <c r="I407" s="12">
        <v>0.68750900000000004</v>
      </c>
      <c r="J407" s="12">
        <v>88.011750000000006</v>
      </c>
      <c r="K407" s="12">
        <v>143.60314</v>
      </c>
      <c r="L407" s="12" t="s">
        <v>1</v>
      </c>
      <c r="M407" s="12" t="s">
        <v>0</v>
      </c>
      <c r="N407" s="12">
        <v>10.5463468379748</v>
      </c>
      <c r="O407" s="12">
        <v>20</v>
      </c>
      <c r="P407" s="12">
        <v>4205.33</v>
      </c>
      <c r="Q407" s="12" t="s">
        <v>1</v>
      </c>
    </row>
    <row r="408" spans="1:17" x14ac:dyDescent="0.25">
      <c r="A408" s="12">
        <f t="shared" si="6"/>
        <v>407</v>
      </c>
      <c r="B408" s="12">
        <v>1.0626899999999999</v>
      </c>
      <c r="C408" s="12">
        <v>2.4141300000000001E-2</v>
      </c>
      <c r="D408" s="12">
        <v>0.704766</v>
      </c>
      <c r="E408" s="12">
        <v>11.7600790844979</v>
      </c>
      <c r="F408" s="12">
        <v>56.25</v>
      </c>
      <c r="G408" s="12">
        <v>262.603356919497</v>
      </c>
      <c r="H408" s="12" t="s">
        <v>0</v>
      </c>
      <c r="I408" s="12">
        <v>1.15015</v>
      </c>
      <c r="J408" s="12">
        <v>112.07065</v>
      </c>
      <c r="K408" s="12">
        <v>425.81193999999999</v>
      </c>
      <c r="L408" s="12" t="s">
        <v>1</v>
      </c>
      <c r="M408" s="12" t="s">
        <v>0</v>
      </c>
      <c r="N408" s="12">
        <v>13.429297170630999</v>
      </c>
      <c r="O408" s="12">
        <v>15.5</v>
      </c>
      <c r="P408" s="12">
        <v>1385.16</v>
      </c>
      <c r="Q408" s="12" t="s">
        <v>1</v>
      </c>
    </row>
    <row r="409" spans="1:17" x14ac:dyDescent="0.25">
      <c r="A409" s="12">
        <f t="shared" si="6"/>
        <v>408</v>
      </c>
      <c r="B409" s="12">
        <v>0.12973999999999999</v>
      </c>
      <c r="C409" s="12">
        <v>7.7632800000000002E-2</v>
      </c>
      <c r="D409" s="12">
        <v>0.19691800000000001</v>
      </c>
      <c r="E409" s="12">
        <v>44.012737685529501</v>
      </c>
      <c r="F409" s="12">
        <v>90.25</v>
      </c>
      <c r="G409" s="12">
        <v>25.1338773833739</v>
      </c>
      <c r="H409" s="12" t="s">
        <v>0</v>
      </c>
      <c r="I409" s="12">
        <v>0.40378999999999998</v>
      </c>
      <c r="J409" s="12">
        <v>138.81639999999999</v>
      </c>
      <c r="K409" s="12">
        <v>126.18162</v>
      </c>
      <c r="L409" s="12" t="s">
        <v>1</v>
      </c>
      <c r="M409" s="12" t="s">
        <v>0</v>
      </c>
      <c r="N409" s="12">
        <v>16.6342096504052</v>
      </c>
      <c r="O409" s="12">
        <v>17.5</v>
      </c>
      <c r="P409" s="12">
        <v>5470.12</v>
      </c>
      <c r="Q409" s="12" t="s">
        <v>1</v>
      </c>
    </row>
    <row r="410" spans="1:17" x14ac:dyDescent="0.25">
      <c r="A410" s="12">
        <f t="shared" si="6"/>
        <v>409</v>
      </c>
      <c r="B410" s="12">
        <v>0.3236</v>
      </c>
      <c r="C410" s="12">
        <v>7.6218800000000003E-2</v>
      </c>
      <c r="D410" s="12">
        <v>0.193438</v>
      </c>
      <c r="E410" s="12">
        <v>42.8958278145424</v>
      </c>
      <c r="F410" s="12">
        <v>100</v>
      </c>
      <c r="G410" s="12">
        <v>1.9037195128541899</v>
      </c>
      <c r="H410" s="12" t="s">
        <v>0</v>
      </c>
      <c r="I410" s="12">
        <v>0.55879999999999996</v>
      </c>
      <c r="J410" s="12">
        <v>138.10939999999999</v>
      </c>
      <c r="K410" s="12">
        <v>124.12842000000001</v>
      </c>
      <c r="L410" s="12" t="s">
        <v>1</v>
      </c>
      <c r="M410" s="12" t="s">
        <v>0</v>
      </c>
      <c r="N410" s="12">
        <v>16.5494906530616</v>
      </c>
      <c r="O410" s="12">
        <v>18</v>
      </c>
      <c r="P410" s="12">
        <v>7803.61</v>
      </c>
      <c r="Q410" s="12" t="s">
        <v>1</v>
      </c>
    </row>
    <row r="411" spans="1:17" x14ac:dyDescent="0.25">
      <c r="A411" s="12">
        <f t="shared" si="6"/>
        <v>410</v>
      </c>
      <c r="B411" s="12">
        <v>1.19865</v>
      </c>
      <c r="C411" s="12">
        <v>-4.7455200000000003E-2</v>
      </c>
      <c r="D411" s="12">
        <v>0.72186700000000004</v>
      </c>
      <c r="E411" s="12">
        <v>0.74022961748815197</v>
      </c>
      <c r="F411" s="12">
        <v>81</v>
      </c>
      <c r="G411" s="12">
        <v>324.11303999486501</v>
      </c>
      <c r="H411" s="12" t="s">
        <v>0</v>
      </c>
      <c r="I411" s="12">
        <v>1.25892</v>
      </c>
      <c r="J411" s="12">
        <v>76.272400000000005</v>
      </c>
      <c r="K411" s="12">
        <v>435.90152999999998</v>
      </c>
      <c r="L411" s="12" t="s">
        <v>1</v>
      </c>
      <c r="M411" s="12" t="s">
        <v>0</v>
      </c>
      <c r="N411" s="12">
        <v>9.1396340211932099</v>
      </c>
      <c r="O411" s="12">
        <v>17</v>
      </c>
      <c r="P411" s="12">
        <v>728.85400000000004</v>
      </c>
      <c r="Q411" s="12" t="s">
        <v>1</v>
      </c>
    </row>
    <row r="412" spans="1:17" x14ac:dyDescent="0.25">
      <c r="A412" s="12">
        <f t="shared" si="6"/>
        <v>411</v>
      </c>
      <c r="B412" s="12">
        <v>1.05437</v>
      </c>
      <c r="C412" s="12">
        <v>0.153671</v>
      </c>
      <c r="D412" s="12">
        <v>0.65855399999999997</v>
      </c>
      <c r="E412" s="12">
        <v>125.21598144425199</v>
      </c>
      <c r="F412" s="12">
        <v>36</v>
      </c>
      <c r="G412" s="12">
        <v>110.805327675736</v>
      </c>
      <c r="H412" s="12" t="s">
        <v>0</v>
      </c>
      <c r="I412" s="12">
        <v>1.1434899999999999</v>
      </c>
      <c r="J412" s="12">
        <v>176.8355</v>
      </c>
      <c r="K412" s="12">
        <v>398.54685999999998</v>
      </c>
      <c r="L412" s="12" t="s">
        <v>1</v>
      </c>
      <c r="M412" s="12" t="s">
        <v>0</v>
      </c>
      <c r="N412" s="12">
        <v>21.189994702601599</v>
      </c>
      <c r="O412" s="12">
        <v>14</v>
      </c>
      <c r="P412" s="12">
        <v>3457.86</v>
      </c>
      <c r="Q412" s="12" t="s">
        <v>1</v>
      </c>
    </row>
    <row r="413" spans="1:17" x14ac:dyDescent="0.25">
      <c r="A413" s="12">
        <f t="shared" si="6"/>
        <v>412</v>
      </c>
      <c r="B413" s="12">
        <v>1.0328299999999999</v>
      </c>
      <c r="C413" s="12">
        <v>0.26362799999999997</v>
      </c>
      <c r="D413" s="12">
        <v>0.567554</v>
      </c>
      <c r="E413" s="12">
        <v>316.05746757308202</v>
      </c>
      <c r="F413" s="12">
        <v>36</v>
      </c>
      <c r="G413" s="12">
        <v>41.264960048039001</v>
      </c>
      <c r="H413" s="12" t="s">
        <v>0</v>
      </c>
      <c r="I413" s="12">
        <v>1.12626</v>
      </c>
      <c r="J413" s="12">
        <v>231.81399999999999</v>
      </c>
      <c r="K413" s="12">
        <v>344.85685999999998</v>
      </c>
      <c r="L413" s="12" t="s">
        <v>1</v>
      </c>
      <c r="M413" s="12" t="s">
        <v>0</v>
      </c>
      <c r="N413" s="12">
        <v>27.778005162927599</v>
      </c>
      <c r="O413" s="12">
        <v>14</v>
      </c>
      <c r="P413" s="12">
        <v>4955.32</v>
      </c>
      <c r="Q413" s="12" t="s">
        <v>1</v>
      </c>
    </row>
    <row r="414" spans="1:17" x14ac:dyDescent="0.25">
      <c r="A414" s="12">
        <f t="shared" si="6"/>
        <v>413</v>
      </c>
      <c r="B414" s="12">
        <v>0.49624499999999999</v>
      </c>
      <c r="C414" s="12">
        <v>-4.1195099999999998E-2</v>
      </c>
      <c r="D414" s="12">
        <v>0.231518</v>
      </c>
      <c r="E414" s="12">
        <v>0.235511901998124</v>
      </c>
      <c r="F414" s="12">
        <v>144</v>
      </c>
      <c r="G414" s="12">
        <v>87.601907018202198</v>
      </c>
      <c r="H414" s="12" t="s">
        <v>0</v>
      </c>
      <c r="I414" s="12">
        <v>0.69699599999999995</v>
      </c>
      <c r="J414" s="12">
        <v>79.402450000000002</v>
      </c>
      <c r="K414" s="12">
        <v>146.59562</v>
      </c>
      <c r="L414" s="12" t="s">
        <v>1</v>
      </c>
      <c r="M414" s="12" t="s">
        <v>0</v>
      </c>
      <c r="N414" s="12">
        <v>9.5147043148778998</v>
      </c>
      <c r="O414" s="12">
        <v>20</v>
      </c>
      <c r="P414" s="12">
        <v>3883.75</v>
      </c>
      <c r="Q414" s="12" t="s">
        <v>1</v>
      </c>
    </row>
    <row r="415" spans="1:17" x14ac:dyDescent="0.25">
      <c r="A415" s="12">
        <f t="shared" si="6"/>
        <v>414</v>
      </c>
      <c r="B415" s="12">
        <v>0.98524900000000004</v>
      </c>
      <c r="C415" s="12">
        <v>-4.1311500000000001E-3</v>
      </c>
      <c r="D415" s="12">
        <v>0.62139800000000001</v>
      </c>
      <c r="E415" s="12">
        <v>3.0115075711079302</v>
      </c>
      <c r="F415" s="12">
        <v>81</v>
      </c>
      <c r="G415" s="12">
        <v>273.32876514468001</v>
      </c>
      <c r="H415" s="12" t="s">
        <v>0</v>
      </c>
      <c r="I415" s="12">
        <v>1.0881989999999999</v>
      </c>
      <c r="J415" s="12">
        <v>97.934425000000005</v>
      </c>
      <c r="K415" s="12">
        <v>376.62482</v>
      </c>
      <c r="L415" s="12" t="s">
        <v>1</v>
      </c>
      <c r="M415" s="12" t="s">
        <v>0</v>
      </c>
      <c r="N415" s="12">
        <v>11.7353695776715</v>
      </c>
      <c r="O415" s="12">
        <v>17</v>
      </c>
      <c r="P415" s="12">
        <v>1265.58</v>
      </c>
      <c r="Q415" s="12" t="s">
        <v>1</v>
      </c>
    </row>
    <row r="416" spans="1:17" x14ac:dyDescent="0.25">
      <c r="A416" s="12">
        <f t="shared" si="6"/>
        <v>415</v>
      </c>
      <c r="B416" s="12">
        <v>0.966557</v>
      </c>
      <c r="C416" s="12">
        <v>0.11336300000000001</v>
      </c>
      <c r="D416" s="12">
        <v>0.597163</v>
      </c>
      <c r="E416" s="12">
        <v>76.999994052185301</v>
      </c>
      <c r="F416" s="12">
        <v>42.25</v>
      </c>
      <c r="G416" s="12">
        <v>110.19189806793</v>
      </c>
      <c r="H416" s="12" t="s">
        <v>0</v>
      </c>
      <c r="I416" s="12">
        <v>1.073245</v>
      </c>
      <c r="J416" s="12">
        <v>156.6815</v>
      </c>
      <c r="K416" s="12">
        <v>362.32616999999999</v>
      </c>
      <c r="L416" s="12" t="s">
        <v>1</v>
      </c>
      <c r="M416" s="12" t="s">
        <v>0</v>
      </c>
      <c r="N416" s="12">
        <v>18.774964048483898</v>
      </c>
      <c r="O416" s="12">
        <v>14.5</v>
      </c>
      <c r="P416" s="12">
        <v>3468.51</v>
      </c>
      <c r="Q416" s="12" t="s">
        <v>1</v>
      </c>
    </row>
    <row r="417" spans="1:17" x14ac:dyDescent="0.25">
      <c r="A417" s="12">
        <f t="shared" si="6"/>
        <v>416</v>
      </c>
      <c r="B417" s="12">
        <v>1.03687</v>
      </c>
      <c r="C417" s="12">
        <v>9.6456100000000006E-3</v>
      </c>
      <c r="D417" s="12">
        <v>0.62546900000000005</v>
      </c>
      <c r="E417" s="12">
        <v>6.5576773585659502</v>
      </c>
      <c r="F417" s="12">
        <v>64</v>
      </c>
      <c r="G417" s="12">
        <v>252.93808745280501</v>
      </c>
      <c r="H417" s="12" t="s">
        <v>0</v>
      </c>
      <c r="I417" s="12">
        <v>1.1294900000000001</v>
      </c>
      <c r="J417" s="12">
        <v>104.822805</v>
      </c>
      <c r="K417" s="12">
        <v>379.02670999999998</v>
      </c>
      <c r="L417" s="12" t="s">
        <v>1</v>
      </c>
      <c r="M417" s="12" t="s">
        <v>0</v>
      </c>
      <c r="N417" s="12">
        <v>12.560796235268599</v>
      </c>
      <c r="O417" s="12">
        <v>16</v>
      </c>
      <c r="P417" s="12">
        <v>1495.03</v>
      </c>
      <c r="Q417" s="12" t="s">
        <v>1</v>
      </c>
    </row>
    <row r="418" spans="1:17" x14ac:dyDescent="0.25">
      <c r="A418" s="12">
        <f t="shared" si="6"/>
        <v>417</v>
      </c>
      <c r="B418" s="12">
        <v>0.13642899999999999</v>
      </c>
      <c r="C418" s="12">
        <v>-4.1277800000000003E-2</v>
      </c>
      <c r="D418" s="12">
        <v>0.201875</v>
      </c>
      <c r="E418" s="12">
        <v>0.24034565873517499</v>
      </c>
      <c r="F418" s="12">
        <v>132.25</v>
      </c>
      <c r="G418" s="12">
        <v>135.86552944342199</v>
      </c>
      <c r="H418" s="12" t="s">
        <v>0</v>
      </c>
      <c r="I418" s="12">
        <v>0.40914299999999998</v>
      </c>
      <c r="J418" s="12">
        <v>79.361099999999993</v>
      </c>
      <c r="K418" s="12">
        <v>129.10624999999999</v>
      </c>
      <c r="L418" s="12" t="s">
        <v>1</v>
      </c>
      <c r="M418" s="12" t="s">
        <v>0</v>
      </c>
      <c r="N418" s="12">
        <v>9.5097493919073806</v>
      </c>
      <c r="O418" s="12">
        <v>19.5</v>
      </c>
      <c r="P418" s="12">
        <v>3045.51</v>
      </c>
      <c r="Q418" s="12" t="s">
        <v>1</v>
      </c>
    </row>
    <row r="419" spans="1:17" x14ac:dyDescent="0.25">
      <c r="A419" s="12">
        <f t="shared" si="6"/>
        <v>418</v>
      </c>
      <c r="B419" s="12">
        <v>0.83747700000000003</v>
      </c>
      <c r="C419" s="12">
        <v>-4.6556000000000002E-3</v>
      </c>
      <c r="D419" s="12">
        <v>0.76792899999999997</v>
      </c>
      <c r="E419" s="12">
        <v>2.9034369373561799</v>
      </c>
      <c r="F419" s="12">
        <v>90.25</v>
      </c>
      <c r="G419" s="12">
        <v>269.34834830099402</v>
      </c>
      <c r="H419" s="12" t="s">
        <v>0</v>
      </c>
      <c r="I419" s="12">
        <v>0.96998099999999998</v>
      </c>
      <c r="J419" s="12">
        <v>97.672200000000004</v>
      </c>
      <c r="K419" s="12">
        <v>463.07810999999998</v>
      </c>
      <c r="L419" s="12" t="s">
        <v>1</v>
      </c>
      <c r="M419" s="12" t="s">
        <v>0</v>
      </c>
      <c r="N419" s="12">
        <v>11.7039474573343</v>
      </c>
      <c r="O419" s="12">
        <v>17.5</v>
      </c>
      <c r="P419" s="12">
        <v>1309.68</v>
      </c>
      <c r="Q419" s="12" t="s">
        <v>1</v>
      </c>
    </row>
    <row r="420" spans="1:17" x14ac:dyDescent="0.25">
      <c r="A420" s="12">
        <f t="shared" si="6"/>
        <v>419</v>
      </c>
      <c r="B420" s="12">
        <v>0.86299499999999996</v>
      </c>
      <c r="C420" s="12">
        <v>9.4090199999999999E-2</v>
      </c>
      <c r="D420" s="12">
        <v>0.67325599999999997</v>
      </c>
      <c r="E420" s="12">
        <v>58.068138629998202</v>
      </c>
      <c r="F420" s="12">
        <v>64</v>
      </c>
      <c r="G420" s="12">
        <v>178.85947909551501</v>
      </c>
      <c r="H420" s="12" t="s">
        <v>0</v>
      </c>
      <c r="I420" s="12">
        <v>0.99039600000000005</v>
      </c>
      <c r="J420" s="12">
        <v>147.04509999999999</v>
      </c>
      <c r="K420" s="12">
        <v>407.22104000000002</v>
      </c>
      <c r="L420" s="12" t="s">
        <v>1</v>
      </c>
      <c r="M420" s="12" t="s">
        <v>0</v>
      </c>
      <c r="N420" s="12">
        <v>17.620245312980298</v>
      </c>
      <c r="O420" s="12">
        <v>16</v>
      </c>
      <c r="P420" s="12">
        <v>2418.5500000000002</v>
      </c>
      <c r="Q420" s="12" t="s">
        <v>1</v>
      </c>
    </row>
    <row r="421" spans="1:17" x14ac:dyDescent="0.25">
      <c r="A421" s="12">
        <f t="shared" si="6"/>
        <v>420</v>
      </c>
      <c r="B421" s="12">
        <v>0.93948900000000002</v>
      </c>
      <c r="C421" s="12">
        <v>0.15627099999999999</v>
      </c>
      <c r="D421" s="12">
        <v>0.69486199999999998</v>
      </c>
      <c r="E421" s="12">
        <v>128.72654700320399</v>
      </c>
      <c r="F421" s="12">
        <v>42.25</v>
      </c>
      <c r="G421" s="12">
        <v>115.7504804924</v>
      </c>
      <c r="H421" s="12" t="s">
        <v>0</v>
      </c>
      <c r="I421" s="12">
        <v>1.0515909999999999</v>
      </c>
      <c r="J421" s="12">
        <v>178.13550000000001</v>
      </c>
      <c r="K421" s="12">
        <v>419.96857999999997</v>
      </c>
      <c r="L421" s="12" t="s">
        <v>1</v>
      </c>
      <c r="M421" s="12" t="s">
        <v>0</v>
      </c>
      <c r="N421" s="12">
        <v>21.345772208325201</v>
      </c>
      <c r="O421" s="12">
        <v>14.5</v>
      </c>
      <c r="P421" s="12">
        <v>3373.06</v>
      </c>
      <c r="Q421" s="12" t="s">
        <v>1</v>
      </c>
    </row>
    <row r="422" spans="1:17" x14ac:dyDescent="0.25">
      <c r="A422" s="12">
        <f t="shared" si="6"/>
        <v>421</v>
      </c>
      <c r="B422" s="12">
        <v>0.82155900000000004</v>
      </c>
      <c r="C422" s="12">
        <v>0.32789800000000002</v>
      </c>
      <c r="D422" s="12">
        <v>0.51624700000000001</v>
      </c>
      <c r="E422" s="12">
        <v>467.80089189721002</v>
      </c>
      <c r="F422" s="12">
        <v>42.25</v>
      </c>
      <c r="G422" s="12">
        <v>2.4100648496903698</v>
      </c>
      <c r="H422" s="12" t="s">
        <v>0</v>
      </c>
      <c r="I422" s="12">
        <v>0.95724699999999996</v>
      </c>
      <c r="J422" s="12">
        <v>263.94900000000001</v>
      </c>
      <c r="K422" s="12">
        <v>314.58573000000001</v>
      </c>
      <c r="L422" s="12" t="s">
        <v>1</v>
      </c>
      <c r="M422" s="12" t="s">
        <v>0</v>
      </c>
      <c r="N422" s="12">
        <v>31.628705275563998</v>
      </c>
      <c r="O422" s="12">
        <v>14.5</v>
      </c>
      <c r="P422" s="12">
        <v>7866.64</v>
      </c>
      <c r="Q422" s="12" t="s">
        <v>1</v>
      </c>
    </row>
    <row r="423" spans="1:17" x14ac:dyDescent="0.25">
      <c r="A423" s="12">
        <f t="shared" si="6"/>
        <v>422</v>
      </c>
      <c r="B423" s="12">
        <v>1.0465800000000001</v>
      </c>
      <c r="C423" s="12">
        <v>0.16217200000000001</v>
      </c>
      <c r="D423" s="12">
        <v>0.84879899999999997</v>
      </c>
      <c r="E423" s="12">
        <v>136.87425767889999</v>
      </c>
      <c r="F423" s="12">
        <v>36</v>
      </c>
      <c r="G423" s="12">
        <v>151.67035931394199</v>
      </c>
      <c r="H423" s="12" t="s">
        <v>0</v>
      </c>
      <c r="I423" s="12">
        <v>1.1372599999999999</v>
      </c>
      <c r="J423" s="12">
        <v>181.08600000000001</v>
      </c>
      <c r="K423" s="12">
        <v>510.79140999999998</v>
      </c>
      <c r="L423" s="12" t="s">
        <v>1</v>
      </c>
      <c r="M423" s="12" t="s">
        <v>0</v>
      </c>
      <c r="N423" s="12">
        <v>21.699327231892401</v>
      </c>
      <c r="O423" s="12">
        <v>14</v>
      </c>
      <c r="P423" s="12">
        <v>2804.86</v>
      </c>
      <c r="Q423" s="12" t="s">
        <v>1</v>
      </c>
    </row>
    <row r="424" spans="1:17" x14ac:dyDescent="0.25">
      <c r="A424" s="12">
        <f t="shared" si="6"/>
        <v>423</v>
      </c>
      <c r="B424" s="12">
        <v>0.31592700000000001</v>
      </c>
      <c r="C424" s="12">
        <v>-5.6893600000000003E-2</v>
      </c>
      <c r="D424" s="12">
        <v>0.39288099999999998</v>
      </c>
      <c r="E424" s="12">
        <v>2.0330832710520901</v>
      </c>
      <c r="F424" s="12">
        <v>144</v>
      </c>
      <c r="G424" s="12">
        <v>204.986295281666</v>
      </c>
      <c r="H424" s="12" t="s">
        <v>0</v>
      </c>
      <c r="I424" s="12">
        <v>0.55274100000000004</v>
      </c>
      <c r="J424" s="12">
        <v>71.553200000000004</v>
      </c>
      <c r="K424" s="12">
        <v>241.79979</v>
      </c>
      <c r="L424" s="12" t="s">
        <v>1</v>
      </c>
      <c r="M424" s="12" t="s">
        <v>0</v>
      </c>
      <c r="N424" s="12">
        <v>8.5741377096465108</v>
      </c>
      <c r="O424" s="12">
        <v>20</v>
      </c>
      <c r="P424" s="12">
        <v>2074.17</v>
      </c>
      <c r="Q424" s="12" t="s">
        <v>1</v>
      </c>
    </row>
    <row r="425" spans="1:17" x14ac:dyDescent="0.25">
      <c r="A425" s="12">
        <f t="shared" si="6"/>
        <v>424</v>
      </c>
      <c r="B425" s="12">
        <v>0.25810100000000002</v>
      </c>
      <c r="C425" s="12">
        <v>1.6750299999999999E-2</v>
      </c>
      <c r="D425" s="12">
        <v>0.51021000000000005</v>
      </c>
      <c r="E425" s="12">
        <v>8.9190009906737906</v>
      </c>
      <c r="F425" s="12">
        <v>132.25</v>
      </c>
      <c r="G425" s="12">
        <v>190.685076056295</v>
      </c>
      <c r="H425" s="12" t="s">
        <v>0</v>
      </c>
      <c r="I425" s="12">
        <v>0.50648000000000004</v>
      </c>
      <c r="J425" s="12">
        <v>108.37515</v>
      </c>
      <c r="K425" s="12">
        <v>311.02390000000003</v>
      </c>
      <c r="L425" s="12" t="s">
        <v>1</v>
      </c>
      <c r="M425" s="12" t="s">
        <v>0</v>
      </c>
      <c r="N425" s="12">
        <v>12.9864696533991</v>
      </c>
      <c r="O425" s="12">
        <v>19.5</v>
      </c>
      <c r="P425" s="12">
        <v>2259.7600000000002</v>
      </c>
      <c r="Q425" s="12" t="s">
        <v>1</v>
      </c>
    </row>
    <row r="426" spans="1:17" x14ac:dyDescent="0.25">
      <c r="A426" s="12">
        <f t="shared" si="6"/>
        <v>425</v>
      </c>
      <c r="B426" s="12">
        <v>0.80965600000000004</v>
      </c>
      <c r="C426" s="12">
        <v>0.34276200000000001</v>
      </c>
      <c r="D426" s="12">
        <v>0.52115299999999998</v>
      </c>
      <c r="E426" s="12">
        <v>507.11766964034899</v>
      </c>
      <c r="F426" s="12">
        <v>42.25</v>
      </c>
      <c r="G426" s="12">
        <v>3.56506127903921</v>
      </c>
      <c r="H426" s="12" t="s">
        <v>0</v>
      </c>
      <c r="I426" s="12">
        <v>0.94772400000000001</v>
      </c>
      <c r="J426" s="12">
        <v>271.38099999999997</v>
      </c>
      <c r="K426" s="12">
        <v>317.48027000000002</v>
      </c>
      <c r="L426" s="12" t="s">
        <v>1</v>
      </c>
      <c r="M426" s="12" t="s">
        <v>0</v>
      </c>
      <c r="N426" s="12">
        <v>32.5192732929006</v>
      </c>
      <c r="O426" s="12">
        <v>14.5</v>
      </c>
      <c r="P426" s="12">
        <v>7989.17</v>
      </c>
      <c r="Q426" s="12" t="s">
        <v>1</v>
      </c>
    </row>
    <row r="427" spans="1:17" x14ac:dyDescent="0.25">
      <c r="A427" s="12">
        <f t="shared" si="6"/>
        <v>426</v>
      </c>
      <c r="B427" s="12">
        <v>0.26023499999999999</v>
      </c>
      <c r="C427" s="12">
        <v>0.109171</v>
      </c>
      <c r="D427" s="12">
        <v>0.19701199999999999</v>
      </c>
      <c r="E427" s="12">
        <v>72.655213793420899</v>
      </c>
      <c r="F427" s="12">
        <v>90.25</v>
      </c>
      <c r="G427" s="12">
        <v>8.92012322687183</v>
      </c>
      <c r="H427" s="12" t="s">
        <v>0</v>
      </c>
      <c r="I427" s="12">
        <v>0.50818799999999997</v>
      </c>
      <c r="J427" s="12">
        <v>154.5855</v>
      </c>
      <c r="K427" s="12">
        <v>126.23708000000001</v>
      </c>
      <c r="L427" s="12" t="s">
        <v>1</v>
      </c>
      <c r="M427" s="12" t="s">
        <v>0</v>
      </c>
      <c r="N427" s="12">
        <v>18.523802777717201</v>
      </c>
      <c r="O427" s="12">
        <v>17.5</v>
      </c>
      <c r="P427" s="12">
        <v>8390.1299999999992</v>
      </c>
      <c r="Q427" s="12" t="s">
        <v>1</v>
      </c>
    </row>
    <row r="428" spans="1:17" x14ac:dyDescent="0.25">
      <c r="A428" s="12">
        <f t="shared" si="6"/>
        <v>427</v>
      </c>
      <c r="B428" s="12">
        <v>0.25545600000000002</v>
      </c>
      <c r="C428" s="12">
        <v>7.6236999999999999E-2</v>
      </c>
      <c r="D428" s="12">
        <v>0.246198</v>
      </c>
      <c r="E428" s="12">
        <v>42.910112690055101</v>
      </c>
      <c r="F428" s="12">
        <v>100</v>
      </c>
      <c r="G428" s="12">
        <v>19.5814736393319</v>
      </c>
      <c r="H428" s="12" t="s">
        <v>0</v>
      </c>
      <c r="I428" s="12">
        <v>0.50436400000000003</v>
      </c>
      <c r="J428" s="12">
        <v>138.11850000000001</v>
      </c>
      <c r="K428" s="12">
        <v>155.25682</v>
      </c>
      <c r="L428" s="12" t="s">
        <v>1</v>
      </c>
      <c r="M428" s="12" t="s">
        <v>0</v>
      </c>
      <c r="N428" s="12">
        <v>16.5505810956017</v>
      </c>
      <c r="O428" s="12">
        <v>18</v>
      </c>
      <c r="P428" s="12">
        <v>5684.84</v>
      </c>
      <c r="Q428" s="12" t="s">
        <v>1</v>
      </c>
    </row>
    <row r="429" spans="1:17" x14ac:dyDescent="0.25">
      <c r="A429" s="12">
        <f t="shared" si="6"/>
        <v>428</v>
      </c>
      <c r="B429" s="12">
        <v>0.53256499999999996</v>
      </c>
      <c r="C429" s="12">
        <v>0.116504</v>
      </c>
      <c r="D429" s="12">
        <v>0.24377299999999999</v>
      </c>
      <c r="E429" s="12">
        <v>80.338152184087306</v>
      </c>
      <c r="F429" s="12">
        <v>81</v>
      </c>
      <c r="G429" s="12">
        <v>7.8588825888534402</v>
      </c>
      <c r="H429" s="12" t="s">
        <v>0</v>
      </c>
      <c r="I429" s="12">
        <v>0.72605200000000003</v>
      </c>
      <c r="J429" s="12">
        <v>158.25200000000001</v>
      </c>
      <c r="K429" s="12">
        <v>153.82606999999999</v>
      </c>
      <c r="L429" s="12" t="s">
        <v>1</v>
      </c>
      <c r="M429" s="12" t="s">
        <v>0</v>
      </c>
      <c r="N429" s="12">
        <v>18.963155258282999</v>
      </c>
      <c r="O429" s="12">
        <v>17</v>
      </c>
      <c r="P429" s="12">
        <v>8323.23</v>
      </c>
      <c r="Q429" s="12" t="s">
        <v>1</v>
      </c>
    </row>
    <row r="430" spans="1:17" x14ac:dyDescent="0.25">
      <c r="A430" s="12">
        <f t="shared" si="6"/>
        <v>429</v>
      </c>
      <c r="B430" s="12">
        <v>0.96733199999999997</v>
      </c>
      <c r="C430" s="12">
        <v>9.5587599999999995E-2</v>
      </c>
      <c r="D430" s="12">
        <v>0.83500099999999999</v>
      </c>
      <c r="E430" s="12">
        <v>59.443501295212499</v>
      </c>
      <c r="F430" s="12">
        <v>42.25</v>
      </c>
      <c r="G430" s="12">
        <v>179.91849108200401</v>
      </c>
      <c r="H430" s="12" t="s">
        <v>0</v>
      </c>
      <c r="I430" s="12">
        <v>1.0738650000000001</v>
      </c>
      <c r="J430" s="12">
        <v>147.7938</v>
      </c>
      <c r="K430" s="12">
        <v>502.65059000000002</v>
      </c>
      <c r="L430" s="12" t="s">
        <v>1</v>
      </c>
      <c r="M430" s="12" t="s">
        <v>0</v>
      </c>
      <c r="N430" s="12">
        <v>17.709961173391999</v>
      </c>
      <c r="O430" s="12">
        <v>14.5</v>
      </c>
      <c r="P430" s="12">
        <v>2404.12</v>
      </c>
      <c r="Q430" s="12" t="s">
        <v>1</v>
      </c>
    </row>
    <row r="431" spans="1:17" x14ac:dyDescent="0.25">
      <c r="A431" s="12">
        <f t="shared" si="6"/>
        <v>430</v>
      </c>
      <c r="B431" s="12">
        <v>0.89578400000000002</v>
      </c>
      <c r="C431" s="12">
        <v>0.72030499999999997</v>
      </c>
      <c r="D431" s="12">
        <v>1.0270900000000001</v>
      </c>
      <c r="E431" s="12">
        <v>2037.57853686762</v>
      </c>
      <c r="F431" s="12">
        <v>30.25</v>
      </c>
      <c r="G431" s="12">
        <v>1.78477312816663E-3</v>
      </c>
      <c r="H431" s="12" t="s">
        <v>0</v>
      </c>
      <c r="I431" s="12">
        <v>1.0166269999999999</v>
      </c>
      <c r="J431" s="12">
        <v>460.15249999999997</v>
      </c>
      <c r="K431" s="12">
        <v>615.98310000000004</v>
      </c>
      <c r="L431" s="12" t="s">
        <v>1</v>
      </c>
      <c r="M431" s="12" t="s">
        <v>0</v>
      </c>
      <c r="N431" s="12">
        <v>55.1395451557458</v>
      </c>
      <c r="O431" s="12">
        <v>13.5</v>
      </c>
      <c r="P431" s="12">
        <v>7284.58</v>
      </c>
      <c r="Q431" s="12" t="s">
        <v>1</v>
      </c>
    </row>
    <row r="432" spans="1:17" x14ac:dyDescent="0.25">
      <c r="A432" s="12">
        <f t="shared" si="6"/>
        <v>431</v>
      </c>
      <c r="B432" s="12">
        <v>0.29266300000000001</v>
      </c>
      <c r="C432" s="12">
        <v>1.97656E-3</v>
      </c>
      <c r="D432" s="12">
        <v>0.40247699999999997</v>
      </c>
      <c r="E432" s="12">
        <v>4.4155016655918304</v>
      </c>
      <c r="F432" s="12">
        <v>132.25</v>
      </c>
      <c r="G432" s="12">
        <v>159.138570616626</v>
      </c>
      <c r="H432" s="12" t="s">
        <v>0</v>
      </c>
      <c r="I432" s="12">
        <v>0.53412999999999999</v>
      </c>
      <c r="J432" s="12">
        <v>100.98828</v>
      </c>
      <c r="K432" s="12">
        <v>247.46143000000001</v>
      </c>
      <c r="L432" s="12" t="s">
        <v>1</v>
      </c>
      <c r="M432" s="12" t="s">
        <v>0</v>
      </c>
      <c r="N432" s="12">
        <v>12.101309512087999</v>
      </c>
      <c r="O432" s="12">
        <v>19.5</v>
      </c>
      <c r="P432" s="12">
        <v>2695.52</v>
      </c>
      <c r="Q432" s="12" t="s">
        <v>1</v>
      </c>
    </row>
    <row r="433" spans="1:17" x14ac:dyDescent="0.25">
      <c r="A433" s="12">
        <f t="shared" si="6"/>
        <v>432</v>
      </c>
      <c r="B433" s="12">
        <v>0.39449400000000001</v>
      </c>
      <c r="C433" s="12">
        <v>6.7836700000000003E-3</v>
      </c>
      <c r="D433" s="12">
        <v>0.35770400000000002</v>
      </c>
      <c r="E433" s="12">
        <v>5.7088727370102701</v>
      </c>
      <c r="F433" s="12">
        <v>132.25</v>
      </c>
      <c r="G433" s="12">
        <v>112.191624770125</v>
      </c>
      <c r="H433" s="12" t="s">
        <v>0</v>
      </c>
      <c r="I433" s="12">
        <v>0.615595</v>
      </c>
      <c r="J433" s="12">
        <v>103.391835</v>
      </c>
      <c r="K433" s="12">
        <v>221.04535999999999</v>
      </c>
      <c r="L433" s="12" t="s">
        <v>1</v>
      </c>
      <c r="M433" s="12" t="s">
        <v>0</v>
      </c>
      <c r="N433" s="12">
        <v>12.389324744987601</v>
      </c>
      <c r="O433" s="12">
        <v>19.5</v>
      </c>
      <c r="P433" s="12">
        <v>3433.9</v>
      </c>
      <c r="Q433" s="12" t="s">
        <v>1</v>
      </c>
    </row>
    <row r="434" spans="1:17" x14ac:dyDescent="0.25">
      <c r="A434" s="12">
        <f t="shared" si="6"/>
        <v>433</v>
      </c>
      <c r="B434" s="12">
        <v>0.96642899999999998</v>
      </c>
      <c r="C434" s="12">
        <v>0.335005</v>
      </c>
      <c r="D434" s="12">
        <v>0.62150099999999997</v>
      </c>
      <c r="E434" s="12">
        <v>486.40172433850103</v>
      </c>
      <c r="F434" s="12">
        <v>30.25</v>
      </c>
      <c r="G434" s="12">
        <v>1.86229018577594</v>
      </c>
      <c r="H434" s="12" t="s">
        <v>0</v>
      </c>
      <c r="I434" s="12">
        <v>1.073143</v>
      </c>
      <c r="J434" s="12">
        <v>267.5025</v>
      </c>
      <c r="K434" s="12">
        <v>376.68558999999999</v>
      </c>
      <c r="L434" s="12" t="s">
        <v>1</v>
      </c>
      <c r="M434" s="12" t="s">
        <v>0</v>
      </c>
      <c r="N434" s="12">
        <v>32.054517096016802</v>
      </c>
      <c r="O434" s="12">
        <v>13.5</v>
      </c>
      <c r="P434" s="12">
        <v>6801.9</v>
      </c>
      <c r="Q434" s="12" t="s">
        <v>1</v>
      </c>
    </row>
    <row r="435" spans="1:17" x14ac:dyDescent="0.25">
      <c r="A435" s="12">
        <f t="shared" si="6"/>
        <v>434</v>
      </c>
      <c r="B435" s="12">
        <v>0.87174200000000002</v>
      </c>
      <c r="C435" s="12">
        <v>0.338812</v>
      </c>
      <c r="D435" s="12">
        <v>0.59407200000000004</v>
      </c>
      <c r="E435" s="12">
        <v>496.51476692852498</v>
      </c>
      <c r="F435" s="12">
        <v>36</v>
      </c>
      <c r="G435" s="12">
        <v>0.18645833814974599</v>
      </c>
      <c r="H435" s="12" t="s">
        <v>0</v>
      </c>
      <c r="I435" s="12">
        <v>0.99739299999999997</v>
      </c>
      <c r="J435" s="12">
        <v>269.40600000000001</v>
      </c>
      <c r="K435" s="12">
        <v>360.50247999999999</v>
      </c>
      <c r="L435" s="12" t="s">
        <v>1</v>
      </c>
      <c r="M435" s="12" t="s">
        <v>0</v>
      </c>
      <c r="N435" s="12">
        <v>32.282611313051298</v>
      </c>
      <c r="O435" s="12">
        <v>14</v>
      </c>
      <c r="P435" s="12">
        <v>7142.39</v>
      </c>
      <c r="Q435" s="12" t="s">
        <v>1</v>
      </c>
    </row>
    <row r="436" spans="1:17" x14ac:dyDescent="0.25">
      <c r="A436" s="12">
        <f t="shared" si="6"/>
        <v>435</v>
      </c>
      <c r="B436" s="12">
        <v>0.18959000000000001</v>
      </c>
      <c r="C436" s="12">
        <v>-1.9562E-2</v>
      </c>
      <c r="D436" s="12">
        <v>0.13557</v>
      </c>
      <c r="E436" s="12">
        <v>0.65745999478847295</v>
      </c>
      <c r="F436" s="12">
        <v>132.25</v>
      </c>
      <c r="G436" s="12">
        <v>39.530330770501003</v>
      </c>
      <c r="H436" s="12" t="s">
        <v>0</v>
      </c>
      <c r="I436" s="12">
        <v>0.45167000000000002</v>
      </c>
      <c r="J436" s="12">
        <v>90.218999999999994</v>
      </c>
      <c r="K436" s="12">
        <v>89.9863</v>
      </c>
      <c r="L436" s="12" t="s">
        <v>1</v>
      </c>
      <c r="M436" s="12" t="s">
        <v>0</v>
      </c>
      <c r="N436" s="12">
        <v>10.8108390683658</v>
      </c>
      <c r="O436" s="12">
        <v>19.5</v>
      </c>
      <c r="P436" s="12">
        <v>5005.13</v>
      </c>
      <c r="Q436" s="12" t="s">
        <v>1</v>
      </c>
    </row>
    <row r="437" spans="1:17" x14ac:dyDescent="0.25">
      <c r="A437" s="12">
        <f t="shared" si="6"/>
        <v>436</v>
      </c>
      <c r="B437" s="12">
        <v>0.49803900000000001</v>
      </c>
      <c r="C437" s="12">
        <v>8.3862800000000001E-2</v>
      </c>
      <c r="D437" s="12">
        <v>0.26502399999999998</v>
      </c>
      <c r="E437" s="12">
        <v>49.104727176795798</v>
      </c>
      <c r="F437" s="12">
        <v>81</v>
      </c>
      <c r="G437" s="12">
        <v>4.9722890598611298E-2</v>
      </c>
      <c r="H437" s="12" t="s">
        <v>0</v>
      </c>
      <c r="I437" s="12">
        <v>0.69843100000000002</v>
      </c>
      <c r="J437" s="12">
        <v>141.9314</v>
      </c>
      <c r="K437" s="12">
        <v>166.36416</v>
      </c>
      <c r="L437" s="12" t="s">
        <v>1</v>
      </c>
      <c r="M437" s="12" t="s">
        <v>0</v>
      </c>
      <c r="N437" s="12">
        <v>17.007476519889</v>
      </c>
      <c r="O437" s="12">
        <v>17</v>
      </c>
      <c r="P437" s="12">
        <v>7218.61</v>
      </c>
      <c r="Q437" s="12" t="s">
        <v>1</v>
      </c>
    </row>
    <row r="438" spans="1:17" x14ac:dyDescent="0.25">
      <c r="A438" s="12">
        <f t="shared" si="6"/>
        <v>437</v>
      </c>
      <c r="B438" s="12">
        <v>0.48423100000000002</v>
      </c>
      <c r="C438" s="12">
        <v>5.8242099999999998E-2</v>
      </c>
      <c r="D438" s="12">
        <v>0.18962100000000001</v>
      </c>
      <c r="E438" s="12">
        <v>29.9474573158735</v>
      </c>
      <c r="F438" s="12">
        <v>90.25</v>
      </c>
      <c r="G438" s="12">
        <v>8.3795180814411694</v>
      </c>
      <c r="H438" s="12" t="s">
        <v>0</v>
      </c>
      <c r="I438" s="12">
        <v>0.687384</v>
      </c>
      <c r="J438" s="12">
        <v>129.12105</v>
      </c>
      <c r="K438" s="12">
        <v>121.87639</v>
      </c>
      <c r="L438" s="12" t="s">
        <v>1</v>
      </c>
      <c r="M438" s="12" t="s">
        <v>0</v>
      </c>
      <c r="N438" s="12">
        <v>15.472427004161201</v>
      </c>
      <c r="O438" s="12">
        <v>17.5</v>
      </c>
      <c r="P438" s="12">
        <v>8356.58</v>
      </c>
      <c r="Q438" s="12" t="s">
        <v>1</v>
      </c>
    </row>
    <row r="439" spans="1:17" x14ac:dyDescent="0.25">
      <c r="A439" s="12">
        <f t="shared" si="6"/>
        <v>438</v>
      </c>
      <c r="B439" s="12">
        <v>0.94018999999999997</v>
      </c>
      <c r="C439" s="12">
        <v>-2.6837800000000002E-3</v>
      </c>
      <c r="D439" s="12">
        <v>0.73713499999999998</v>
      </c>
      <c r="E439" s="12">
        <v>3.3200043859745998</v>
      </c>
      <c r="F439" s="12">
        <v>72.25</v>
      </c>
      <c r="G439" s="12">
        <v>272.59095599849798</v>
      </c>
      <c r="H439" s="12" t="s">
        <v>0</v>
      </c>
      <c r="I439" s="12">
        <v>1.0521499999999999</v>
      </c>
      <c r="J439" s="12">
        <v>98.658109999999994</v>
      </c>
      <c r="K439" s="12">
        <v>444.90965</v>
      </c>
      <c r="L439" s="12" t="s">
        <v>1</v>
      </c>
      <c r="M439" s="12" t="s">
        <v>0</v>
      </c>
      <c r="N439" s="12">
        <v>11.8220879193866</v>
      </c>
      <c r="O439" s="12">
        <v>16.5</v>
      </c>
      <c r="P439" s="12">
        <v>1273.73</v>
      </c>
      <c r="Q439" s="12" t="s">
        <v>1</v>
      </c>
    </row>
    <row r="440" spans="1:17" x14ac:dyDescent="0.25">
      <c r="A440" s="12">
        <f t="shared" si="6"/>
        <v>439</v>
      </c>
      <c r="B440" s="12">
        <v>0.22083</v>
      </c>
      <c r="C440" s="12">
        <v>2.4871399999999998E-2</v>
      </c>
      <c r="D440" s="12">
        <v>0.41881499999999999</v>
      </c>
      <c r="E440" s="12">
        <v>12.062011651946399</v>
      </c>
      <c r="F440" s="12">
        <v>121</v>
      </c>
      <c r="G440" s="12">
        <v>155.80237584237099</v>
      </c>
      <c r="H440" s="12" t="s">
        <v>0</v>
      </c>
      <c r="I440" s="12">
        <v>0.47665999999999997</v>
      </c>
      <c r="J440" s="12">
        <v>112.4357</v>
      </c>
      <c r="K440" s="12">
        <v>257.10084999999998</v>
      </c>
      <c r="L440" s="12" t="s">
        <v>1</v>
      </c>
      <c r="M440" s="12" t="s">
        <v>0</v>
      </c>
      <c r="N440" s="12">
        <v>13.4730406925267</v>
      </c>
      <c r="O440" s="12">
        <v>19</v>
      </c>
      <c r="P440" s="12">
        <v>2744.04</v>
      </c>
      <c r="Q440" s="12" t="s">
        <v>1</v>
      </c>
    </row>
    <row r="441" spans="1:17" x14ac:dyDescent="0.25">
      <c r="A441" s="12">
        <f t="shared" si="6"/>
        <v>440</v>
      </c>
      <c r="B441" s="12">
        <v>0.82889000000000002</v>
      </c>
      <c r="C441" s="12">
        <v>0.17840900000000001</v>
      </c>
      <c r="D441" s="12">
        <v>0.41927199999999998</v>
      </c>
      <c r="E441" s="12">
        <v>160.58358217105899</v>
      </c>
      <c r="F441" s="12">
        <v>49</v>
      </c>
      <c r="G441" s="12">
        <v>25.274447739538299</v>
      </c>
      <c r="H441" s="12" t="s">
        <v>0</v>
      </c>
      <c r="I441" s="12">
        <v>0.96311000000000002</v>
      </c>
      <c r="J441" s="12">
        <v>189.2045</v>
      </c>
      <c r="K441" s="12">
        <v>257.37047999999999</v>
      </c>
      <c r="L441" s="12" t="s">
        <v>1</v>
      </c>
      <c r="M441" s="12" t="s">
        <v>0</v>
      </c>
      <c r="N441" s="12">
        <v>22.672157755136201</v>
      </c>
      <c r="O441" s="12">
        <v>15</v>
      </c>
      <c r="P441" s="12">
        <v>5465.01</v>
      </c>
      <c r="Q441" s="12" t="s">
        <v>1</v>
      </c>
    </row>
    <row r="442" spans="1:17" x14ac:dyDescent="0.25">
      <c r="A442" s="12">
        <f t="shared" si="6"/>
        <v>441</v>
      </c>
      <c r="B442" s="12">
        <v>0.56906699999999999</v>
      </c>
      <c r="C442" s="12">
        <v>9.7912899999999997E-2</v>
      </c>
      <c r="D442" s="12">
        <v>0.21074899999999999</v>
      </c>
      <c r="E442" s="12">
        <v>61.611199446050499</v>
      </c>
      <c r="F442" s="12">
        <v>72.25</v>
      </c>
      <c r="G442" s="12">
        <v>32.869959218615101</v>
      </c>
      <c r="H442" s="12" t="s">
        <v>0</v>
      </c>
      <c r="I442" s="12">
        <v>0.75525299999999995</v>
      </c>
      <c r="J442" s="12">
        <v>148.95644999999999</v>
      </c>
      <c r="K442" s="12">
        <v>134.34191000000001</v>
      </c>
      <c r="L442" s="12" t="s">
        <v>1</v>
      </c>
      <c r="M442" s="12" t="s">
        <v>0</v>
      </c>
      <c r="N442" s="12">
        <v>17.849280186491601</v>
      </c>
      <c r="O442" s="12">
        <v>16.5</v>
      </c>
      <c r="P442" s="12">
        <v>9392.6299999999992</v>
      </c>
      <c r="Q442" s="12" t="s">
        <v>1</v>
      </c>
    </row>
    <row r="443" spans="1:17" x14ac:dyDescent="0.25">
      <c r="A443" s="12">
        <f t="shared" si="6"/>
        <v>442</v>
      </c>
      <c r="B443" s="12">
        <v>1.07518</v>
      </c>
      <c r="C443" s="12">
        <v>8.4076999999999999E-2</v>
      </c>
      <c r="D443" s="12">
        <v>0.83164899999999997</v>
      </c>
      <c r="E443" s="12">
        <v>49.284755160779802</v>
      </c>
      <c r="F443" s="12">
        <v>42.25</v>
      </c>
      <c r="G443" s="12">
        <v>232.08811202777201</v>
      </c>
      <c r="H443" s="12" t="s">
        <v>0</v>
      </c>
      <c r="I443" s="12">
        <v>1.1601399999999999</v>
      </c>
      <c r="J443" s="12">
        <v>142.0385</v>
      </c>
      <c r="K443" s="12">
        <v>500.67291</v>
      </c>
      <c r="L443" s="12" t="s">
        <v>1</v>
      </c>
      <c r="M443" s="12" t="s">
        <v>0</v>
      </c>
      <c r="N443" s="12">
        <v>17.020310189783601</v>
      </c>
      <c r="O443" s="12">
        <v>14.5</v>
      </c>
      <c r="P443" s="12">
        <v>1739.43</v>
      </c>
      <c r="Q443" s="12" t="s">
        <v>1</v>
      </c>
    </row>
    <row r="444" spans="1:17" x14ac:dyDescent="0.25">
      <c r="A444" s="12">
        <f t="shared" si="6"/>
        <v>443</v>
      </c>
      <c r="B444" s="12">
        <v>1.0983799999999999</v>
      </c>
      <c r="C444" s="12">
        <v>6.8778699999999998E-2</v>
      </c>
      <c r="D444" s="12">
        <v>0.68301699999999999</v>
      </c>
      <c r="E444" s="12">
        <v>37.255414166446201</v>
      </c>
      <c r="F444" s="12">
        <v>49</v>
      </c>
      <c r="G444" s="12">
        <v>206.019226424469</v>
      </c>
      <c r="H444" s="12" t="s">
        <v>0</v>
      </c>
      <c r="I444" s="12">
        <v>1.1787000000000001</v>
      </c>
      <c r="J444" s="12">
        <v>134.38935000000001</v>
      </c>
      <c r="K444" s="12">
        <v>412.98003</v>
      </c>
      <c r="L444" s="12" t="s">
        <v>1</v>
      </c>
      <c r="M444" s="12" t="s">
        <v>0</v>
      </c>
      <c r="N444" s="12">
        <v>16.103721337548599</v>
      </c>
      <c r="O444" s="12">
        <v>15</v>
      </c>
      <c r="P444" s="12">
        <v>2061.02</v>
      </c>
      <c r="Q444" s="12" t="s">
        <v>1</v>
      </c>
    </row>
    <row r="445" spans="1:17" x14ac:dyDescent="0.25">
      <c r="A445" s="12">
        <f t="shared" si="6"/>
        <v>444</v>
      </c>
      <c r="B445" s="12">
        <v>1.1332500000000001</v>
      </c>
      <c r="C445" s="12">
        <v>-4.8388100000000003E-2</v>
      </c>
      <c r="D445" s="12">
        <v>0.72941100000000003</v>
      </c>
      <c r="E445" s="12">
        <v>0.83953265542081801</v>
      </c>
      <c r="F445" s="12">
        <v>90.25</v>
      </c>
      <c r="G445" s="12">
        <v>324.05562978491997</v>
      </c>
      <c r="H445" s="12" t="s">
        <v>0</v>
      </c>
      <c r="I445" s="12">
        <v>1.2065999999999999</v>
      </c>
      <c r="J445" s="12">
        <v>75.805949999999996</v>
      </c>
      <c r="K445" s="12">
        <v>440.35248999999999</v>
      </c>
      <c r="L445" s="12" t="s">
        <v>1</v>
      </c>
      <c r="M445" s="12" t="s">
        <v>0</v>
      </c>
      <c r="N445" s="12">
        <v>9.0837398538510907</v>
      </c>
      <c r="O445" s="12">
        <v>17.5</v>
      </c>
      <c r="P445" s="12">
        <v>729.43600000000004</v>
      </c>
      <c r="Q445" s="12" t="s">
        <v>1</v>
      </c>
    </row>
    <row r="446" spans="1:17" x14ac:dyDescent="0.25">
      <c r="A446" s="12">
        <f t="shared" si="6"/>
        <v>445</v>
      </c>
      <c r="B446" s="12">
        <v>0.97610200000000003</v>
      </c>
      <c r="C446" s="12">
        <v>0.11500299999999999</v>
      </c>
      <c r="D446" s="12">
        <v>0.68052299999999999</v>
      </c>
      <c r="E446" s="12">
        <v>78.734098935661507</v>
      </c>
      <c r="F446" s="12">
        <v>42.25</v>
      </c>
      <c r="G446" s="12">
        <v>132.54948442484499</v>
      </c>
      <c r="H446" s="12" t="s">
        <v>0</v>
      </c>
      <c r="I446" s="12">
        <v>1.080881</v>
      </c>
      <c r="J446" s="12">
        <v>157.50149999999999</v>
      </c>
      <c r="K446" s="12">
        <v>411.50857000000002</v>
      </c>
      <c r="L446" s="12" t="s">
        <v>1</v>
      </c>
      <c r="M446" s="12" t="s">
        <v>0</v>
      </c>
      <c r="N446" s="12">
        <v>18.873223705940301</v>
      </c>
      <c r="O446" s="12">
        <v>14.5</v>
      </c>
      <c r="P446" s="12">
        <v>3097.75</v>
      </c>
      <c r="Q446" s="12" t="s">
        <v>1</v>
      </c>
    </row>
    <row r="447" spans="1:17" x14ac:dyDescent="0.25">
      <c r="A447" s="12">
        <f t="shared" si="6"/>
        <v>446</v>
      </c>
      <c r="B447" s="12">
        <v>0.72563100000000003</v>
      </c>
      <c r="C447" s="12">
        <v>0.20235900000000001</v>
      </c>
      <c r="D447" s="12">
        <v>0.61322600000000005</v>
      </c>
      <c r="E447" s="12">
        <v>199.01050291063601</v>
      </c>
      <c r="F447" s="12">
        <v>49</v>
      </c>
      <c r="G447" s="12">
        <v>30.3573828005254</v>
      </c>
      <c r="H447" s="12" t="s">
        <v>0</v>
      </c>
      <c r="I447" s="12">
        <v>0.88050399999999995</v>
      </c>
      <c r="J447" s="12">
        <v>201.17949999999999</v>
      </c>
      <c r="K447" s="12">
        <v>371.80333999999999</v>
      </c>
      <c r="L447" s="12" t="s">
        <v>1</v>
      </c>
      <c r="M447" s="12" t="s">
        <v>0</v>
      </c>
      <c r="N447" s="12">
        <v>24.107108240551501</v>
      </c>
      <c r="O447" s="12">
        <v>15</v>
      </c>
      <c r="P447" s="12">
        <v>5288.94</v>
      </c>
      <c r="Q447" s="12" t="s">
        <v>1</v>
      </c>
    </row>
    <row r="448" spans="1:17" x14ac:dyDescent="0.25">
      <c r="A448" s="12">
        <f t="shared" si="6"/>
        <v>447</v>
      </c>
      <c r="B448" s="12">
        <v>0.98455400000000004</v>
      </c>
      <c r="C448" s="12">
        <v>0.338451</v>
      </c>
      <c r="D448" s="12">
        <v>0.60040499999999997</v>
      </c>
      <c r="E448" s="12">
        <v>495.55132875474101</v>
      </c>
      <c r="F448" s="12">
        <v>30.25</v>
      </c>
      <c r="G448" s="12">
        <v>0.447909314317883</v>
      </c>
      <c r="H448" s="12" t="s">
        <v>0</v>
      </c>
      <c r="I448" s="12">
        <v>1.0876429999999999</v>
      </c>
      <c r="J448" s="12">
        <v>269.22550000000001</v>
      </c>
      <c r="K448" s="12">
        <v>364.23894999999999</v>
      </c>
      <c r="L448" s="12" t="s">
        <v>1</v>
      </c>
      <c r="M448" s="12" t="s">
        <v>0</v>
      </c>
      <c r="N448" s="12">
        <v>32.260982205525899</v>
      </c>
      <c r="O448" s="12">
        <v>13.5</v>
      </c>
      <c r="P448" s="12">
        <v>7055.72</v>
      </c>
      <c r="Q448" s="12" t="s">
        <v>1</v>
      </c>
    </row>
    <row r="449" spans="1:17" x14ac:dyDescent="0.25">
      <c r="A449" s="12">
        <f t="shared" si="6"/>
        <v>448</v>
      </c>
      <c r="B449" s="12">
        <v>0.84872300000000001</v>
      </c>
      <c r="C449" s="12">
        <v>0.36683700000000002</v>
      </c>
      <c r="D449" s="12">
        <v>0.54712700000000003</v>
      </c>
      <c r="E449" s="12">
        <v>574.16369379896503</v>
      </c>
      <c r="F449" s="12">
        <v>42.25</v>
      </c>
      <c r="G449" s="12">
        <v>3.2731253330831298</v>
      </c>
      <c r="H449" s="12" t="s">
        <v>0</v>
      </c>
      <c r="I449" s="12">
        <v>0.97897800000000001</v>
      </c>
      <c r="J449" s="12">
        <v>283.41849999999999</v>
      </c>
      <c r="K449" s="12">
        <v>332.80493000000001</v>
      </c>
      <c r="L449" s="12" t="s">
        <v>1</v>
      </c>
      <c r="M449" s="12" t="s">
        <v>0</v>
      </c>
      <c r="N449" s="12">
        <v>33.9617130814757</v>
      </c>
      <c r="O449" s="12">
        <v>14.5</v>
      </c>
      <c r="P449" s="12">
        <v>7960.35</v>
      </c>
      <c r="Q449" s="12" t="s">
        <v>1</v>
      </c>
    </row>
    <row r="450" spans="1:17" x14ac:dyDescent="0.25">
      <c r="A450" s="12">
        <f t="shared" si="6"/>
        <v>449</v>
      </c>
      <c r="B450" s="12">
        <v>0.51306499999999999</v>
      </c>
      <c r="C450" s="12">
        <v>-1.82896E-2</v>
      </c>
      <c r="D450" s="12">
        <v>0.238791</v>
      </c>
      <c r="E450" s="12">
        <v>0.78690060630479797</v>
      </c>
      <c r="F450" s="12">
        <v>132.25</v>
      </c>
      <c r="G450" s="12">
        <v>72.140589397635495</v>
      </c>
      <c r="H450" s="12" t="s">
        <v>0</v>
      </c>
      <c r="I450" s="12">
        <v>0.71045199999999997</v>
      </c>
      <c r="J450" s="12">
        <v>90.855199999999996</v>
      </c>
      <c r="K450" s="12">
        <v>150.88668999999999</v>
      </c>
      <c r="L450" s="12" t="s">
        <v>1</v>
      </c>
      <c r="M450" s="12" t="s">
        <v>0</v>
      </c>
      <c r="N450" s="12">
        <v>10.88707418309</v>
      </c>
      <c r="O450" s="12">
        <v>19.5</v>
      </c>
      <c r="P450" s="12">
        <v>4199.8500000000004</v>
      </c>
      <c r="Q450" s="12" t="s">
        <v>1</v>
      </c>
    </row>
    <row r="451" spans="1:17" x14ac:dyDescent="0.25">
      <c r="A451" s="12">
        <f t="shared" si="6"/>
        <v>450</v>
      </c>
      <c r="B451" s="12">
        <v>1.0496099999999999</v>
      </c>
      <c r="C451" s="12">
        <v>-3.1352400000000002E-2</v>
      </c>
      <c r="D451" s="12">
        <v>0.75478699999999999</v>
      </c>
      <c r="E451" s="12">
        <v>1.0904377741665999E-2</v>
      </c>
      <c r="F451" s="12">
        <v>81</v>
      </c>
      <c r="G451" s="12">
        <v>307.83721560488601</v>
      </c>
      <c r="H451" s="12" t="s">
        <v>0</v>
      </c>
      <c r="I451" s="12">
        <v>1.13968</v>
      </c>
      <c r="J451" s="12">
        <v>84.323800000000006</v>
      </c>
      <c r="K451" s="12">
        <v>455.32432999999997</v>
      </c>
      <c r="L451" s="12" t="s">
        <v>1</v>
      </c>
      <c r="M451" s="12" t="s">
        <v>0</v>
      </c>
      <c r="N451" s="12">
        <v>10.104424028564599</v>
      </c>
      <c r="O451" s="12">
        <v>17</v>
      </c>
      <c r="P451" s="12">
        <v>895.96900000000005</v>
      </c>
      <c r="Q451" s="12" t="s">
        <v>1</v>
      </c>
    </row>
    <row r="452" spans="1:17" x14ac:dyDescent="0.25">
      <c r="A452" s="12">
        <f t="shared" ref="A452:A515" si="7">A451+1</f>
        <v>451</v>
      </c>
      <c r="B452" s="12">
        <v>0.26410699999999998</v>
      </c>
      <c r="C452" s="12">
        <v>-2.9012900000000001E-2</v>
      </c>
      <c r="D452" s="12">
        <v>0.42818099999999998</v>
      </c>
      <c r="E452" s="12">
        <v>5.9826139963482301E-2</v>
      </c>
      <c r="F452" s="12">
        <v>132.25</v>
      </c>
      <c r="G452" s="12">
        <v>199.14003822781001</v>
      </c>
      <c r="H452" s="12" t="s">
        <v>0</v>
      </c>
      <c r="I452" s="12">
        <v>0.51128499999999999</v>
      </c>
      <c r="J452" s="12">
        <v>85.493549999999999</v>
      </c>
      <c r="K452" s="12">
        <v>262.62679000000003</v>
      </c>
      <c r="L452" s="12" t="s">
        <v>1</v>
      </c>
      <c r="M452" s="12" t="s">
        <v>0</v>
      </c>
      <c r="N452" s="12">
        <v>10.2445938265032</v>
      </c>
      <c r="O452" s="12">
        <v>19.5</v>
      </c>
      <c r="P452" s="12">
        <v>2149.23</v>
      </c>
      <c r="Q452" s="12" t="s">
        <v>1</v>
      </c>
    </row>
    <row r="453" spans="1:17" x14ac:dyDescent="0.25">
      <c r="A453" s="12">
        <f t="shared" si="7"/>
        <v>452</v>
      </c>
      <c r="B453" s="12">
        <v>1.03854</v>
      </c>
      <c r="C453" s="12">
        <v>6.4742800000000003E-2</v>
      </c>
      <c r="D453" s="12">
        <v>0.67002600000000001</v>
      </c>
      <c r="E453" s="12">
        <v>34.362020602870103</v>
      </c>
      <c r="F453" s="12">
        <v>49</v>
      </c>
      <c r="G453" s="12">
        <v>205.94215800337699</v>
      </c>
      <c r="H453" s="12" t="s">
        <v>0</v>
      </c>
      <c r="I453" s="12">
        <v>1.13083</v>
      </c>
      <c r="J453" s="12">
        <v>132.37139999999999</v>
      </c>
      <c r="K453" s="12">
        <v>405.31533999999999</v>
      </c>
      <c r="L453" s="12" t="s">
        <v>1</v>
      </c>
      <c r="M453" s="12" t="s">
        <v>0</v>
      </c>
      <c r="N453" s="12">
        <v>15.8619127085679</v>
      </c>
      <c r="O453" s="12">
        <v>15</v>
      </c>
      <c r="P453" s="12">
        <v>2062</v>
      </c>
      <c r="Q453" s="12" t="s">
        <v>1</v>
      </c>
    </row>
    <row r="454" spans="1:17" x14ac:dyDescent="0.25">
      <c r="A454" s="12">
        <f t="shared" si="7"/>
        <v>453</v>
      </c>
      <c r="B454" s="12">
        <v>1.0144</v>
      </c>
      <c r="C454" s="12">
        <v>8.8271400000000007E-3</v>
      </c>
      <c r="D454" s="12">
        <v>0.66799799999999998</v>
      </c>
      <c r="E454" s="12">
        <v>6.3089286303975403</v>
      </c>
      <c r="F454" s="12">
        <v>64</v>
      </c>
      <c r="G454" s="12">
        <v>259.82878528879701</v>
      </c>
      <c r="H454" s="12" t="s">
        <v>0</v>
      </c>
      <c r="I454" s="12">
        <v>1.1114999999999999</v>
      </c>
      <c r="J454" s="12">
        <v>104.41357000000001</v>
      </c>
      <c r="K454" s="12">
        <v>404.11882000000003</v>
      </c>
      <c r="L454" s="12" t="s">
        <v>1</v>
      </c>
      <c r="M454" s="12" t="s">
        <v>0</v>
      </c>
      <c r="N454" s="12">
        <v>12.511758075611001</v>
      </c>
      <c r="O454" s="12">
        <v>16</v>
      </c>
      <c r="P454" s="12">
        <v>1416.49</v>
      </c>
      <c r="Q454" s="12" t="s">
        <v>1</v>
      </c>
    </row>
    <row r="455" spans="1:17" x14ac:dyDescent="0.25">
      <c r="A455" s="12">
        <f t="shared" si="7"/>
        <v>454</v>
      </c>
      <c r="B455" s="12">
        <v>0.41997299999999999</v>
      </c>
      <c r="C455" s="12">
        <v>-2.8714799999999999E-2</v>
      </c>
      <c r="D455" s="12">
        <v>0.36313800000000002</v>
      </c>
      <c r="E455" s="12">
        <v>6.8882268343268202E-2</v>
      </c>
      <c r="F455" s="12">
        <v>132.25</v>
      </c>
      <c r="G455" s="12">
        <v>139.50845804090801</v>
      </c>
      <c r="H455" s="12" t="s">
        <v>0</v>
      </c>
      <c r="I455" s="12">
        <v>0.63597800000000004</v>
      </c>
      <c r="J455" s="12">
        <v>85.642600000000002</v>
      </c>
      <c r="K455" s="12">
        <v>224.25142</v>
      </c>
      <c r="L455" s="12" t="s">
        <v>1</v>
      </c>
      <c r="M455" s="12" t="s">
        <v>0</v>
      </c>
      <c r="N455" s="12">
        <v>10.2624543166786</v>
      </c>
      <c r="O455" s="12">
        <v>19.5</v>
      </c>
      <c r="P455" s="12">
        <v>2988.85</v>
      </c>
      <c r="Q455" s="12" t="s">
        <v>1</v>
      </c>
    </row>
    <row r="456" spans="1:17" x14ac:dyDescent="0.25">
      <c r="A456" s="12">
        <f t="shared" si="7"/>
        <v>455</v>
      </c>
      <c r="B456" s="12">
        <v>0.49964999999999998</v>
      </c>
      <c r="C456" s="12">
        <v>0.192221</v>
      </c>
      <c r="D456" s="12">
        <v>0.37333499999999997</v>
      </c>
      <c r="E456" s="12">
        <v>182.241786613702</v>
      </c>
      <c r="F456" s="12">
        <v>64</v>
      </c>
      <c r="G456" s="12">
        <v>10.0873240577969</v>
      </c>
      <c r="H456" s="12" t="s">
        <v>0</v>
      </c>
      <c r="I456" s="12">
        <v>0.69972000000000001</v>
      </c>
      <c r="J456" s="12">
        <v>196.1105</v>
      </c>
      <c r="K456" s="12">
        <v>230.26765</v>
      </c>
      <c r="L456" s="12" t="s">
        <v>1</v>
      </c>
      <c r="M456" s="12" t="s">
        <v>0</v>
      </c>
      <c r="N456" s="12">
        <v>23.499695797080101</v>
      </c>
      <c r="O456" s="12">
        <v>16</v>
      </c>
      <c r="P456" s="12">
        <v>8459.26</v>
      </c>
      <c r="Q456" s="12" t="s">
        <v>1</v>
      </c>
    </row>
    <row r="457" spans="1:17" x14ac:dyDescent="0.25">
      <c r="A457" s="12">
        <f t="shared" si="7"/>
        <v>456</v>
      </c>
      <c r="B457" s="12">
        <v>0.109613</v>
      </c>
      <c r="C457" s="12">
        <v>-1.9517400000000001E-2</v>
      </c>
      <c r="D457" s="12">
        <v>0.16798199999999999</v>
      </c>
      <c r="E457" s="12">
        <v>0.66180055669669202</v>
      </c>
      <c r="F457" s="12">
        <v>132.25</v>
      </c>
      <c r="G457" s="12">
        <v>86.143317966597806</v>
      </c>
      <c r="H457" s="12" t="s">
        <v>0</v>
      </c>
      <c r="I457" s="12">
        <v>0.38768999999999998</v>
      </c>
      <c r="J457" s="12">
        <v>90.241299999999995</v>
      </c>
      <c r="K457" s="12">
        <v>109.10938</v>
      </c>
      <c r="L457" s="12" t="s">
        <v>1</v>
      </c>
      <c r="M457" s="12" t="s">
        <v>0</v>
      </c>
      <c r="N457" s="12">
        <v>10.813511251733299</v>
      </c>
      <c r="O457" s="12">
        <v>19.5</v>
      </c>
      <c r="P457" s="12">
        <v>3912.31</v>
      </c>
      <c r="Q457" s="12" t="s">
        <v>1</v>
      </c>
    </row>
    <row r="458" spans="1:17" x14ac:dyDescent="0.25">
      <c r="A458" s="12">
        <f t="shared" si="7"/>
        <v>457</v>
      </c>
      <c r="B458" s="12">
        <v>0.85781200000000002</v>
      </c>
      <c r="C458" s="12">
        <v>7.66791E-3</v>
      </c>
      <c r="D458" s="12">
        <v>0.74480599999999997</v>
      </c>
      <c r="E458" s="12">
        <v>5.9648462708146601</v>
      </c>
      <c r="F458" s="12">
        <v>81</v>
      </c>
      <c r="G458" s="12">
        <v>267.24725050178199</v>
      </c>
      <c r="H458" s="12" t="s">
        <v>0</v>
      </c>
      <c r="I458" s="12">
        <v>0.98624900000000004</v>
      </c>
      <c r="J458" s="12">
        <v>103.833955</v>
      </c>
      <c r="K458" s="12">
        <v>449.43554</v>
      </c>
      <c r="L458" s="12" t="s">
        <v>1</v>
      </c>
      <c r="M458" s="12" t="s">
        <v>0</v>
      </c>
      <c r="N458" s="12">
        <v>12.442303476395701</v>
      </c>
      <c r="O458" s="12">
        <v>17</v>
      </c>
      <c r="P458" s="12">
        <v>1333.09</v>
      </c>
      <c r="Q458" s="12" t="s">
        <v>1</v>
      </c>
    </row>
    <row r="459" spans="1:17" x14ac:dyDescent="0.25">
      <c r="A459" s="12">
        <f t="shared" si="7"/>
        <v>458</v>
      </c>
      <c r="B459" s="12">
        <v>0.22056600000000001</v>
      </c>
      <c r="C459" s="12">
        <v>2.10704E-2</v>
      </c>
      <c r="D459" s="12">
        <v>0.42057800000000001</v>
      </c>
      <c r="E459" s="12">
        <v>10.532010787277599</v>
      </c>
      <c r="F459" s="12">
        <v>121</v>
      </c>
      <c r="G459" s="12">
        <v>159.998933744417</v>
      </c>
      <c r="H459" s="12" t="s">
        <v>0</v>
      </c>
      <c r="I459" s="12">
        <v>0.47645199999999999</v>
      </c>
      <c r="J459" s="12">
        <v>110.5352</v>
      </c>
      <c r="K459" s="12">
        <v>258.14102000000003</v>
      </c>
      <c r="L459" s="12" t="s">
        <v>1</v>
      </c>
      <c r="M459" s="12" t="s">
        <v>0</v>
      </c>
      <c r="N459" s="12">
        <v>13.245305962043799</v>
      </c>
      <c r="O459" s="12">
        <v>19</v>
      </c>
      <c r="P459" s="12">
        <v>2683.09</v>
      </c>
      <c r="Q459" s="12" t="s">
        <v>1</v>
      </c>
    </row>
    <row r="460" spans="1:17" x14ac:dyDescent="0.25">
      <c r="A460" s="12">
        <f t="shared" si="7"/>
        <v>459</v>
      </c>
      <c r="B460" s="12">
        <v>0.92665799999999998</v>
      </c>
      <c r="C460" s="12">
        <v>0.26493899999999998</v>
      </c>
      <c r="D460" s="12">
        <v>0.414663</v>
      </c>
      <c r="E460" s="12">
        <v>318.85648412996397</v>
      </c>
      <c r="F460" s="12">
        <v>42.25</v>
      </c>
      <c r="G460" s="12">
        <v>4.0727663133796197</v>
      </c>
      <c r="H460" s="12" t="s">
        <v>0</v>
      </c>
      <c r="I460" s="12">
        <v>1.041326</v>
      </c>
      <c r="J460" s="12">
        <v>232.46950000000001</v>
      </c>
      <c r="K460" s="12">
        <v>254.65117000000001</v>
      </c>
      <c r="L460" s="12" t="s">
        <v>1</v>
      </c>
      <c r="M460" s="12" t="s">
        <v>0</v>
      </c>
      <c r="N460" s="12">
        <v>27.856552974467501</v>
      </c>
      <c r="O460" s="12">
        <v>14.5</v>
      </c>
      <c r="P460" s="12">
        <v>6563.39</v>
      </c>
      <c r="Q460" s="12" t="s">
        <v>1</v>
      </c>
    </row>
    <row r="461" spans="1:17" x14ac:dyDescent="0.25">
      <c r="A461" s="12">
        <f t="shared" si="7"/>
        <v>460</v>
      </c>
      <c r="B461" s="12">
        <v>0.46766799999999997</v>
      </c>
      <c r="C461" s="12">
        <v>2.0797599999999999E-2</v>
      </c>
      <c r="D461" s="12">
        <v>0.28289500000000001</v>
      </c>
      <c r="E461" s="12">
        <v>10.4261911209922</v>
      </c>
      <c r="F461" s="12">
        <v>121</v>
      </c>
      <c r="G461" s="12">
        <v>58.271263370238302</v>
      </c>
      <c r="H461" s="12" t="s">
        <v>0</v>
      </c>
      <c r="I461" s="12">
        <v>0.67413400000000001</v>
      </c>
      <c r="J461" s="12">
        <v>110.39879999999999</v>
      </c>
      <c r="K461" s="12">
        <v>176.90805</v>
      </c>
      <c r="L461" s="12" t="s">
        <v>1</v>
      </c>
      <c r="M461" s="12" t="s">
        <v>0</v>
      </c>
      <c r="N461" s="12">
        <v>13.2289613068279</v>
      </c>
      <c r="O461" s="12">
        <v>19</v>
      </c>
      <c r="P461" s="12">
        <v>4513.75</v>
      </c>
      <c r="Q461" s="12" t="s">
        <v>1</v>
      </c>
    </row>
    <row r="462" spans="1:17" x14ac:dyDescent="0.25">
      <c r="A462" s="12">
        <f t="shared" si="7"/>
        <v>461</v>
      </c>
      <c r="B462" s="12">
        <v>0.96109599999999995</v>
      </c>
      <c r="C462" s="12">
        <v>0.36607200000000001</v>
      </c>
      <c r="D462" s="12">
        <v>0.57587999999999995</v>
      </c>
      <c r="E462" s="12">
        <v>571.96924663361597</v>
      </c>
      <c r="F462" s="12">
        <v>30.25</v>
      </c>
      <c r="G462" s="12">
        <v>0.98199954963407698</v>
      </c>
      <c r="H462" s="12" t="s">
        <v>0</v>
      </c>
      <c r="I462" s="12">
        <v>1.0688759999999999</v>
      </c>
      <c r="J462" s="12">
        <v>283.036</v>
      </c>
      <c r="K462" s="12">
        <v>349.76920000000001</v>
      </c>
      <c r="L462" s="12" t="s">
        <v>1</v>
      </c>
      <c r="M462" s="12" t="s">
        <v>0</v>
      </c>
      <c r="N462" s="12">
        <v>33.915878546137797</v>
      </c>
      <c r="O462" s="12">
        <v>13.5</v>
      </c>
      <c r="P462" s="12">
        <v>7661.7</v>
      </c>
      <c r="Q462" s="12" t="s">
        <v>1</v>
      </c>
    </row>
    <row r="463" spans="1:17" x14ac:dyDescent="0.25">
      <c r="A463" s="12">
        <f t="shared" si="7"/>
        <v>462</v>
      </c>
      <c r="B463" s="12">
        <v>0.54361099999999996</v>
      </c>
      <c r="C463" s="12">
        <v>0.15080199999999999</v>
      </c>
      <c r="D463" s="12">
        <v>0.29128700000000002</v>
      </c>
      <c r="E463" s="12">
        <v>121.398532380356</v>
      </c>
      <c r="F463" s="12">
        <v>72.25</v>
      </c>
      <c r="G463" s="12">
        <v>5.3334422488271702</v>
      </c>
      <c r="H463" s="12" t="s">
        <v>0</v>
      </c>
      <c r="I463" s="12">
        <v>0.73488799999999999</v>
      </c>
      <c r="J463" s="12">
        <v>175.40100000000001</v>
      </c>
      <c r="K463" s="12">
        <v>181.85933</v>
      </c>
      <c r="L463" s="12" t="s">
        <v>1</v>
      </c>
      <c r="M463" s="12" t="s">
        <v>0</v>
      </c>
      <c r="N463" s="12">
        <v>21.0181002164781</v>
      </c>
      <c r="O463" s="12">
        <v>16.5</v>
      </c>
      <c r="P463" s="12">
        <v>8142.94</v>
      </c>
      <c r="Q463" s="12" t="s">
        <v>1</v>
      </c>
    </row>
    <row r="464" spans="1:17" x14ac:dyDescent="0.25">
      <c r="A464" s="12">
        <f t="shared" si="7"/>
        <v>463</v>
      </c>
      <c r="B464" s="12">
        <v>0.47681299999999999</v>
      </c>
      <c r="C464" s="12">
        <v>2.60284E-2</v>
      </c>
      <c r="D464" s="12">
        <v>0.25335999999999997</v>
      </c>
      <c r="E464" s="12">
        <v>12.548326290166401</v>
      </c>
      <c r="F464" s="12">
        <v>110.25</v>
      </c>
      <c r="G464" s="12">
        <v>34.4858540251454</v>
      </c>
      <c r="H464" s="12" t="s">
        <v>0</v>
      </c>
      <c r="I464" s="12">
        <v>0.68145</v>
      </c>
      <c r="J464" s="12">
        <v>113.0142</v>
      </c>
      <c r="K464" s="12">
        <v>159.48240000000001</v>
      </c>
      <c r="L464" s="12" t="s">
        <v>1</v>
      </c>
      <c r="M464" s="12" t="s">
        <v>0</v>
      </c>
      <c r="N464" s="12">
        <v>13.5423616825737</v>
      </c>
      <c r="O464" s="12">
        <v>18.5</v>
      </c>
      <c r="P464" s="12">
        <v>5156.55</v>
      </c>
      <c r="Q464" s="12" t="s">
        <v>1</v>
      </c>
    </row>
    <row r="465" spans="1:17" x14ac:dyDescent="0.25">
      <c r="A465" s="12">
        <f t="shared" si="7"/>
        <v>464</v>
      </c>
      <c r="B465" s="12">
        <v>8.0089400000000005E-2</v>
      </c>
      <c r="C465" s="12">
        <v>3.6224199999999998E-2</v>
      </c>
      <c r="D465" s="12">
        <v>0.18012</v>
      </c>
      <c r="E465" s="12">
        <v>17.249379071890601</v>
      </c>
      <c r="F465" s="12">
        <v>100</v>
      </c>
      <c r="G465" s="12">
        <v>62.8792513597297</v>
      </c>
      <c r="H465" s="12" t="s">
        <v>0</v>
      </c>
      <c r="I465" s="12">
        <v>0.36407149999999999</v>
      </c>
      <c r="J465" s="12">
        <v>118.1121</v>
      </c>
      <c r="K465" s="12">
        <v>116.27079999999999</v>
      </c>
      <c r="L465" s="12" t="s">
        <v>1</v>
      </c>
      <c r="M465" s="12" t="s">
        <v>0</v>
      </c>
      <c r="N465" s="12">
        <v>14.1532371798261</v>
      </c>
      <c r="O465" s="12">
        <v>18</v>
      </c>
      <c r="P465" s="12">
        <v>4405.68</v>
      </c>
      <c r="Q465" s="12" t="s">
        <v>1</v>
      </c>
    </row>
    <row r="466" spans="1:17" x14ac:dyDescent="0.25">
      <c r="A466" s="12">
        <f t="shared" si="7"/>
        <v>465</v>
      </c>
      <c r="B466" s="12">
        <v>0.90929199999999999</v>
      </c>
      <c r="C466" s="12">
        <v>1.3451899999999999E-2</v>
      </c>
      <c r="D466" s="12">
        <v>0.76170400000000005</v>
      </c>
      <c r="E466" s="12">
        <v>7.7776726821856004</v>
      </c>
      <c r="F466" s="12">
        <v>81</v>
      </c>
      <c r="G466" s="12">
        <v>263.645952072809</v>
      </c>
      <c r="H466" s="12" t="s">
        <v>0</v>
      </c>
      <c r="I466" s="12">
        <v>1.027433</v>
      </c>
      <c r="J466" s="12">
        <v>106.72595</v>
      </c>
      <c r="K466" s="12">
        <v>459.40535999999997</v>
      </c>
      <c r="L466" s="12" t="s">
        <v>1</v>
      </c>
      <c r="M466" s="12" t="s">
        <v>0</v>
      </c>
      <c r="N466" s="12">
        <v>12.788847913061099</v>
      </c>
      <c r="O466" s="12">
        <v>17</v>
      </c>
      <c r="P466" s="12">
        <v>1373.43</v>
      </c>
      <c r="Q466" s="12" t="s">
        <v>1</v>
      </c>
    </row>
    <row r="467" spans="1:17" x14ac:dyDescent="0.25">
      <c r="A467" s="12">
        <f t="shared" si="7"/>
        <v>466</v>
      </c>
      <c r="B467" s="12">
        <v>0.88895100000000005</v>
      </c>
      <c r="C467" s="12">
        <v>0.174619</v>
      </c>
      <c r="D467" s="12">
        <v>0.49713400000000002</v>
      </c>
      <c r="E467" s="12">
        <v>154.88006806085701</v>
      </c>
      <c r="F467" s="12">
        <v>42.25</v>
      </c>
      <c r="G467" s="12">
        <v>50.846667592418797</v>
      </c>
      <c r="H467" s="12" t="s">
        <v>0</v>
      </c>
      <c r="I467" s="12">
        <v>1.0111600000000001</v>
      </c>
      <c r="J467" s="12">
        <v>187.30950000000001</v>
      </c>
      <c r="K467" s="12">
        <v>303.30905999999999</v>
      </c>
      <c r="L467" s="12" t="s">
        <v>1</v>
      </c>
      <c r="M467" s="12" t="s">
        <v>0</v>
      </c>
      <c r="N467" s="12">
        <v>22.4450820833314</v>
      </c>
      <c r="O467" s="12">
        <v>14.5</v>
      </c>
      <c r="P467" s="12">
        <v>4697.3</v>
      </c>
      <c r="Q467" s="12" t="s">
        <v>1</v>
      </c>
    </row>
    <row r="468" spans="1:17" x14ac:dyDescent="0.25">
      <c r="A468" s="12">
        <f t="shared" si="7"/>
        <v>467</v>
      </c>
      <c r="B468" s="12">
        <v>0.30817899999999998</v>
      </c>
      <c r="C468" s="12">
        <v>-0.10222100000000001</v>
      </c>
      <c r="D468" s="12">
        <v>0.25719500000000001</v>
      </c>
      <c r="E468" s="12">
        <v>17.153077609170101</v>
      </c>
      <c r="F468" s="12">
        <v>210.25</v>
      </c>
      <c r="G468" s="12">
        <v>221.84429394558001</v>
      </c>
      <c r="H468" s="12" t="s">
        <v>0</v>
      </c>
      <c r="I468" s="12">
        <v>0.546543</v>
      </c>
      <c r="J468" s="12">
        <v>48.889499999999998</v>
      </c>
      <c r="K468" s="12">
        <v>161.74504999999999</v>
      </c>
      <c r="L468" s="12" t="s">
        <v>1</v>
      </c>
      <c r="M468" s="12" t="s">
        <v>0</v>
      </c>
      <c r="N468" s="12">
        <v>5.8583725892868896</v>
      </c>
      <c r="O468" s="12">
        <v>22.5</v>
      </c>
      <c r="P468" s="12">
        <v>1863.53</v>
      </c>
      <c r="Q468" s="12" t="s">
        <v>1</v>
      </c>
    </row>
    <row r="469" spans="1:17" x14ac:dyDescent="0.25">
      <c r="A469" s="12">
        <f t="shared" si="7"/>
        <v>468</v>
      </c>
      <c r="B469" s="12">
        <v>1.10267</v>
      </c>
      <c r="C469" s="12">
        <v>2.9383399999999998E-3</v>
      </c>
      <c r="D469" s="12">
        <v>0.70021100000000003</v>
      </c>
      <c r="E469" s="12">
        <v>4.6609960510381496</v>
      </c>
      <c r="F469" s="12">
        <v>56.25</v>
      </c>
      <c r="G469" s="12">
        <v>270.43667335785301</v>
      </c>
      <c r="H469" s="12" t="s">
        <v>0</v>
      </c>
      <c r="I469" s="12">
        <v>1.1821299999999999</v>
      </c>
      <c r="J469" s="12">
        <v>101.46917000000001</v>
      </c>
      <c r="K469" s="12">
        <v>423.12448999999998</v>
      </c>
      <c r="L469" s="12" t="s">
        <v>1</v>
      </c>
      <c r="M469" s="12" t="s">
        <v>0</v>
      </c>
      <c r="N469" s="12">
        <v>12.158934008032199</v>
      </c>
      <c r="O469" s="12">
        <v>15.5</v>
      </c>
      <c r="P469" s="12">
        <v>1297.5899999999999</v>
      </c>
      <c r="Q469" s="12" t="s">
        <v>1</v>
      </c>
    </row>
    <row r="470" spans="1:17" x14ac:dyDescent="0.25">
      <c r="A470" s="12">
        <f t="shared" si="7"/>
        <v>469</v>
      </c>
      <c r="B470" s="12">
        <v>1.08531</v>
      </c>
      <c r="C470" s="12">
        <v>8.5301100000000005E-2</v>
      </c>
      <c r="D470" s="12">
        <v>0.629355</v>
      </c>
      <c r="E470" s="12">
        <v>50.3198907205309</v>
      </c>
      <c r="F470" s="12">
        <v>42.25</v>
      </c>
      <c r="G470" s="12">
        <v>186.43695318746401</v>
      </c>
      <c r="H470" s="12" t="s">
        <v>0</v>
      </c>
      <c r="I470" s="12">
        <v>1.1682399999999999</v>
      </c>
      <c r="J470" s="12">
        <v>142.65055000000001</v>
      </c>
      <c r="K470" s="12">
        <v>381.31945000000002</v>
      </c>
      <c r="L470" s="12" t="s">
        <v>1</v>
      </c>
      <c r="M470" s="12" t="s">
        <v>0</v>
      </c>
      <c r="N470" s="12">
        <v>17.093651437766699</v>
      </c>
      <c r="O470" s="12">
        <v>14.5</v>
      </c>
      <c r="P470" s="12">
        <v>2316.2199999999998</v>
      </c>
      <c r="Q470" s="12" t="s">
        <v>1</v>
      </c>
    </row>
    <row r="471" spans="1:17" x14ac:dyDescent="0.25">
      <c r="A471" s="12">
        <f t="shared" si="7"/>
        <v>470</v>
      </c>
      <c r="B471" s="12">
        <v>0.91063300000000003</v>
      </c>
      <c r="C471" s="12">
        <v>0.30767499999999998</v>
      </c>
      <c r="D471" s="12">
        <v>0.60919800000000002</v>
      </c>
      <c r="E471" s="12">
        <v>416.856169711093</v>
      </c>
      <c r="F471" s="12">
        <v>42.25</v>
      </c>
      <c r="G471" s="12">
        <v>35.829900036779797</v>
      </c>
      <c r="H471" s="12" t="s">
        <v>0</v>
      </c>
      <c r="I471" s="12">
        <v>1.0285059999999999</v>
      </c>
      <c r="J471" s="12">
        <v>253.83750000000001</v>
      </c>
      <c r="K471" s="12">
        <v>369.42682000000002</v>
      </c>
      <c r="L471" s="12" t="s">
        <v>1</v>
      </c>
      <c r="M471" s="12" t="s">
        <v>0</v>
      </c>
      <c r="N471" s="12">
        <v>30.4170558531609</v>
      </c>
      <c r="O471" s="12">
        <v>14.5</v>
      </c>
      <c r="P471" s="12">
        <v>5115.18</v>
      </c>
      <c r="Q471" s="12" t="s">
        <v>1</v>
      </c>
    </row>
    <row r="472" spans="1:17" x14ac:dyDescent="0.25">
      <c r="A472" s="12">
        <f t="shared" si="7"/>
        <v>471</v>
      </c>
      <c r="B472" s="12">
        <v>0.95487599999999995</v>
      </c>
      <c r="C472" s="12">
        <v>0.24949399999999999</v>
      </c>
      <c r="D472" s="12">
        <v>0.57053600000000004</v>
      </c>
      <c r="E472" s="12">
        <v>286.66467591071898</v>
      </c>
      <c r="F472" s="12">
        <v>42.25</v>
      </c>
      <c r="G472" s="12">
        <v>43.656250370425902</v>
      </c>
      <c r="H472" s="12" t="s">
        <v>0</v>
      </c>
      <c r="I472" s="12">
        <v>1.0639000000000001</v>
      </c>
      <c r="J472" s="12">
        <v>224.74700000000001</v>
      </c>
      <c r="K472" s="12">
        <v>346.61624</v>
      </c>
      <c r="L472" s="12" t="s">
        <v>1</v>
      </c>
      <c r="M472" s="12" t="s">
        <v>0</v>
      </c>
      <c r="N472" s="12">
        <v>26.931174676044101</v>
      </c>
      <c r="O472" s="12">
        <v>14.5</v>
      </c>
      <c r="P472" s="12">
        <v>4888.34</v>
      </c>
      <c r="Q472" s="12" t="s">
        <v>1</v>
      </c>
    </row>
    <row r="473" spans="1:17" x14ac:dyDescent="0.25">
      <c r="A473" s="12">
        <f t="shared" si="7"/>
        <v>472</v>
      </c>
      <c r="B473" s="12">
        <v>0.99608200000000002</v>
      </c>
      <c r="C473" s="12">
        <v>-2.6618900000000001E-2</v>
      </c>
      <c r="D473" s="12">
        <v>0.64215999999999995</v>
      </c>
      <c r="E473" s="12">
        <v>0.15056647427941799</v>
      </c>
      <c r="F473" s="12">
        <v>81</v>
      </c>
      <c r="G473" s="12">
        <v>290.10955608932198</v>
      </c>
      <c r="H473" s="12" t="s">
        <v>0</v>
      </c>
      <c r="I473" s="12">
        <v>1.096865</v>
      </c>
      <c r="J473" s="12">
        <v>86.690550000000002</v>
      </c>
      <c r="K473" s="12">
        <v>388.87439999999998</v>
      </c>
      <c r="L473" s="12" t="s">
        <v>1</v>
      </c>
      <c r="M473" s="12" t="s">
        <v>0</v>
      </c>
      <c r="N473" s="12">
        <v>10.388028960619399</v>
      </c>
      <c r="O473" s="12">
        <v>17</v>
      </c>
      <c r="P473" s="12">
        <v>1083.0999999999999</v>
      </c>
      <c r="Q473" s="12" t="s">
        <v>1</v>
      </c>
    </row>
    <row r="474" spans="1:17" x14ac:dyDescent="0.25">
      <c r="A474" s="12">
        <f t="shared" si="7"/>
        <v>473</v>
      </c>
      <c r="B474" s="12">
        <v>0.97232700000000005</v>
      </c>
      <c r="C474" s="12">
        <v>2.61786E-2</v>
      </c>
      <c r="D474" s="12">
        <v>0.76238099999999998</v>
      </c>
      <c r="E474" s="12">
        <v>12.6121637395348</v>
      </c>
      <c r="F474" s="12">
        <v>56.25</v>
      </c>
      <c r="G474" s="12">
        <v>241.80335205554499</v>
      </c>
      <c r="H474" s="12" t="s">
        <v>0</v>
      </c>
      <c r="I474" s="12">
        <v>1.077861</v>
      </c>
      <c r="J474" s="12">
        <v>113.08929999999999</v>
      </c>
      <c r="K474" s="12">
        <v>459.80479000000003</v>
      </c>
      <c r="L474" s="12" t="s">
        <v>1</v>
      </c>
      <c r="M474" s="12" t="s">
        <v>0</v>
      </c>
      <c r="N474" s="12">
        <v>13.5513608292505</v>
      </c>
      <c r="O474" s="12">
        <v>15.5</v>
      </c>
      <c r="P474" s="12">
        <v>1624.24</v>
      </c>
      <c r="Q474" s="12" t="s">
        <v>1</v>
      </c>
    </row>
    <row r="475" spans="1:17" x14ac:dyDescent="0.25">
      <c r="A475" s="12">
        <f t="shared" si="7"/>
        <v>474</v>
      </c>
      <c r="B475" s="12">
        <v>1.0278700000000001</v>
      </c>
      <c r="C475" s="12">
        <v>5.4090300000000001E-2</v>
      </c>
      <c r="D475" s="12">
        <v>0.65228600000000003</v>
      </c>
      <c r="E475" s="12">
        <v>27.286773122387402</v>
      </c>
      <c r="F475" s="12">
        <v>49</v>
      </c>
      <c r="G475" s="12">
        <v>205.88161435841599</v>
      </c>
      <c r="H475" s="12" t="s">
        <v>0</v>
      </c>
      <c r="I475" s="12">
        <v>1.12229</v>
      </c>
      <c r="J475" s="12">
        <v>127.04515000000001</v>
      </c>
      <c r="K475" s="12">
        <v>394.84874000000002</v>
      </c>
      <c r="L475" s="12" t="s">
        <v>1</v>
      </c>
      <c r="M475" s="12" t="s">
        <v>0</v>
      </c>
      <c r="N475" s="12">
        <v>15.2236742932908</v>
      </c>
      <c r="O475" s="12">
        <v>15</v>
      </c>
      <c r="P475" s="12">
        <v>2062.77</v>
      </c>
      <c r="Q475" s="12" t="s">
        <v>1</v>
      </c>
    </row>
    <row r="476" spans="1:17" x14ac:dyDescent="0.25">
      <c r="A476" s="12">
        <f t="shared" si="7"/>
        <v>475</v>
      </c>
      <c r="B476" s="12">
        <v>1.0436099999999999</v>
      </c>
      <c r="C476" s="12">
        <v>4.0017200000000003E-2</v>
      </c>
      <c r="D476" s="12">
        <v>0.67419099999999998</v>
      </c>
      <c r="E476" s="12">
        <v>19.188715374033102</v>
      </c>
      <c r="F476" s="12">
        <v>49</v>
      </c>
      <c r="G476" s="12">
        <v>222.252548402326</v>
      </c>
      <c r="H476" s="12" t="s">
        <v>0</v>
      </c>
      <c r="I476" s="12">
        <v>1.1348800000000001</v>
      </c>
      <c r="J476" s="12">
        <v>120.0086</v>
      </c>
      <c r="K476" s="12">
        <v>407.77269000000001</v>
      </c>
      <c r="L476" s="12" t="s">
        <v>1</v>
      </c>
      <c r="M476" s="12" t="s">
        <v>0</v>
      </c>
      <c r="N476" s="12">
        <v>14.3804925949067</v>
      </c>
      <c r="O476" s="12">
        <v>15</v>
      </c>
      <c r="P476" s="12">
        <v>1858.53</v>
      </c>
      <c r="Q476" s="12" t="s">
        <v>1</v>
      </c>
    </row>
    <row r="477" spans="1:17" x14ac:dyDescent="0.25">
      <c r="A477" s="12">
        <f t="shared" si="7"/>
        <v>476</v>
      </c>
      <c r="B477" s="12">
        <v>0.92967900000000003</v>
      </c>
      <c r="C477" s="12">
        <v>0.214639</v>
      </c>
      <c r="D477" s="12">
        <v>1.03495</v>
      </c>
      <c r="E477" s="12">
        <v>220.31041529115799</v>
      </c>
      <c r="F477" s="12">
        <v>42.25</v>
      </c>
      <c r="G477" s="12">
        <v>159.99338899530801</v>
      </c>
      <c r="H477" s="12" t="s">
        <v>0</v>
      </c>
      <c r="I477" s="12">
        <v>1.0437430000000001</v>
      </c>
      <c r="J477" s="12">
        <v>207.31950000000001</v>
      </c>
      <c r="K477" s="12">
        <v>620.62049999999999</v>
      </c>
      <c r="L477" s="12" t="s">
        <v>1</v>
      </c>
      <c r="M477" s="12" t="s">
        <v>0</v>
      </c>
      <c r="N477" s="12">
        <v>24.842857382969001</v>
      </c>
      <c r="O477" s="12">
        <v>14.5</v>
      </c>
      <c r="P477" s="12">
        <v>2683.17</v>
      </c>
      <c r="Q477" s="12" t="s">
        <v>1</v>
      </c>
    </row>
    <row r="478" spans="1:17" x14ac:dyDescent="0.25">
      <c r="A478" s="12">
        <f t="shared" si="7"/>
        <v>477</v>
      </c>
      <c r="B478" s="12">
        <v>0.98506499999999997</v>
      </c>
      <c r="C478" s="12">
        <v>0.28023100000000001</v>
      </c>
      <c r="D478" s="12">
        <v>0.97312799999999999</v>
      </c>
      <c r="E478" s="12">
        <v>352.41668193472401</v>
      </c>
      <c r="F478" s="12">
        <v>30.25</v>
      </c>
      <c r="G478" s="12">
        <v>73.499852192906701</v>
      </c>
      <c r="H478" s="12" t="s">
        <v>0</v>
      </c>
      <c r="I478" s="12">
        <v>1.088052</v>
      </c>
      <c r="J478" s="12">
        <v>240.1155</v>
      </c>
      <c r="K478" s="12">
        <v>584.14552000000003</v>
      </c>
      <c r="L478" s="12" t="s">
        <v>1</v>
      </c>
      <c r="M478" s="12" t="s">
        <v>0</v>
      </c>
      <c r="N478" s="12">
        <v>28.7727643658232</v>
      </c>
      <c r="O478" s="12">
        <v>13.5</v>
      </c>
      <c r="P478" s="12">
        <v>4170.78</v>
      </c>
      <c r="Q478" s="12" t="s">
        <v>1</v>
      </c>
    </row>
    <row r="479" spans="1:17" x14ac:dyDescent="0.25">
      <c r="A479" s="12">
        <f t="shared" si="7"/>
        <v>478</v>
      </c>
      <c r="B479" s="12">
        <v>0.186775</v>
      </c>
      <c r="C479" s="12">
        <v>9.5035999999999995E-2</v>
      </c>
      <c r="D479" s="12">
        <v>0.123043</v>
      </c>
      <c r="E479" s="12">
        <v>58.934983635054202</v>
      </c>
      <c r="F479" s="12">
        <v>90.25</v>
      </c>
      <c r="G479" s="12">
        <v>43.062360968286697</v>
      </c>
      <c r="H479" s="12" t="s">
        <v>0</v>
      </c>
      <c r="I479" s="12">
        <v>0.44941999999999999</v>
      </c>
      <c r="J479" s="12">
        <v>147.518</v>
      </c>
      <c r="K479" s="12">
        <v>82.595370000000003</v>
      </c>
      <c r="L479" s="12" t="s">
        <v>1</v>
      </c>
      <c r="M479" s="12" t="s">
        <v>0</v>
      </c>
      <c r="N479" s="12">
        <v>17.676912376408499</v>
      </c>
      <c r="O479" s="12">
        <v>17.5</v>
      </c>
      <c r="P479" s="12">
        <v>9695.2000000000007</v>
      </c>
      <c r="Q479" s="12" t="s">
        <v>1</v>
      </c>
    </row>
    <row r="480" spans="1:17" x14ac:dyDescent="0.25">
      <c r="A480" s="12">
        <f t="shared" si="7"/>
        <v>479</v>
      </c>
      <c r="B480" s="12">
        <v>0.54322499999999996</v>
      </c>
      <c r="C480" s="12">
        <v>7.2900400000000004E-2</v>
      </c>
      <c r="D480" s="12">
        <v>0.23271</v>
      </c>
      <c r="E480" s="12">
        <v>40.331017377307703</v>
      </c>
      <c r="F480" s="12">
        <v>90.25</v>
      </c>
      <c r="G480" s="12">
        <v>400</v>
      </c>
      <c r="H480" s="12" t="s">
        <v>0</v>
      </c>
      <c r="I480" s="12">
        <v>0.73458000000000001</v>
      </c>
      <c r="J480" s="12">
        <v>136.4502</v>
      </c>
      <c r="K480" s="12">
        <v>147.2989</v>
      </c>
      <c r="L480" s="12" t="s">
        <v>1</v>
      </c>
      <c r="M480" s="12" t="s">
        <v>0</v>
      </c>
      <c r="N480" s="12">
        <v>16.3506706242181</v>
      </c>
      <c r="O480" s="12">
        <v>17.5</v>
      </c>
      <c r="P480" s="12">
        <v>0</v>
      </c>
      <c r="Q480" s="12" t="s">
        <v>1</v>
      </c>
    </row>
    <row r="481" spans="1:17" x14ac:dyDescent="0.25">
      <c r="A481" s="12">
        <f t="shared" si="7"/>
        <v>480</v>
      </c>
      <c r="B481" s="12">
        <v>0.215618</v>
      </c>
      <c r="C481" s="12">
        <v>-8.9061299999999996E-2</v>
      </c>
      <c r="D481" s="12">
        <v>0.12972900000000001</v>
      </c>
      <c r="E481" s="12">
        <v>11.2437594328534</v>
      </c>
      <c r="F481" s="12">
        <v>182.25</v>
      </c>
      <c r="G481" s="12">
        <v>110.26956251154</v>
      </c>
      <c r="H481" s="12" t="s">
        <v>0</v>
      </c>
      <c r="I481" s="12">
        <v>0.47249400000000003</v>
      </c>
      <c r="J481" s="12">
        <v>55.469349999999999</v>
      </c>
      <c r="K481" s="12">
        <v>86.540109999999999</v>
      </c>
      <c r="L481" s="12" t="s">
        <v>1</v>
      </c>
      <c r="M481" s="12" t="s">
        <v>0</v>
      </c>
      <c r="N481" s="12">
        <v>6.6468284516217402</v>
      </c>
      <c r="O481" s="12">
        <v>21.5</v>
      </c>
      <c r="P481" s="12">
        <v>3467.16</v>
      </c>
      <c r="Q481" s="12" t="s">
        <v>1</v>
      </c>
    </row>
    <row r="482" spans="1:17" x14ac:dyDescent="0.25">
      <c r="A482" s="12">
        <f t="shared" si="7"/>
        <v>481</v>
      </c>
      <c r="B482" s="12">
        <v>0.89957900000000002</v>
      </c>
      <c r="C482" s="12">
        <v>0.157439</v>
      </c>
      <c r="D482" s="12">
        <v>0.64985899999999996</v>
      </c>
      <c r="E482" s="12">
        <v>130.319399594348</v>
      </c>
      <c r="F482" s="12">
        <v>42.25</v>
      </c>
      <c r="G482" s="12">
        <v>102.110748150872</v>
      </c>
      <c r="H482" s="12" t="s">
        <v>0</v>
      </c>
      <c r="I482" s="12">
        <v>1.019663</v>
      </c>
      <c r="J482" s="12">
        <v>178.71950000000001</v>
      </c>
      <c r="K482" s="12">
        <v>393.41681</v>
      </c>
      <c r="L482" s="12" t="s">
        <v>1</v>
      </c>
      <c r="M482" s="12" t="s">
        <v>0</v>
      </c>
      <c r="N482" s="12">
        <v>21.415752257050201</v>
      </c>
      <c r="O482" s="12">
        <v>14.5</v>
      </c>
      <c r="P482" s="12">
        <v>3611.68</v>
      </c>
      <c r="Q482" s="12" t="s">
        <v>1</v>
      </c>
    </row>
    <row r="483" spans="1:17" x14ac:dyDescent="0.25">
      <c r="A483" s="12">
        <f t="shared" si="7"/>
        <v>482</v>
      </c>
      <c r="B483" s="12">
        <v>0.803593</v>
      </c>
      <c r="C483" s="12">
        <v>0.39736900000000003</v>
      </c>
      <c r="D483" s="12">
        <v>0.63674799999999998</v>
      </c>
      <c r="E483" s="12">
        <v>665.17672884091496</v>
      </c>
      <c r="F483" s="12">
        <v>42.25</v>
      </c>
      <c r="G483" s="12">
        <v>4.6091079001688798E-3</v>
      </c>
      <c r="H483" s="12" t="s">
        <v>0</v>
      </c>
      <c r="I483" s="12">
        <v>0.94287399999999999</v>
      </c>
      <c r="J483" s="12">
        <v>298.68450000000001</v>
      </c>
      <c r="K483" s="12">
        <v>385.68132000000003</v>
      </c>
      <c r="L483" s="12" t="s">
        <v>1</v>
      </c>
      <c r="M483" s="12" t="s">
        <v>0</v>
      </c>
      <c r="N483" s="12">
        <v>35.791020314072703</v>
      </c>
      <c r="O483" s="12">
        <v>14.5</v>
      </c>
      <c r="P483" s="12">
        <v>7324.78</v>
      </c>
      <c r="Q483" s="12" t="s">
        <v>1</v>
      </c>
    </row>
    <row r="484" spans="1:17" x14ac:dyDescent="0.25">
      <c r="A484" s="12">
        <f t="shared" si="7"/>
        <v>483</v>
      </c>
      <c r="B484" s="12">
        <v>0.61876399999999998</v>
      </c>
      <c r="C484" s="12">
        <v>0.16422100000000001</v>
      </c>
      <c r="D484" s="12">
        <v>0.193526</v>
      </c>
      <c r="E484" s="12">
        <v>139.761856638762</v>
      </c>
      <c r="F484" s="12">
        <v>64</v>
      </c>
      <c r="G484" s="12">
        <v>157.629744867705</v>
      </c>
      <c r="H484" s="12" t="s">
        <v>0</v>
      </c>
      <c r="I484" s="12">
        <v>0.79501100000000002</v>
      </c>
      <c r="J484" s="12">
        <v>182.1105</v>
      </c>
      <c r="K484" s="12">
        <v>124.18034</v>
      </c>
      <c r="L484" s="12" t="s">
        <v>1</v>
      </c>
      <c r="M484" s="12" t="s">
        <v>0</v>
      </c>
      <c r="N484" s="12">
        <v>21.822091889287702</v>
      </c>
      <c r="O484" s="12">
        <v>16</v>
      </c>
      <c r="P484" s="12">
        <v>11882.6</v>
      </c>
      <c r="Q484" s="12" t="s">
        <v>1</v>
      </c>
    </row>
    <row r="485" spans="1:17" x14ac:dyDescent="0.25">
      <c r="A485" s="12">
        <f t="shared" si="7"/>
        <v>484</v>
      </c>
      <c r="B485" s="12">
        <v>1.0848800000000001</v>
      </c>
      <c r="C485" s="12">
        <v>8.0409100000000001E-3</v>
      </c>
      <c r="D485" s="12">
        <v>0.70998499999999998</v>
      </c>
      <c r="E485" s="12">
        <v>6.0745072975434597</v>
      </c>
      <c r="F485" s="12">
        <v>56.25</v>
      </c>
      <c r="G485" s="12">
        <v>270.58176889022297</v>
      </c>
      <c r="H485" s="12" t="s">
        <v>0</v>
      </c>
      <c r="I485" s="12">
        <v>1.1678999999999999</v>
      </c>
      <c r="J485" s="12">
        <v>104.020455</v>
      </c>
      <c r="K485" s="12">
        <v>428.89114999999998</v>
      </c>
      <c r="L485" s="12" t="s">
        <v>1</v>
      </c>
      <c r="M485" s="12" t="s">
        <v>0</v>
      </c>
      <c r="N485" s="12">
        <v>12.464651557024499</v>
      </c>
      <c r="O485" s="12">
        <v>15.5</v>
      </c>
      <c r="P485" s="12">
        <v>1295.98</v>
      </c>
      <c r="Q485" s="12" t="s">
        <v>1</v>
      </c>
    </row>
    <row r="486" spans="1:17" x14ac:dyDescent="0.25">
      <c r="A486" s="12">
        <f t="shared" si="7"/>
        <v>485</v>
      </c>
      <c r="B486" s="12">
        <v>0.90958300000000003</v>
      </c>
      <c r="C486" s="12">
        <v>0.35427700000000001</v>
      </c>
      <c r="D486" s="12">
        <v>0.65050600000000003</v>
      </c>
      <c r="E486" s="12">
        <v>538.66640297659103</v>
      </c>
      <c r="F486" s="12">
        <v>36</v>
      </c>
      <c r="G486" s="12">
        <v>1.9904184837680601</v>
      </c>
      <c r="H486" s="12" t="s">
        <v>0</v>
      </c>
      <c r="I486" s="12">
        <v>1.027666</v>
      </c>
      <c r="J486" s="12">
        <v>277.13850000000002</v>
      </c>
      <c r="K486" s="12">
        <v>393.79854</v>
      </c>
      <c r="L486" s="12" t="s">
        <v>1</v>
      </c>
      <c r="M486" s="12" t="s">
        <v>0</v>
      </c>
      <c r="N486" s="12">
        <v>33.209187899980201</v>
      </c>
      <c r="O486" s="12">
        <v>14</v>
      </c>
      <c r="P486" s="12">
        <v>6785.05</v>
      </c>
      <c r="Q486" s="12" t="s">
        <v>1</v>
      </c>
    </row>
    <row r="487" spans="1:17" x14ac:dyDescent="0.25">
      <c r="A487" s="12">
        <f t="shared" si="7"/>
        <v>486</v>
      </c>
      <c r="B487" s="12">
        <v>0.47981699999999999</v>
      </c>
      <c r="C487" s="12">
        <v>1.12829E-2</v>
      </c>
      <c r="D487" s="12">
        <v>0.218141</v>
      </c>
      <c r="E487" s="12">
        <v>7.0697147753328</v>
      </c>
      <c r="F487" s="12">
        <v>132.25</v>
      </c>
      <c r="G487" s="12">
        <v>41.647043423531599</v>
      </c>
      <c r="H487" s="12" t="s">
        <v>0</v>
      </c>
      <c r="I487" s="12">
        <v>0.68385300000000004</v>
      </c>
      <c r="J487" s="12">
        <v>105.64145000000001</v>
      </c>
      <c r="K487" s="12">
        <v>138.70319000000001</v>
      </c>
      <c r="L487" s="12" t="s">
        <v>1</v>
      </c>
      <c r="M487" s="12" t="s">
        <v>0</v>
      </c>
      <c r="N487" s="12">
        <v>12.6588935246325</v>
      </c>
      <c r="O487" s="12">
        <v>19.5</v>
      </c>
      <c r="P487" s="12">
        <v>4944.49</v>
      </c>
      <c r="Q487" s="12" t="s">
        <v>1</v>
      </c>
    </row>
    <row r="488" spans="1:17" x14ac:dyDescent="0.25">
      <c r="A488" s="12">
        <f t="shared" si="7"/>
        <v>487</v>
      </c>
      <c r="B488" s="12">
        <v>0.81649400000000005</v>
      </c>
      <c r="C488" s="12">
        <v>0.18428800000000001</v>
      </c>
      <c r="D488" s="12">
        <v>0.390376</v>
      </c>
      <c r="E488" s="12">
        <v>169.63485629453299</v>
      </c>
      <c r="F488" s="12">
        <v>49</v>
      </c>
      <c r="G488" s="12">
        <v>14.4343786293863</v>
      </c>
      <c r="H488" s="12" t="s">
        <v>0</v>
      </c>
      <c r="I488" s="12">
        <v>0.95319500000000001</v>
      </c>
      <c r="J488" s="12">
        <v>192.14400000000001</v>
      </c>
      <c r="K488" s="12">
        <v>240.32184000000001</v>
      </c>
      <c r="L488" s="12" t="s">
        <v>1</v>
      </c>
      <c r="M488" s="12" t="s">
        <v>0</v>
      </c>
      <c r="N488" s="12">
        <v>23.024394661347301</v>
      </c>
      <c r="O488" s="12">
        <v>15</v>
      </c>
      <c r="P488" s="12">
        <v>5913.27</v>
      </c>
      <c r="Q488" s="12" t="s">
        <v>1</v>
      </c>
    </row>
    <row r="489" spans="1:17" x14ac:dyDescent="0.25">
      <c r="A489" s="12">
        <f t="shared" si="7"/>
        <v>488</v>
      </c>
      <c r="B489" s="12">
        <v>0.97189800000000004</v>
      </c>
      <c r="C489" s="12">
        <v>0.33537</v>
      </c>
      <c r="D489" s="12">
        <v>0.59831800000000002</v>
      </c>
      <c r="E489" s="12">
        <v>487.36681269450997</v>
      </c>
      <c r="F489" s="12">
        <v>30.25</v>
      </c>
      <c r="G489" s="12">
        <v>0.41519486657909499</v>
      </c>
      <c r="H489" s="12" t="s">
        <v>0</v>
      </c>
      <c r="I489" s="12">
        <v>1.077518</v>
      </c>
      <c r="J489" s="12">
        <v>267.685</v>
      </c>
      <c r="K489" s="12">
        <v>363.00761999999997</v>
      </c>
      <c r="L489" s="12" t="s">
        <v>1</v>
      </c>
      <c r="M489" s="12" t="s">
        <v>0</v>
      </c>
      <c r="N489" s="12">
        <v>32.076385861243402</v>
      </c>
      <c r="O489" s="12">
        <v>13.5</v>
      </c>
      <c r="P489" s="12">
        <v>7064.81</v>
      </c>
      <c r="Q489" s="12" t="s">
        <v>1</v>
      </c>
    </row>
    <row r="490" spans="1:17" x14ac:dyDescent="0.25">
      <c r="A490" s="12">
        <f t="shared" si="7"/>
        <v>489</v>
      </c>
      <c r="B490" s="12">
        <v>1.0365599999999999</v>
      </c>
      <c r="C490" s="12">
        <v>0.67950299999999997</v>
      </c>
      <c r="D490" s="12">
        <v>0.83876799999999996</v>
      </c>
      <c r="E490" s="12">
        <v>1822.8559184703399</v>
      </c>
      <c r="F490" s="12">
        <v>25</v>
      </c>
      <c r="G490" s="12">
        <v>7.22254580521673</v>
      </c>
      <c r="H490" s="12" t="s">
        <v>0</v>
      </c>
      <c r="I490" s="12">
        <v>1.12924</v>
      </c>
      <c r="J490" s="12">
        <v>439.75150000000002</v>
      </c>
      <c r="K490" s="12">
        <v>504.87311999999997</v>
      </c>
      <c r="L490" s="12" t="s">
        <v>1</v>
      </c>
      <c r="M490" s="12" t="s">
        <v>0</v>
      </c>
      <c r="N490" s="12">
        <v>52.694916775540598</v>
      </c>
      <c r="O490" s="12">
        <v>13</v>
      </c>
      <c r="P490" s="12">
        <v>8280.93</v>
      </c>
      <c r="Q490" s="12" t="s">
        <v>1</v>
      </c>
    </row>
    <row r="491" spans="1:17" x14ac:dyDescent="0.25">
      <c r="A491" s="12">
        <f t="shared" si="7"/>
        <v>490</v>
      </c>
      <c r="B491" s="12">
        <v>0.52878099999999995</v>
      </c>
      <c r="C491" s="12">
        <v>-8.2253299999999994E-3</v>
      </c>
      <c r="D491" s="12">
        <v>0.17963399999999999</v>
      </c>
      <c r="E491" s="12">
        <v>2.2203060300169901</v>
      </c>
      <c r="F491" s="12">
        <v>132.25</v>
      </c>
      <c r="G491" s="12">
        <v>28.056032192906699</v>
      </c>
      <c r="H491" s="12" t="s">
        <v>0</v>
      </c>
      <c r="I491" s="12">
        <v>0.723024</v>
      </c>
      <c r="J491" s="12">
        <v>95.887334999999993</v>
      </c>
      <c r="K491" s="12">
        <v>115.98406</v>
      </c>
      <c r="L491" s="12" t="s">
        <v>1</v>
      </c>
      <c r="M491" s="12" t="s">
        <v>0</v>
      </c>
      <c r="N491" s="12">
        <v>11.4900691359856</v>
      </c>
      <c r="O491" s="12">
        <v>19.5</v>
      </c>
      <c r="P491" s="12">
        <v>5366.67</v>
      </c>
      <c r="Q491" s="12" t="s">
        <v>1</v>
      </c>
    </row>
    <row r="492" spans="1:17" x14ac:dyDescent="0.25">
      <c r="A492" s="12">
        <f t="shared" si="7"/>
        <v>491</v>
      </c>
      <c r="B492" s="12">
        <v>1.0582100000000001</v>
      </c>
      <c r="C492" s="12">
        <v>2.3375799999999999E-2</v>
      </c>
      <c r="D492" s="12">
        <v>0.72759200000000002</v>
      </c>
      <c r="E492" s="12">
        <v>11.4476166871028</v>
      </c>
      <c r="F492" s="12">
        <v>56.25</v>
      </c>
      <c r="G492" s="12">
        <v>266.61521503096202</v>
      </c>
      <c r="H492" s="12" t="s">
        <v>0</v>
      </c>
      <c r="I492" s="12">
        <v>1.14656</v>
      </c>
      <c r="J492" s="12">
        <v>111.6879</v>
      </c>
      <c r="K492" s="12">
        <v>439.27928000000003</v>
      </c>
      <c r="L492" s="12" t="s">
        <v>1</v>
      </c>
      <c r="M492" s="12" t="s">
        <v>0</v>
      </c>
      <c r="N492" s="12">
        <v>13.3834326780804</v>
      </c>
      <c r="O492" s="12">
        <v>15.5</v>
      </c>
      <c r="P492" s="12">
        <v>1340.15</v>
      </c>
      <c r="Q492" s="12" t="s">
        <v>1</v>
      </c>
    </row>
    <row r="493" spans="1:17" x14ac:dyDescent="0.25">
      <c r="A493" s="12">
        <f t="shared" si="7"/>
        <v>492</v>
      </c>
      <c r="B493" s="12">
        <v>1.0082899999999999</v>
      </c>
      <c r="C493" s="12">
        <v>7.0639199999999996E-3</v>
      </c>
      <c r="D493" s="12">
        <v>0.65167799999999998</v>
      </c>
      <c r="E493" s="12">
        <v>5.7893930633781201</v>
      </c>
      <c r="F493" s="12">
        <v>64</v>
      </c>
      <c r="G493" s="12">
        <v>257.399386628635</v>
      </c>
      <c r="H493" s="12" t="s">
        <v>0</v>
      </c>
      <c r="I493" s="12">
        <v>1.10663</v>
      </c>
      <c r="J493" s="12">
        <v>103.53196</v>
      </c>
      <c r="K493" s="12">
        <v>394.49002000000002</v>
      </c>
      <c r="L493" s="12" t="s">
        <v>1</v>
      </c>
      <c r="M493" s="12" t="s">
        <v>0</v>
      </c>
      <c r="N493" s="12">
        <v>12.406115762671799</v>
      </c>
      <c r="O493" s="12">
        <v>16</v>
      </c>
      <c r="P493" s="12">
        <v>1444.06</v>
      </c>
      <c r="Q493" s="12" t="s">
        <v>1</v>
      </c>
    </row>
    <row r="494" spans="1:17" x14ac:dyDescent="0.25">
      <c r="A494" s="12">
        <f t="shared" si="7"/>
        <v>493</v>
      </c>
      <c r="B494" s="12">
        <v>1.1327499999999999</v>
      </c>
      <c r="C494" s="12">
        <v>-4.0676799999999999E-2</v>
      </c>
      <c r="D494" s="12">
        <v>0.62987400000000004</v>
      </c>
      <c r="E494" s="12">
        <v>0.206335829540956</v>
      </c>
      <c r="F494" s="12">
        <v>81</v>
      </c>
      <c r="G494" s="12">
        <v>311.92263059482798</v>
      </c>
      <c r="H494" s="12" t="s">
        <v>0</v>
      </c>
      <c r="I494" s="12">
        <v>1.2061999999999999</v>
      </c>
      <c r="J494" s="12">
        <v>79.661600000000007</v>
      </c>
      <c r="K494" s="12">
        <v>381.62565999999998</v>
      </c>
      <c r="L494" s="12" t="s">
        <v>1</v>
      </c>
      <c r="M494" s="12" t="s">
        <v>0</v>
      </c>
      <c r="N494" s="12">
        <v>9.5457579614996408</v>
      </c>
      <c r="O494" s="12">
        <v>17</v>
      </c>
      <c r="P494" s="12">
        <v>853.61400000000003</v>
      </c>
      <c r="Q494" s="12" t="s">
        <v>1</v>
      </c>
    </row>
    <row r="495" spans="1:17" x14ac:dyDescent="0.25">
      <c r="A495" s="12">
        <f t="shared" si="7"/>
        <v>494</v>
      </c>
      <c r="B495" s="12">
        <v>0.80389500000000003</v>
      </c>
      <c r="C495" s="12">
        <v>6.77952E-2</v>
      </c>
      <c r="D495" s="12">
        <v>0.69179299999999999</v>
      </c>
      <c r="E495" s="12">
        <v>36.539552640294801</v>
      </c>
      <c r="F495" s="12">
        <v>72.25</v>
      </c>
      <c r="G495" s="12">
        <v>194.55358252655199</v>
      </c>
      <c r="H495" s="12" t="s">
        <v>0</v>
      </c>
      <c r="I495" s="12">
        <v>0.94311599999999995</v>
      </c>
      <c r="J495" s="12">
        <v>133.89760000000001</v>
      </c>
      <c r="K495" s="12">
        <v>418.15787</v>
      </c>
      <c r="L495" s="12" t="s">
        <v>1</v>
      </c>
      <c r="M495" s="12" t="s">
        <v>0</v>
      </c>
      <c r="N495" s="12">
        <v>16.0447955002874</v>
      </c>
      <c r="O495" s="12">
        <v>16.5</v>
      </c>
      <c r="P495" s="12">
        <v>2208.89</v>
      </c>
      <c r="Q495" s="12" t="s">
        <v>1</v>
      </c>
    </row>
    <row r="496" spans="1:17" x14ac:dyDescent="0.25">
      <c r="A496" s="12">
        <f t="shared" si="7"/>
        <v>495</v>
      </c>
      <c r="B496" s="12">
        <v>0.54724600000000001</v>
      </c>
      <c r="C496" s="12">
        <v>2.8610500000000001E-2</v>
      </c>
      <c r="D496" s="12">
        <v>0.16910900000000001</v>
      </c>
      <c r="E496" s="12">
        <v>13.6683023327585</v>
      </c>
      <c r="F496" s="12">
        <v>100</v>
      </c>
      <c r="G496" s="12">
        <v>0.345808441358603</v>
      </c>
      <c r="H496" s="12" t="s">
        <v>0</v>
      </c>
      <c r="I496" s="12">
        <v>0.73779600000000001</v>
      </c>
      <c r="J496" s="12">
        <v>114.30525</v>
      </c>
      <c r="K496" s="12">
        <v>109.77431</v>
      </c>
      <c r="L496" s="12" t="s">
        <v>1</v>
      </c>
      <c r="M496" s="12" t="s">
        <v>0</v>
      </c>
      <c r="N496" s="12">
        <v>13.6970667200848</v>
      </c>
      <c r="O496" s="12">
        <v>18</v>
      </c>
      <c r="P496" s="12">
        <v>7514.64</v>
      </c>
      <c r="Q496" s="12" t="s">
        <v>1</v>
      </c>
    </row>
    <row r="497" spans="1:17" x14ac:dyDescent="0.25">
      <c r="A497" s="12">
        <f t="shared" si="7"/>
        <v>496</v>
      </c>
      <c r="B497" s="12">
        <v>1.1078699999999999</v>
      </c>
      <c r="C497" s="12">
        <v>5.1079699999999999E-2</v>
      </c>
      <c r="D497" s="12">
        <v>0.76650600000000002</v>
      </c>
      <c r="E497" s="12">
        <v>25.434833782562201</v>
      </c>
      <c r="F497" s="12">
        <v>56.25</v>
      </c>
      <c r="G497" s="12">
        <v>257.98520367798801</v>
      </c>
      <c r="H497" s="12" t="s">
        <v>0</v>
      </c>
      <c r="I497" s="12">
        <v>1.1862900000000001</v>
      </c>
      <c r="J497" s="12">
        <v>125.53985</v>
      </c>
      <c r="K497" s="12">
        <v>462.23854</v>
      </c>
      <c r="L497" s="12" t="s">
        <v>1</v>
      </c>
      <c r="M497" s="12" t="s">
        <v>0</v>
      </c>
      <c r="N497" s="12">
        <v>15.0432959245479</v>
      </c>
      <c r="O497" s="12">
        <v>15.5</v>
      </c>
      <c r="P497" s="12">
        <v>1437.4</v>
      </c>
      <c r="Q497" s="12" t="s">
        <v>1</v>
      </c>
    </row>
    <row r="498" spans="1:17" x14ac:dyDescent="0.25">
      <c r="A498" s="12">
        <f t="shared" si="7"/>
        <v>497</v>
      </c>
      <c r="B498" s="12">
        <v>0.101816</v>
      </c>
      <c r="C498" s="12">
        <v>2.6930900000000001E-2</v>
      </c>
      <c r="D498" s="12">
        <v>0.20803099999999999</v>
      </c>
      <c r="E498" s="12">
        <v>12.934340763125901</v>
      </c>
      <c r="F498" s="12">
        <v>110.25</v>
      </c>
      <c r="G498" s="12">
        <v>80.942804620754302</v>
      </c>
      <c r="H498" s="12" t="s">
        <v>0</v>
      </c>
      <c r="I498" s="12">
        <v>0.38145200000000001</v>
      </c>
      <c r="J498" s="12">
        <v>113.46545</v>
      </c>
      <c r="K498" s="12">
        <v>132.73829000000001</v>
      </c>
      <c r="L498" s="12" t="s">
        <v>1</v>
      </c>
      <c r="M498" s="12" t="s">
        <v>0</v>
      </c>
      <c r="N498" s="12">
        <v>13.596434451387299</v>
      </c>
      <c r="O498" s="12">
        <v>18.5</v>
      </c>
      <c r="P498" s="12">
        <v>4016.16</v>
      </c>
      <c r="Q498" s="12" t="s">
        <v>1</v>
      </c>
    </row>
    <row r="499" spans="1:17" x14ac:dyDescent="0.25">
      <c r="A499" s="12">
        <f t="shared" si="7"/>
        <v>498</v>
      </c>
      <c r="B499" s="12">
        <v>0.34840199999999999</v>
      </c>
      <c r="C499" s="12">
        <v>-3.00548E-3</v>
      </c>
      <c r="D499" s="12">
        <v>0.20000899999999999</v>
      </c>
      <c r="E499" s="12">
        <v>3.2501363310824698</v>
      </c>
      <c r="F499" s="12">
        <v>132.25</v>
      </c>
      <c r="G499" s="12">
        <v>38.825873138675099</v>
      </c>
      <c r="H499" s="12" t="s">
        <v>0</v>
      </c>
      <c r="I499" s="12">
        <v>0.57872100000000004</v>
      </c>
      <c r="J499" s="12">
        <v>98.497259999999997</v>
      </c>
      <c r="K499" s="12">
        <v>128.00531000000001</v>
      </c>
      <c r="L499" s="12" t="s">
        <v>1</v>
      </c>
      <c r="M499" s="12" t="s">
        <v>0</v>
      </c>
      <c r="N499" s="12">
        <v>11.802813448774501</v>
      </c>
      <c r="O499" s="12">
        <v>19.5</v>
      </c>
      <c r="P499" s="12">
        <v>5025.67</v>
      </c>
      <c r="Q499" s="12" t="s">
        <v>1</v>
      </c>
    </row>
    <row r="500" spans="1:17" x14ac:dyDescent="0.25">
      <c r="A500" s="12">
        <f t="shared" si="7"/>
        <v>499</v>
      </c>
      <c r="B500" s="12">
        <v>1.1071800000000001</v>
      </c>
      <c r="C500" s="12">
        <v>5.8206800000000003E-2</v>
      </c>
      <c r="D500" s="12">
        <v>0.64567799999999997</v>
      </c>
      <c r="E500" s="12">
        <v>29.924313650301102</v>
      </c>
      <c r="F500" s="12">
        <v>56.25</v>
      </c>
      <c r="G500" s="12">
        <v>235.71418837005001</v>
      </c>
      <c r="H500" s="12" t="s">
        <v>0</v>
      </c>
      <c r="I500" s="12">
        <v>1.18574</v>
      </c>
      <c r="J500" s="12">
        <v>129.10339999999999</v>
      </c>
      <c r="K500" s="12">
        <v>390.95001999999999</v>
      </c>
      <c r="L500" s="12" t="s">
        <v>1</v>
      </c>
      <c r="M500" s="12" t="s">
        <v>0</v>
      </c>
      <c r="N500" s="12">
        <v>15.4703120249489</v>
      </c>
      <c r="O500" s="12">
        <v>15.5</v>
      </c>
      <c r="P500" s="12">
        <v>1696.16</v>
      </c>
      <c r="Q500" s="12" t="s">
        <v>1</v>
      </c>
    </row>
    <row r="501" spans="1:17" x14ac:dyDescent="0.25">
      <c r="A501" s="12">
        <f t="shared" si="7"/>
        <v>500</v>
      </c>
      <c r="B501" s="12">
        <v>1.0625100000000001</v>
      </c>
      <c r="C501" s="12">
        <v>0.121312</v>
      </c>
      <c r="D501" s="12">
        <v>0.69000600000000001</v>
      </c>
      <c r="E501" s="12">
        <v>85.585142075614101</v>
      </c>
      <c r="F501" s="12">
        <v>36</v>
      </c>
      <c r="G501" s="12">
        <v>135.78570461700099</v>
      </c>
      <c r="H501" s="12" t="s">
        <v>0</v>
      </c>
      <c r="I501" s="12">
        <v>1.1499999999999999</v>
      </c>
      <c r="J501" s="12">
        <v>160.65600000000001</v>
      </c>
      <c r="K501" s="12">
        <v>417.10354000000001</v>
      </c>
      <c r="L501" s="12" t="s">
        <v>1</v>
      </c>
      <c r="M501" s="12" t="s">
        <v>0</v>
      </c>
      <c r="N501" s="12">
        <v>19.251223815021099</v>
      </c>
      <c r="O501" s="12">
        <v>14</v>
      </c>
      <c r="P501" s="12">
        <v>3046.76</v>
      </c>
      <c r="Q501" s="12" t="s">
        <v>1</v>
      </c>
    </row>
    <row r="502" spans="1:17" x14ac:dyDescent="0.25">
      <c r="A502" s="12">
        <f t="shared" si="7"/>
        <v>501</v>
      </c>
      <c r="B502" s="12">
        <v>0.99713700000000005</v>
      </c>
      <c r="C502" s="12">
        <v>0.30349100000000001</v>
      </c>
      <c r="D502" s="12">
        <v>0.62172000000000005</v>
      </c>
      <c r="E502" s="12">
        <v>406.682636185729</v>
      </c>
      <c r="F502" s="12">
        <v>30.25</v>
      </c>
      <c r="G502" s="12">
        <v>5.48419405441921</v>
      </c>
      <c r="H502" s="12" t="s">
        <v>0</v>
      </c>
      <c r="I502" s="12">
        <v>1.097709</v>
      </c>
      <c r="J502" s="12">
        <v>251.74549999999999</v>
      </c>
      <c r="K502" s="12">
        <v>376.81479999999999</v>
      </c>
      <c r="L502" s="12" t="s">
        <v>1</v>
      </c>
      <c r="M502" s="12" t="s">
        <v>0</v>
      </c>
      <c r="N502" s="12">
        <v>30.1663738977965</v>
      </c>
      <c r="O502" s="12">
        <v>13.5</v>
      </c>
      <c r="P502" s="12">
        <v>6445.23</v>
      </c>
      <c r="Q502" s="12" t="s">
        <v>1</v>
      </c>
    </row>
    <row r="503" spans="1:17" x14ac:dyDescent="0.25">
      <c r="A503" s="12">
        <f t="shared" si="7"/>
        <v>502</v>
      </c>
      <c r="B503" s="12">
        <v>0.58903499999999998</v>
      </c>
      <c r="C503" s="12">
        <v>-2.26424E-2</v>
      </c>
      <c r="D503" s="12">
        <v>0.14132400000000001</v>
      </c>
      <c r="E503" s="12">
        <v>0.39222497592724698</v>
      </c>
      <c r="F503" s="12">
        <v>132.25</v>
      </c>
      <c r="G503" s="12">
        <v>23.522500000000001</v>
      </c>
      <c r="H503" s="12" t="s">
        <v>0</v>
      </c>
      <c r="I503" s="12">
        <v>0.77122800000000002</v>
      </c>
      <c r="J503" s="12">
        <v>88.678799999999995</v>
      </c>
      <c r="K503" s="12">
        <v>93.381159999999994</v>
      </c>
      <c r="L503" s="12" t="s">
        <v>1</v>
      </c>
      <c r="M503" s="12" t="s">
        <v>0</v>
      </c>
      <c r="N503" s="12">
        <v>10.6262786727386</v>
      </c>
      <c r="O503" s="12">
        <v>19.5</v>
      </c>
      <c r="P503" s="12">
        <v>5529.75</v>
      </c>
      <c r="Q503" s="12" t="s">
        <v>1</v>
      </c>
    </row>
    <row r="504" spans="1:17" x14ac:dyDescent="0.25">
      <c r="A504" s="12">
        <f t="shared" si="7"/>
        <v>503</v>
      </c>
      <c r="B504" s="12">
        <v>1.0341</v>
      </c>
      <c r="C504" s="12">
        <v>2.1169E-2</v>
      </c>
      <c r="D504" s="12">
        <v>0.63848000000000005</v>
      </c>
      <c r="E504" s="12">
        <v>10.5703893810875</v>
      </c>
      <c r="F504" s="12">
        <v>64</v>
      </c>
      <c r="G504" s="12">
        <v>248.03574729667801</v>
      </c>
      <c r="H504" s="12" t="s">
        <v>0</v>
      </c>
      <c r="I504" s="12">
        <v>1.1272</v>
      </c>
      <c r="J504" s="12">
        <v>110.58450000000001</v>
      </c>
      <c r="K504" s="12">
        <v>386.70319999999998</v>
      </c>
      <c r="L504" s="12" t="s">
        <v>1</v>
      </c>
      <c r="M504" s="12" t="s">
        <v>0</v>
      </c>
      <c r="N504" s="12">
        <v>13.251213524376301</v>
      </c>
      <c r="O504" s="12">
        <v>16</v>
      </c>
      <c r="P504" s="12">
        <v>1551.56</v>
      </c>
      <c r="Q504" s="12" t="s">
        <v>1</v>
      </c>
    </row>
    <row r="505" spans="1:17" x14ac:dyDescent="0.25">
      <c r="A505" s="12">
        <f t="shared" si="7"/>
        <v>504</v>
      </c>
      <c r="B505" s="12">
        <v>1.0138199999999999</v>
      </c>
      <c r="C505" s="12">
        <v>4.2039600000000003E-2</v>
      </c>
      <c r="D505" s="12">
        <v>0.64090400000000003</v>
      </c>
      <c r="E505" s="12">
        <v>20.264974524633899</v>
      </c>
      <c r="F505" s="12">
        <v>56.25</v>
      </c>
      <c r="G505" s="12">
        <v>208.50727018502499</v>
      </c>
      <c r="H505" s="12" t="s">
        <v>0</v>
      </c>
      <c r="I505" s="12">
        <v>1.1110500000000001</v>
      </c>
      <c r="J505" s="12">
        <v>121.0198</v>
      </c>
      <c r="K505" s="12">
        <v>388.13335999999998</v>
      </c>
      <c r="L505" s="12" t="s">
        <v>1</v>
      </c>
      <c r="M505" s="12" t="s">
        <v>0</v>
      </c>
      <c r="N505" s="12">
        <v>14.501663528589599</v>
      </c>
      <c r="O505" s="12">
        <v>15.5</v>
      </c>
      <c r="P505" s="12">
        <v>2029.48</v>
      </c>
      <c r="Q505" s="12" t="s">
        <v>1</v>
      </c>
    </row>
    <row r="506" spans="1:17" x14ac:dyDescent="0.25">
      <c r="A506" s="12">
        <f t="shared" si="7"/>
        <v>505</v>
      </c>
      <c r="B506" s="12">
        <v>1.0397000000000001</v>
      </c>
      <c r="C506" s="12">
        <v>3.7506699999999997E-2</v>
      </c>
      <c r="D506" s="12">
        <v>0.65919000000000005</v>
      </c>
      <c r="E506" s="12">
        <v>17.893555065873301</v>
      </c>
      <c r="F506" s="12">
        <v>49</v>
      </c>
      <c r="G506" s="12">
        <v>221.49023334133901</v>
      </c>
      <c r="H506" s="12" t="s">
        <v>0</v>
      </c>
      <c r="I506" s="12">
        <v>1.1316999999999999</v>
      </c>
      <c r="J506" s="12">
        <v>118.75335</v>
      </c>
      <c r="K506" s="12">
        <v>398.9221</v>
      </c>
      <c r="L506" s="12" t="s">
        <v>1</v>
      </c>
      <c r="M506" s="12" t="s">
        <v>0</v>
      </c>
      <c r="N506" s="12">
        <v>14.230077430245601</v>
      </c>
      <c r="O506" s="12">
        <v>15</v>
      </c>
      <c r="P506" s="12">
        <v>1867.87</v>
      </c>
      <c r="Q506" s="12" t="s">
        <v>1</v>
      </c>
    </row>
    <row r="507" spans="1:17" x14ac:dyDescent="0.25">
      <c r="A507" s="12">
        <f t="shared" si="7"/>
        <v>506</v>
      </c>
      <c r="B507" s="12">
        <v>0.13237299999999999</v>
      </c>
      <c r="C507" s="12">
        <v>-4.7761899999999996E-3</v>
      </c>
      <c r="D507" s="12">
        <v>0.17222799999999999</v>
      </c>
      <c r="E507" s="12">
        <v>2.8788668239000201</v>
      </c>
      <c r="F507" s="12">
        <v>132.25</v>
      </c>
      <c r="G507" s="12">
        <v>76.483410846312594</v>
      </c>
      <c r="H507" s="12" t="s">
        <v>0</v>
      </c>
      <c r="I507" s="12">
        <v>0.40589799999999998</v>
      </c>
      <c r="J507" s="12">
        <v>97.611904999999993</v>
      </c>
      <c r="K507" s="12">
        <v>111.61452</v>
      </c>
      <c r="L507" s="12" t="s">
        <v>1</v>
      </c>
      <c r="M507" s="12" t="s">
        <v>0</v>
      </c>
      <c r="N507" s="12">
        <v>11.696722376789999</v>
      </c>
      <c r="O507" s="12">
        <v>19.5</v>
      </c>
      <c r="P507" s="12">
        <v>4107.8999999999996</v>
      </c>
      <c r="Q507" s="12" t="s">
        <v>1</v>
      </c>
    </row>
    <row r="508" spans="1:17" x14ac:dyDescent="0.25">
      <c r="A508" s="12">
        <f t="shared" si="7"/>
        <v>507</v>
      </c>
      <c r="B508" s="12">
        <v>0.76235200000000003</v>
      </c>
      <c r="C508" s="12">
        <v>4.3582299999999997E-2</v>
      </c>
      <c r="D508" s="12">
        <v>0.75578500000000004</v>
      </c>
      <c r="E508" s="12">
        <v>21.105695201286299</v>
      </c>
      <c r="F508" s="12">
        <v>72.25</v>
      </c>
      <c r="G508" s="12">
        <v>224.40942913191901</v>
      </c>
      <c r="H508" s="12" t="s">
        <v>0</v>
      </c>
      <c r="I508" s="12">
        <v>0.90988100000000005</v>
      </c>
      <c r="J508" s="12">
        <v>121.79115</v>
      </c>
      <c r="K508" s="12">
        <v>455.91314999999997</v>
      </c>
      <c r="L508" s="12" t="s">
        <v>1</v>
      </c>
      <c r="M508" s="12" t="s">
        <v>0</v>
      </c>
      <c r="N508" s="12">
        <v>14.594093512466401</v>
      </c>
      <c r="O508" s="12">
        <v>16.5</v>
      </c>
      <c r="P508" s="12">
        <v>1832.19</v>
      </c>
      <c r="Q508" s="12" t="s">
        <v>1</v>
      </c>
    </row>
    <row r="509" spans="1:17" x14ac:dyDescent="0.25">
      <c r="A509" s="12">
        <f t="shared" si="7"/>
        <v>508</v>
      </c>
      <c r="B509" s="12">
        <v>0.93417099999999997</v>
      </c>
      <c r="C509" s="12">
        <v>9.3528899999999998E-2</v>
      </c>
      <c r="D509" s="12">
        <v>0.68323199999999995</v>
      </c>
      <c r="E509" s="12">
        <v>57.556732409248902</v>
      </c>
      <c r="F509" s="12">
        <v>56.25</v>
      </c>
      <c r="G509" s="12">
        <v>185.16573389078599</v>
      </c>
      <c r="H509" s="12" t="s">
        <v>0</v>
      </c>
      <c r="I509" s="12">
        <v>1.047336</v>
      </c>
      <c r="J509" s="12">
        <v>146.76445000000001</v>
      </c>
      <c r="K509" s="12">
        <v>413.10687999999999</v>
      </c>
      <c r="L509" s="12" t="s">
        <v>1</v>
      </c>
      <c r="M509" s="12" t="s">
        <v>0</v>
      </c>
      <c r="N509" s="12">
        <v>17.5866153460715</v>
      </c>
      <c r="O509" s="12">
        <v>15.5</v>
      </c>
      <c r="P509" s="12">
        <v>2333.2399999999998</v>
      </c>
      <c r="Q509" s="12" t="s">
        <v>1</v>
      </c>
    </row>
    <row r="510" spans="1:17" x14ac:dyDescent="0.25">
      <c r="A510" s="12">
        <f t="shared" si="7"/>
        <v>509</v>
      </c>
      <c r="B510" s="12">
        <v>0.96148199999999995</v>
      </c>
      <c r="C510" s="12">
        <v>0.156442</v>
      </c>
      <c r="D510" s="12">
        <v>0.71780600000000006</v>
      </c>
      <c r="E510" s="12">
        <v>128.95913516479399</v>
      </c>
      <c r="F510" s="12">
        <v>42.25</v>
      </c>
      <c r="G510" s="12">
        <v>120.759626347157</v>
      </c>
      <c r="H510" s="12" t="s">
        <v>0</v>
      </c>
      <c r="I510" s="12">
        <v>1.0691850000000001</v>
      </c>
      <c r="J510" s="12">
        <v>178.221</v>
      </c>
      <c r="K510" s="12">
        <v>433.50554</v>
      </c>
      <c r="L510" s="12" t="s">
        <v>1</v>
      </c>
      <c r="M510" s="12" t="s">
        <v>0</v>
      </c>
      <c r="N510" s="12">
        <v>21.356017575047801</v>
      </c>
      <c r="O510" s="12">
        <v>14.5</v>
      </c>
      <c r="P510" s="12">
        <v>3288.99</v>
      </c>
      <c r="Q510" s="12" t="s">
        <v>1</v>
      </c>
    </row>
    <row r="511" spans="1:17" x14ac:dyDescent="0.25">
      <c r="A511" s="12">
        <f t="shared" si="7"/>
        <v>510</v>
      </c>
      <c r="B511" s="12">
        <v>1.04921</v>
      </c>
      <c r="C511" s="12">
        <v>7.2943900000000006E-2</v>
      </c>
      <c r="D511" s="12">
        <v>0.63447500000000001</v>
      </c>
      <c r="E511" s="12">
        <v>40.364127389900702</v>
      </c>
      <c r="F511" s="12">
        <v>49</v>
      </c>
      <c r="G511" s="12">
        <v>192.19834145242999</v>
      </c>
      <c r="H511" s="12" t="s">
        <v>0</v>
      </c>
      <c r="I511" s="12">
        <v>1.1393599999999999</v>
      </c>
      <c r="J511" s="12">
        <v>136.47194999999999</v>
      </c>
      <c r="K511" s="12">
        <v>384.34025000000003</v>
      </c>
      <c r="L511" s="12" t="s">
        <v>1</v>
      </c>
      <c r="M511" s="12" t="s">
        <v>0</v>
      </c>
      <c r="N511" s="12">
        <v>16.353276901717699</v>
      </c>
      <c r="O511" s="12">
        <v>15</v>
      </c>
      <c r="P511" s="12">
        <v>2239.8000000000002</v>
      </c>
      <c r="Q511" s="12" t="s">
        <v>1</v>
      </c>
    </row>
    <row r="512" spans="1:17" x14ac:dyDescent="0.25">
      <c r="A512" s="12">
        <f t="shared" si="7"/>
        <v>511</v>
      </c>
      <c r="B512" s="12">
        <v>0.21249699999999999</v>
      </c>
      <c r="C512" s="12">
        <v>0.101121</v>
      </c>
      <c r="D512" s="12">
        <v>0.179567</v>
      </c>
      <c r="E512" s="12">
        <v>64.665588025001995</v>
      </c>
      <c r="F512" s="12">
        <v>90.25</v>
      </c>
      <c r="G512" s="12">
        <v>0.763876</v>
      </c>
      <c r="H512" s="12" t="s">
        <v>0</v>
      </c>
      <c r="I512" s="12">
        <v>0.469997</v>
      </c>
      <c r="J512" s="12">
        <v>150.56049999999999</v>
      </c>
      <c r="K512" s="12">
        <v>115.94453</v>
      </c>
      <c r="L512" s="12" t="s">
        <v>1</v>
      </c>
      <c r="M512" s="12" t="s">
        <v>0</v>
      </c>
      <c r="N512" s="12">
        <v>18.041491654226899</v>
      </c>
      <c r="O512" s="12">
        <v>17.5</v>
      </c>
      <c r="P512" s="12">
        <v>7619.01</v>
      </c>
      <c r="Q512" s="12" t="s">
        <v>1</v>
      </c>
    </row>
    <row r="513" spans="1:17" x14ac:dyDescent="0.25">
      <c r="A513" s="12">
        <f t="shared" si="7"/>
        <v>512</v>
      </c>
      <c r="B513" s="12">
        <v>0.83112900000000001</v>
      </c>
      <c r="C513" s="12">
        <v>0.137743</v>
      </c>
      <c r="D513" s="12">
        <v>0.40805900000000001</v>
      </c>
      <c r="E513" s="12">
        <v>104.769098730986</v>
      </c>
      <c r="F513" s="12">
        <v>56.25</v>
      </c>
      <c r="G513" s="12">
        <v>34.424421629573999</v>
      </c>
      <c r="H513" s="12" t="s">
        <v>0</v>
      </c>
      <c r="I513" s="12">
        <v>0.96490299999999996</v>
      </c>
      <c r="J513" s="12">
        <v>168.8715</v>
      </c>
      <c r="K513" s="12">
        <v>250.75480999999999</v>
      </c>
      <c r="L513" s="12" t="s">
        <v>1</v>
      </c>
      <c r="M513" s="12" t="s">
        <v>0</v>
      </c>
      <c r="N513" s="12">
        <v>20.2356777367688</v>
      </c>
      <c r="O513" s="12">
        <v>15.5</v>
      </c>
      <c r="P513" s="12">
        <v>5158.46</v>
      </c>
      <c r="Q513" s="12" t="s">
        <v>1</v>
      </c>
    </row>
    <row r="514" spans="1:17" x14ac:dyDescent="0.25">
      <c r="A514" s="12">
        <f t="shared" si="7"/>
        <v>513</v>
      </c>
      <c r="B514" s="12">
        <v>1.0193300000000001</v>
      </c>
      <c r="C514" s="12">
        <v>1.9916099999999999E-2</v>
      </c>
      <c r="D514" s="12">
        <v>0.65188100000000004</v>
      </c>
      <c r="E514" s="12">
        <v>10.0879081200165</v>
      </c>
      <c r="F514" s="12">
        <v>64</v>
      </c>
      <c r="G514" s="12">
        <v>250.15365573203201</v>
      </c>
      <c r="H514" s="12" t="s">
        <v>0</v>
      </c>
      <c r="I514" s="12">
        <v>1.1154599999999999</v>
      </c>
      <c r="J514" s="12">
        <v>109.95805</v>
      </c>
      <c r="K514" s="12">
        <v>394.60978999999998</v>
      </c>
      <c r="L514" s="12" t="s">
        <v>1</v>
      </c>
      <c r="M514" s="12" t="s">
        <v>0</v>
      </c>
      <c r="N514" s="12">
        <v>13.1761467409451</v>
      </c>
      <c r="O514" s="12">
        <v>16</v>
      </c>
      <c r="P514" s="12">
        <v>1527.07</v>
      </c>
      <c r="Q514" s="12" t="s">
        <v>1</v>
      </c>
    </row>
    <row r="515" spans="1:17" x14ac:dyDescent="0.25">
      <c r="A515" s="12">
        <f t="shared" si="7"/>
        <v>514</v>
      </c>
      <c r="B515" s="12">
        <v>0.97984899999999997</v>
      </c>
      <c r="C515" s="12">
        <v>0.121187</v>
      </c>
      <c r="D515" s="12">
        <v>0.53483199999999997</v>
      </c>
      <c r="E515" s="12">
        <v>85.446627725776395</v>
      </c>
      <c r="F515" s="12">
        <v>42.25</v>
      </c>
      <c r="G515" s="12">
        <v>87.457854258585101</v>
      </c>
      <c r="H515" s="12" t="s">
        <v>0</v>
      </c>
      <c r="I515" s="12">
        <v>1.083879</v>
      </c>
      <c r="J515" s="12">
        <v>160.59350000000001</v>
      </c>
      <c r="K515" s="12">
        <v>325.55088000000001</v>
      </c>
      <c r="L515" s="12" t="s">
        <v>1</v>
      </c>
      <c r="M515" s="12" t="s">
        <v>0</v>
      </c>
      <c r="N515" s="12">
        <v>19.243734511861302</v>
      </c>
      <c r="O515" s="12">
        <v>14.5</v>
      </c>
      <c r="P515" s="12">
        <v>3886.56</v>
      </c>
      <c r="Q515" s="12" t="s">
        <v>1</v>
      </c>
    </row>
    <row r="516" spans="1:17" x14ac:dyDescent="0.25">
      <c r="A516" s="12">
        <f t="shared" ref="A516:A579" si="8">A515+1</f>
        <v>515</v>
      </c>
      <c r="B516" s="12">
        <v>0.95953500000000003</v>
      </c>
      <c r="C516" s="12">
        <v>0.108649</v>
      </c>
      <c r="D516" s="12">
        <v>0.67233200000000004</v>
      </c>
      <c r="E516" s="12">
        <v>72.123022450311794</v>
      </c>
      <c r="F516" s="12">
        <v>42.25</v>
      </c>
      <c r="G516" s="12">
        <v>134.457049835991</v>
      </c>
      <c r="H516" s="12" t="s">
        <v>0</v>
      </c>
      <c r="I516" s="12">
        <v>1.067628</v>
      </c>
      <c r="J516" s="12">
        <v>154.3245</v>
      </c>
      <c r="K516" s="12">
        <v>406.67588000000001</v>
      </c>
      <c r="L516" s="12" t="s">
        <v>1</v>
      </c>
      <c r="M516" s="12" t="s">
        <v>0</v>
      </c>
      <c r="N516" s="12">
        <v>18.492527447722001</v>
      </c>
      <c r="O516" s="12">
        <v>14.5</v>
      </c>
      <c r="P516" s="12">
        <v>3067.62</v>
      </c>
      <c r="Q516" s="12" t="s">
        <v>1</v>
      </c>
    </row>
    <row r="517" spans="1:17" x14ac:dyDescent="0.25">
      <c r="A517" s="12">
        <f t="shared" si="8"/>
        <v>516</v>
      </c>
      <c r="B517" s="12">
        <v>0.89076200000000005</v>
      </c>
      <c r="C517" s="12">
        <v>0.35063</v>
      </c>
      <c r="D517" s="12">
        <v>0.573743</v>
      </c>
      <c r="E517" s="12">
        <v>528.57136644812294</v>
      </c>
      <c r="F517" s="12">
        <v>36</v>
      </c>
      <c r="G517" s="12">
        <v>0.31228193582285602</v>
      </c>
      <c r="H517" s="12" t="s">
        <v>0</v>
      </c>
      <c r="I517" s="12">
        <v>1.0126090000000001</v>
      </c>
      <c r="J517" s="12">
        <v>275.315</v>
      </c>
      <c r="K517" s="12">
        <v>348.50837000000001</v>
      </c>
      <c r="L517" s="12" t="s">
        <v>1</v>
      </c>
      <c r="M517" s="12" t="s">
        <v>0</v>
      </c>
      <c r="N517" s="12">
        <v>32.990679990990301</v>
      </c>
      <c r="O517" s="12">
        <v>14</v>
      </c>
      <c r="P517" s="12">
        <v>7503.97</v>
      </c>
      <c r="Q517" s="12" t="s">
        <v>1</v>
      </c>
    </row>
    <row r="518" spans="1:17" x14ac:dyDescent="0.25">
      <c r="A518" s="12">
        <f t="shared" si="8"/>
        <v>517</v>
      </c>
      <c r="B518" s="12">
        <v>0.81378099999999998</v>
      </c>
      <c r="C518" s="12">
        <v>3.9029399999999999E-2</v>
      </c>
      <c r="D518" s="12">
        <v>0.67906900000000003</v>
      </c>
      <c r="E518" s="12">
        <v>18.673712559139702</v>
      </c>
      <c r="F518" s="12">
        <v>72.25</v>
      </c>
      <c r="G518" s="12">
        <v>210.21663146106201</v>
      </c>
      <c r="H518" s="12" t="s">
        <v>0</v>
      </c>
      <c r="I518" s="12">
        <v>0.95102399999999998</v>
      </c>
      <c r="J518" s="12">
        <v>119.5147</v>
      </c>
      <c r="K518" s="12">
        <v>410.65071</v>
      </c>
      <c r="L518" s="12" t="s">
        <v>1</v>
      </c>
      <c r="M518" s="12" t="s">
        <v>0</v>
      </c>
      <c r="N518" s="12">
        <v>14.3213091256168</v>
      </c>
      <c r="O518" s="12">
        <v>16.5</v>
      </c>
      <c r="P518" s="12">
        <v>2007.92</v>
      </c>
      <c r="Q518" s="12" t="s">
        <v>1</v>
      </c>
    </row>
    <row r="519" spans="1:17" x14ac:dyDescent="0.25">
      <c r="A519" s="12">
        <f t="shared" si="8"/>
        <v>518</v>
      </c>
      <c r="B519" s="12">
        <v>0.13533500000000001</v>
      </c>
      <c r="C519" s="12">
        <v>-2.31506E-2</v>
      </c>
      <c r="D519" s="12">
        <v>0.17010800000000001</v>
      </c>
      <c r="E519" s="12">
        <v>0.35501358172513803</v>
      </c>
      <c r="F519" s="12">
        <v>132.25</v>
      </c>
      <c r="G519" s="12">
        <v>91.190464780634201</v>
      </c>
      <c r="H519" s="12" t="s">
        <v>0</v>
      </c>
      <c r="I519" s="12">
        <v>0.40826800000000002</v>
      </c>
      <c r="J519" s="12">
        <v>88.424700000000001</v>
      </c>
      <c r="K519" s="12">
        <v>110.36372</v>
      </c>
      <c r="L519" s="12" t="s">
        <v>1</v>
      </c>
      <c r="M519" s="12" t="s">
        <v>0</v>
      </c>
      <c r="N519" s="12">
        <v>10.595830161812099</v>
      </c>
      <c r="O519" s="12">
        <v>19.5</v>
      </c>
      <c r="P519" s="12">
        <v>3814.48</v>
      </c>
      <c r="Q519" s="12" t="s">
        <v>1</v>
      </c>
    </row>
    <row r="520" spans="1:17" x14ac:dyDescent="0.25">
      <c r="A520" s="12">
        <f t="shared" si="8"/>
        <v>519</v>
      </c>
      <c r="B520" s="12">
        <v>0.162825</v>
      </c>
      <c r="C520" s="12">
        <v>9.1914599999999999E-2</v>
      </c>
      <c r="D520" s="12">
        <v>0.49095</v>
      </c>
      <c r="E520" s="12">
        <v>56.098534441307997</v>
      </c>
      <c r="F520" s="12">
        <v>90.25</v>
      </c>
      <c r="G520" s="12">
        <v>142.078562299868</v>
      </c>
      <c r="H520" s="12" t="s">
        <v>0</v>
      </c>
      <c r="I520" s="12">
        <v>0.43025999999999998</v>
      </c>
      <c r="J520" s="12">
        <v>145.9573</v>
      </c>
      <c r="K520" s="12">
        <v>299.66050000000001</v>
      </c>
      <c r="L520" s="12" t="s">
        <v>1</v>
      </c>
      <c r="M520" s="12" t="s">
        <v>0</v>
      </c>
      <c r="N520" s="12">
        <v>17.4898954893448</v>
      </c>
      <c r="O520" s="12">
        <v>17.5</v>
      </c>
      <c r="P520" s="12">
        <v>2949.32</v>
      </c>
      <c r="Q520" s="12" t="s">
        <v>1</v>
      </c>
    </row>
    <row r="521" spans="1:17" x14ac:dyDescent="0.25">
      <c r="A521" s="12">
        <f t="shared" si="8"/>
        <v>520</v>
      </c>
      <c r="B521" s="12">
        <v>0.43710399999999999</v>
      </c>
      <c r="C521" s="12">
        <v>4.4759599999999997E-2</v>
      </c>
      <c r="D521" s="12">
        <v>0.16576199999999999</v>
      </c>
      <c r="E521" s="12">
        <v>21.758780177017901</v>
      </c>
      <c r="F521" s="12">
        <v>100</v>
      </c>
      <c r="G521" s="12">
        <v>8.7496019185588203</v>
      </c>
      <c r="H521" s="12" t="s">
        <v>0</v>
      </c>
      <c r="I521" s="12">
        <v>0.64968300000000001</v>
      </c>
      <c r="J521" s="12">
        <v>122.3798</v>
      </c>
      <c r="K521" s="12">
        <v>107.79958000000001</v>
      </c>
      <c r="L521" s="12" t="s">
        <v>1</v>
      </c>
      <c r="M521" s="12" t="s">
        <v>0</v>
      </c>
      <c r="N521" s="12">
        <v>14.6646307653465</v>
      </c>
      <c r="O521" s="12">
        <v>18</v>
      </c>
      <c r="P521" s="12">
        <v>8379.66</v>
      </c>
      <c r="Q521" s="12" t="s">
        <v>1</v>
      </c>
    </row>
    <row r="522" spans="1:17" x14ac:dyDescent="0.25">
      <c r="A522" s="12">
        <f t="shared" si="8"/>
        <v>521</v>
      </c>
      <c r="B522" s="12">
        <v>0.39390700000000001</v>
      </c>
      <c r="C522" s="12">
        <v>2.6242499999999998E-2</v>
      </c>
      <c r="D522" s="12">
        <v>0.28416000000000002</v>
      </c>
      <c r="E522" s="12">
        <v>12.639371392750901</v>
      </c>
      <c r="F522" s="12">
        <v>132.25</v>
      </c>
      <c r="G522" s="12">
        <v>64.312050681928994</v>
      </c>
      <c r="H522" s="12" t="s">
        <v>0</v>
      </c>
      <c r="I522" s="12">
        <v>0.61512500000000003</v>
      </c>
      <c r="J522" s="12">
        <v>113.12125</v>
      </c>
      <c r="K522" s="12">
        <v>177.65440000000001</v>
      </c>
      <c r="L522" s="12" t="s">
        <v>1</v>
      </c>
      <c r="M522" s="12" t="s">
        <v>0</v>
      </c>
      <c r="N522" s="12">
        <v>13.5551893610257</v>
      </c>
      <c r="O522" s="12">
        <v>19.5</v>
      </c>
      <c r="P522" s="12">
        <v>4372.8900000000003</v>
      </c>
      <c r="Q522" s="12" t="s">
        <v>1</v>
      </c>
    </row>
    <row r="523" spans="1:17" x14ac:dyDescent="0.25">
      <c r="A523" s="12">
        <f t="shared" si="8"/>
        <v>522</v>
      </c>
      <c r="B523" s="12">
        <v>7.9056799999999997E-2</v>
      </c>
      <c r="C523" s="12">
        <v>8.1458799999999994E-3</v>
      </c>
      <c r="D523" s="12">
        <v>5.9854200000000003E-2</v>
      </c>
      <c r="E523" s="12">
        <v>6.1055483098314101</v>
      </c>
      <c r="F523" s="12">
        <v>121</v>
      </c>
      <c r="G523" s="12">
        <v>4.7760809337586698</v>
      </c>
      <c r="H523" s="12" t="s">
        <v>0</v>
      </c>
      <c r="I523" s="12">
        <v>0.3632454</v>
      </c>
      <c r="J523" s="12">
        <v>104.07294</v>
      </c>
      <c r="K523" s="12">
        <v>45.313977999999999</v>
      </c>
      <c r="L523" s="12" t="s">
        <v>1</v>
      </c>
      <c r="M523" s="12" t="s">
        <v>0</v>
      </c>
      <c r="N523" s="12">
        <v>12.4709407742459</v>
      </c>
      <c r="O523" s="12">
        <v>19</v>
      </c>
      <c r="P523" s="12">
        <v>8097.68</v>
      </c>
      <c r="Q523" s="12" t="s">
        <v>1</v>
      </c>
    </row>
    <row r="524" spans="1:17" x14ac:dyDescent="0.25">
      <c r="A524" s="12">
        <f t="shared" si="8"/>
        <v>523</v>
      </c>
      <c r="B524" s="12">
        <v>0.94770900000000002</v>
      </c>
      <c r="C524" s="12">
        <v>4.2300699999999997E-2</v>
      </c>
      <c r="D524" s="12">
        <v>0.66443300000000005</v>
      </c>
      <c r="E524" s="12">
        <v>20.406064203921702</v>
      </c>
      <c r="F524" s="12">
        <v>56.25</v>
      </c>
      <c r="G524" s="12">
        <v>214.50050090373401</v>
      </c>
      <c r="H524" s="12" t="s">
        <v>0</v>
      </c>
      <c r="I524" s="12">
        <v>1.0581670000000001</v>
      </c>
      <c r="J524" s="12">
        <v>121.15035</v>
      </c>
      <c r="K524" s="12">
        <v>402.01546999999999</v>
      </c>
      <c r="L524" s="12" t="s">
        <v>1</v>
      </c>
      <c r="M524" s="12" t="s">
        <v>0</v>
      </c>
      <c r="N524" s="12">
        <v>14.517307185029701</v>
      </c>
      <c r="O524" s="12">
        <v>15.5</v>
      </c>
      <c r="P524" s="12">
        <v>1954.27</v>
      </c>
      <c r="Q524" s="12" t="s">
        <v>1</v>
      </c>
    </row>
    <row r="525" spans="1:17" x14ac:dyDescent="0.25">
      <c r="A525" s="12">
        <f t="shared" si="8"/>
        <v>524</v>
      </c>
      <c r="B525" s="12">
        <v>0.89159600000000006</v>
      </c>
      <c r="C525" s="12">
        <v>9.8943900000000001E-2</v>
      </c>
      <c r="D525" s="12">
        <v>0.66485700000000003</v>
      </c>
      <c r="E525" s="12">
        <v>62.584743097263299</v>
      </c>
      <c r="F525" s="12">
        <v>56.25</v>
      </c>
      <c r="G525" s="12">
        <v>177.00151894088901</v>
      </c>
      <c r="H525" s="12" t="s">
        <v>0</v>
      </c>
      <c r="I525" s="12">
        <v>1.0132760000000001</v>
      </c>
      <c r="J525" s="12">
        <v>149.47194999999999</v>
      </c>
      <c r="K525" s="12">
        <v>402.26562999999999</v>
      </c>
      <c r="L525" s="12" t="s">
        <v>1</v>
      </c>
      <c r="M525" s="12" t="s">
        <v>0</v>
      </c>
      <c r="N525" s="12">
        <v>17.9110519589535</v>
      </c>
      <c r="O525" s="12">
        <v>15.5</v>
      </c>
      <c r="P525" s="12">
        <v>2443.9699999999998</v>
      </c>
      <c r="Q525" s="12" t="s">
        <v>1</v>
      </c>
    </row>
    <row r="526" spans="1:17" x14ac:dyDescent="0.25">
      <c r="A526" s="12">
        <f t="shared" si="8"/>
        <v>525</v>
      </c>
      <c r="B526" s="12">
        <v>1.0745499999999999</v>
      </c>
      <c r="C526" s="12">
        <v>7.8993999999999995E-2</v>
      </c>
      <c r="D526" s="12">
        <v>0.62914800000000004</v>
      </c>
      <c r="E526" s="12">
        <v>45.101501766121899</v>
      </c>
      <c r="F526" s="12">
        <v>49</v>
      </c>
      <c r="G526" s="12">
        <v>187.059204864702</v>
      </c>
      <c r="H526" s="12" t="s">
        <v>0</v>
      </c>
      <c r="I526" s="12">
        <v>1.15964</v>
      </c>
      <c r="J526" s="12">
        <v>139.49700000000001</v>
      </c>
      <c r="K526" s="12">
        <v>381.19731999999999</v>
      </c>
      <c r="L526" s="12" t="s">
        <v>1</v>
      </c>
      <c r="M526" s="12" t="s">
        <v>0</v>
      </c>
      <c r="N526" s="12">
        <v>16.715765166093998</v>
      </c>
      <c r="O526" s="12">
        <v>15</v>
      </c>
      <c r="P526" s="12">
        <v>2307.91</v>
      </c>
      <c r="Q526" s="12" t="s">
        <v>1</v>
      </c>
    </row>
    <row r="527" spans="1:17" x14ac:dyDescent="0.25">
      <c r="A527" s="12">
        <f t="shared" si="8"/>
        <v>526</v>
      </c>
      <c r="B527" s="12">
        <v>0.95346600000000004</v>
      </c>
      <c r="C527" s="12">
        <v>3.1141599999999998E-2</v>
      </c>
      <c r="D527" s="12">
        <v>0.81733500000000003</v>
      </c>
      <c r="E527" s="12">
        <v>14.812615787024599</v>
      </c>
      <c r="F527" s="12">
        <v>56.25</v>
      </c>
      <c r="G527" s="12">
        <v>249.318043598423</v>
      </c>
      <c r="H527" s="12" t="s">
        <v>0</v>
      </c>
      <c r="I527" s="12">
        <v>1.062772</v>
      </c>
      <c r="J527" s="12">
        <v>115.57080000000001</v>
      </c>
      <c r="K527" s="12">
        <v>492.22764999999998</v>
      </c>
      <c r="L527" s="12" t="s">
        <v>1</v>
      </c>
      <c r="M527" s="12" t="s">
        <v>0</v>
      </c>
      <c r="N527" s="12">
        <v>13.848716121906699</v>
      </c>
      <c r="O527" s="12">
        <v>15.5</v>
      </c>
      <c r="P527" s="12">
        <v>1536.72</v>
      </c>
      <c r="Q527" s="12" t="s">
        <v>1</v>
      </c>
    </row>
    <row r="528" spans="1:17" x14ac:dyDescent="0.25">
      <c r="A528" s="12">
        <f t="shared" si="8"/>
        <v>527</v>
      </c>
      <c r="B528" s="12">
        <v>1.0444599999999999</v>
      </c>
      <c r="C528" s="12">
        <v>1.1607599999999999E-2</v>
      </c>
      <c r="D528" s="12">
        <v>0.67850999999999995</v>
      </c>
      <c r="E528" s="12">
        <v>7.1735466084373103</v>
      </c>
      <c r="F528" s="12">
        <v>64</v>
      </c>
      <c r="G528" s="12">
        <v>259.56299680990799</v>
      </c>
      <c r="H528" s="12" t="s">
        <v>0</v>
      </c>
      <c r="I528" s="12">
        <v>1.1355599999999999</v>
      </c>
      <c r="J528" s="12">
        <v>105.8038</v>
      </c>
      <c r="K528" s="12">
        <v>410.32089999999999</v>
      </c>
      <c r="L528" s="12" t="s">
        <v>1</v>
      </c>
      <c r="M528" s="12" t="s">
        <v>0</v>
      </c>
      <c r="N528" s="12">
        <v>12.6783477385203</v>
      </c>
      <c r="O528" s="12">
        <v>16</v>
      </c>
      <c r="P528" s="12">
        <v>1419.5</v>
      </c>
      <c r="Q528" s="12" t="s">
        <v>1</v>
      </c>
    </row>
    <row r="529" spans="1:17" x14ac:dyDescent="0.25">
      <c r="A529" s="12">
        <f t="shared" si="8"/>
        <v>528</v>
      </c>
      <c r="B529" s="12">
        <v>1.1535500000000001</v>
      </c>
      <c r="C529" s="12">
        <v>0.15155099999999999</v>
      </c>
      <c r="D529" s="12">
        <v>0.76579399999999997</v>
      </c>
      <c r="E529" s="12">
        <v>122.389440654073</v>
      </c>
      <c r="F529" s="12">
        <v>30.25</v>
      </c>
      <c r="G529" s="12">
        <v>143.22646626684099</v>
      </c>
      <c r="H529" s="12" t="s">
        <v>0</v>
      </c>
      <c r="I529" s="12">
        <v>1.2228399999999999</v>
      </c>
      <c r="J529" s="12">
        <v>175.77549999999999</v>
      </c>
      <c r="K529" s="12">
        <v>461.81846000000002</v>
      </c>
      <c r="L529" s="12" t="s">
        <v>1</v>
      </c>
      <c r="M529" s="12" t="s">
        <v>0</v>
      </c>
      <c r="N529" s="12">
        <v>21.062976121011602</v>
      </c>
      <c r="O529" s="12">
        <v>13.5</v>
      </c>
      <c r="P529" s="12">
        <v>2931.78</v>
      </c>
      <c r="Q529" s="12" t="s">
        <v>1</v>
      </c>
    </row>
    <row r="530" spans="1:17" x14ac:dyDescent="0.25">
      <c r="A530" s="12">
        <f t="shared" si="8"/>
        <v>529</v>
      </c>
      <c r="B530" s="12">
        <v>1.0604</v>
      </c>
      <c r="C530" s="12">
        <v>0.11185</v>
      </c>
      <c r="D530" s="12">
        <v>0.65928100000000001</v>
      </c>
      <c r="E530" s="12">
        <v>75.417301366418101</v>
      </c>
      <c r="F530" s="12">
        <v>36</v>
      </c>
      <c r="G530" s="12">
        <v>133.00471751998401</v>
      </c>
      <c r="H530" s="12" t="s">
        <v>0</v>
      </c>
      <c r="I530" s="12">
        <v>1.1483000000000001</v>
      </c>
      <c r="J530" s="12">
        <v>155.92500000000001</v>
      </c>
      <c r="K530" s="12">
        <v>398.97579000000002</v>
      </c>
      <c r="L530" s="12" t="s">
        <v>1</v>
      </c>
      <c r="M530" s="12" t="s">
        <v>0</v>
      </c>
      <c r="N530" s="12">
        <v>18.684313523037801</v>
      </c>
      <c r="O530" s="12">
        <v>14</v>
      </c>
      <c r="P530" s="12">
        <v>3090.54</v>
      </c>
      <c r="Q530" s="12" t="s">
        <v>1</v>
      </c>
    </row>
    <row r="531" spans="1:17" x14ac:dyDescent="0.25">
      <c r="A531" s="12">
        <f t="shared" si="8"/>
        <v>530</v>
      </c>
      <c r="B531" s="12">
        <v>1.04844</v>
      </c>
      <c r="C531" s="12">
        <v>0.106104</v>
      </c>
      <c r="D531" s="12">
        <v>0.63535299999999995</v>
      </c>
      <c r="E531" s="12">
        <v>69.556354528330402</v>
      </c>
      <c r="F531" s="12">
        <v>36</v>
      </c>
      <c r="G531" s="12">
        <v>131.082424056295</v>
      </c>
      <c r="H531" s="12" t="s">
        <v>0</v>
      </c>
      <c r="I531" s="12">
        <v>1.1387499999999999</v>
      </c>
      <c r="J531" s="12">
        <v>153.05199999999999</v>
      </c>
      <c r="K531" s="12">
        <v>384.85827</v>
      </c>
      <c r="L531" s="12" t="s">
        <v>1</v>
      </c>
      <c r="M531" s="12" t="s">
        <v>0</v>
      </c>
      <c r="N531" s="12">
        <v>18.3400452353887</v>
      </c>
      <c r="O531" s="12">
        <v>14</v>
      </c>
      <c r="P531" s="12">
        <v>3121.07</v>
      </c>
      <c r="Q531" s="12" t="s">
        <v>1</v>
      </c>
    </row>
    <row r="532" spans="1:17" x14ac:dyDescent="0.25">
      <c r="A532" s="12">
        <f t="shared" si="8"/>
        <v>531</v>
      </c>
      <c r="B532" s="12">
        <v>1.0581199999999999</v>
      </c>
      <c r="C532" s="12">
        <v>0.33061299999999999</v>
      </c>
      <c r="D532" s="12">
        <v>1.03305</v>
      </c>
      <c r="E532" s="12">
        <v>474.86393461864498</v>
      </c>
      <c r="F532" s="12">
        <v>36</v>
      </c>
      <c r="G532" s="12">
        <v>115.73397452129799</v>
      </c>
      <c r="H532" s="12" t="s">
        <v>0</v>
      </c>
      <c r="I532" s="12">
        <v>1.14649</v>
      </c>
      <c r="J532" s="12">
        <v>265.30650000000003</v>
      </c>
      <c r="K532" s="12">
        <v>619.49950000000001</v>
      </c>
      <c r="L532" s="12" t="s">
        <v>1</v>
      </c>
      <c r="M532" s="12" t="s">
        <v>0</v>
      </c>
      <c r="N532" s="12">
        <v>31.791372940194499</v>
      </c>
      <c r="O532" s="12">
        <v>14</v>
      </c>
      <c r="P532" s="12">
        <v>3373.34</v>
      </c>
      <c r="Q532" s="12" t="s">
        <v>1</v>
      </c>
    </row>
    <row r="533" spans="1:17" x14ac:dyDescent="0.25">
      <c r="A533" s="12">
        <f t="shared" si="8"/>
        <v>532</v>
      </c>
      <c r="B533" s="12">
        <v>0.87523499999999999</v>
      </c>
      <c r="C533" s="12">
        <v>0.155278</v>
      </c>
      <c r="D533" s="12">
        <v>0.66249199999999997</v>
      </c>
      <c r="E533" s="12">
        <v>127.380052674617</v>
      </c>
      <c r="F533" s="12">
        <v>49</v>
      </c>
      <c r="G533" s="12">
        <v>105.237805944079</v>
      </c>
      <c r="H533" s="12" t="s">
        <v>0</v>
      </c>
      <c r="I533" s="12">
        <v>1.0001880000000001</v>
      </c>
      <c r="J533" s="12">
        <v>177.63900000000001</v>
      </c>
      <c r="K533" s="12">
        <v>400.87027999999998</v>
      </c>
      <c r="L533" s="12" t="s">
        <v>1</v>
      </c>
      <c r="M533" s="12" t="s">
        <v>0</v>
      </c>
      <c r="N533" s="12">
        <v>21.286277184023799</v>
      </c>
      <c r="O533" s="12">
        <v>15</v>
      </c>
      <c r="P533" s="12">
        <v>3555.63</v>
      </c>
      <c r="Q533" s="12" t="s">
        <v>1</v>
      </c>
    </row>
    <row r="534" spans="1:17" x14ac:dyDescent="0.25">
      <c r="A534" s="12">
        <f t="shared" si="8"/>
        <v>533</v>
      </c>
      <c r="B534" s="12">
        <v>0.87443000000000004</v>
      </c>
      <c r="C534" s="12">
        <v>1.08317E-2</v>
      </c>
      <c r="D534" s="12">
        <v>0.73917900000000003</v>
      </c>
      <c r="E534" s="12">
        <v>6.9266877751867604</v>
      </c>
      <c r="F534" s="12">
        <v>81</v>
      </c>
      <c r="G534" s="12">
        <v>262.89024225858498</v>
      </c>
      <c r="H534" s="12" t="s">
        <v>0</v>
      </c>
      <c r="I534" s="12">
        <v>0.99953999999999998</v>
      </c>
      <c r="J534" s="12">
        <v>105.41585000000001</v>
      </c>
      <c r="K534" s="12">
        <v>446.11561</v>
      </c>
      <c r="L534" s="12" t="s">
        <v>1</v>
      </c>
      <c r="M534" s="12" t="s">
        <v>0</v>
      </c>
      <c r="N534" s="12">
        <v>12.6318601359469</v>
      </c>
      <c r="O534" s="12">
        <v>17</v>
      </c>
      <c r="P534" s="12">
        <v>1381.93</v>
      </c>
      <c r="Q534" s="12" t="s">
        <v>1</v>
      </c>
    </row>
    <row r="535" spans="1:17" x14ac:dyDescent="0.25">
      <c r="A535" s="12">
        <f t="shared" si="8"/>
        <v>534</v>
      </c>
      <c r="B535" s="12">
        <v>0.97828899999999996</v>
      </c>
      <c r="C535" s="12">
        <v>0.72501199999999999</v>
      </c>
      <c r="D535" s="12">
        <v>0.68984199999999996</v>
      </c>
      <c r="E535" s="12">
        <v>2063.11832681737</v>
      </c>
      <c r="F535" s="12">
        <v>30.25</v>
      </c>
      <c r="G535" s="12">
        <v>64.6856623006192</v>
      </c>
      <c r="H535" s="12" t="s">
        <v>0</v>
      </c>
      <c r="I535" s="12">
        <v>1.0826309999999999</v>
      </c>
      <c r="J535" s="12">
        <v>462.50599999999997</v>
      </c>
      <c r="K535" s="12">
        <v>417.00677999999999</v>
      </c>
      <c r="L535" s="12" t="s">
        <v>1</v>
      </c>
      <c r="M535" s="12" t="s">
        <v>0</v>
      </c>
      <c r="N535" s="12">
        <v>55.421562355530803</v>
      </c>
      <c r="O535" s="12">
        <v>13.5</v>
      </c>
      <c r="P535" s="12">
        <v>10235.6</v>
      </c>
      <c r="Q535" s="12" t="s">
        <v>1</v>
      </c>
    </row>
    <row r="536" spans="1:17" x14ac:dyDescent="0.25">
      <c r="A536" s="12">
        <f t="shared" si="8"/>
        <v>535</v>
      </c>
      <c r="B536" s="12">
        <v>1.0979300000000001</v>
      </c>
      <c r="C536" s="12">
        <v>3.7871000000000002E-2</v>
      </c>
      <c r="D536" s="12">
        <v>0.629112</v>
      </c>
      <c r="E536" s="12">
        <v>18.0786897968717</v>
      </c>
      <c r="F536" s="12">
        <v>56.25</v>
      </c>
      <c r="G536" s="12">
        <v>241.57590653480901</v>
      </c>
      <c r="H536" s="12" t="s">
        <v>0</v>
      </c>
      <c r="I536" s="12">
        <v>1.1783399999999999</v>
      </c>
      <c r="J536" s="12">
        <v>118.9355</v>
      </c>
      <c r="K536" s="12">
        <v>381.17608000000001</v>
      </c>
      <c r="L536" s="12" t="s">
        <v>1</v>
      </c>
      <c r="M536" s="12" t="s">
        <v>0</v>
      </c>
      <c r="N536" s="12">
        <v>14.2519042553744</v>
      </c>
      <c r="O536" s="12">
        <v>15.5</v>
      </c>
      <c r="P536" s="12">
        <v>1626.91</v>
      </c>
      <c r="Q536" s="12" t="s">
        <v>1</v>
      </c>
    </row>
    <row r="537" spans="1:17" x14ac:dyDescent="0.25">
      <c r="A537" s="12">
        <f t="shared" si="8"/>
        <v>536</v>
      </c>
      <c r="B537" s="12">
        <v>1.1684300000000001</v>
      </c>
      <c r="C537" s="12">
        <v>0.71022099999999999</v>
      </c>
      <c r="D537" s="12">
        <v>0.82077599999999995</v>
      </c>
      <c r="E537" s="12">
        <v>1983.3990110221901</v>
      </c>
      <c r="F537" s="12">
        <v>20.25</v>
      </c>
      <c r="G537" s="12">
        <v>13.6853373833739</v>
      </c>
      <c r="H537" s="12" t="s">
        <v>0</v>
      </c>
      <c r="I537" s="12">
        <v>1.2347399999999999</v>
      </c>
      <c r="J537" s="12">
        <v>455.1105</v>
      </c>
      <c r="K537" s="12">
        <v>494.25783999999999</v>
      </c>
      <c r="L537" s="12" t="s">
        <v>1</v>
      </c>
      <c r="M537" s="12" t="s">
        <v>0</v>
      </c>
      <c r="N537" s="12">
        <v>54.535368091239498</v>
      </c>
      <c r="O537" s="12">
        <v>12.5</v>
      </c>
      <c r="P537" s="12">
        <v>8650.27</v>
      </c>
      <c r="Q537" s="12" t="s">
        <v>1</v>
      </c>
    </row>
    <row r="538" spans="1:17" x14ac:dyDescent="0.25">
      <c r="A538" s="12">
        <f t="shared" si="8"/>
        <v>537</v>
      </c>
      <c r="B538" s="12">
        <v>0.48207100000000003</v>
      </c>
      <c r="C538" s="12">
        <v>-3.8701399999999997E-2</v>
      </c>
      <c r="D538" s="12">
        <v>0.14272000000000001</v>
      </c>
      <c r="E538" s="12">
        <v>0.112820132395655</v>
      </c>
      <c r="F538" s="12">
        <v>144</v>
      </c>
      <c r="G538" s="12">
        <v>21.435124146368899</v>
      </c>
      <c r="H538" s="12" t="s">
        <v>0</v>
      </c>
      <c r="I538" s="12">
        <v>0.68565600000000004</v>
      </c>
      <c r="J538" s="12">
        <v>80.649299999999997</v>
      </c>
      <c r="K538" s="12">
        <v>94.204800000000006</v>
      </c>
      <c r="L538" s="12" t="s">
        <v>1</v>
      </c>
      <c r="M538" s="12" t="s">
        <v>0</v>
      </c>
      <c r="N538" s="12">
        <v>9.6641129171943998</v>
      </c>
      <c r="O538" s="12">
        <v>20</v>
      </c>
      <c r="P538" s="12">
        <v>5610.12</v>
      </c>
      <c r="Q538" s="12" t="s">
        <v>1</v>
      </c>
    </row>
    <row r="539" spans="1:17" x14ac:dyDescent="0.25">
      <c r="A539" s="12">
        <f t="shared" si="8"/>
        <v>538</v>
      </c>
      <c r="B539" s="12">
        <v>1.0272600000000001</v>
      </c>
      <c r="C539" s="12">
        <v>7.6841099999999996E-2</v>
      </c>
      <c r="D539" s="12">
        <v>0.61888600000000005</v>
      </c>
      <c r="E539" s="12">
        <v>43.3856101688908</v>
      </c>
      <c r="F539" s="12">
        <v>49</v>
      </c>
      <c r="G539" s="12">
        <v>183.80599196922401</v>
      </c>
      <c r="H539" s="12" t="s">
        <v>0</v>
      </c>
      <c r="I539" s="12">
        <v>1.1217999999999999</v>
      </c>
      <c r="J539" s="12">
        <v>138.42054999999999</v>
      </c>
      <c r="K539" s="12">
        <v>375.14274</v>
      </c>
      <c r="L539" s="12" t="s">
        <v>1</v>
      </c>
      <c r="M539" s="12" t="s">
        <v>0</v>
      </c>
      <c r="N539" s="12">
        <v>16.586775399912302</v>
      </c>
      <c r="O539" s="12">
        <v>15</v>
      </c>
      <c r="P539" s="12">
        <v>2351.5100000000002</v>
      </c>
      <c r="Q539" s="12" t="s">
        <v>1</v>
      </c>
    </row>
    <row r="540" spans="1:17" x14ac:dyDescent="0.25">
      <c r="A540" s="12">
        <f t="shared" si="8"/>
        <v>539</v>
      </c>
      <c r="B540" s="12">
        <v>1.0087699999999999</v>
      </c>
      <c r="C540" s="12">
        <v>-1.37647E-2</v>
      </c>
      <c r="D540" s="12">
        <v>0.62114599999999998</v>
      </c>
      <c r="E540" s="12">
        <v>1.34138315007831</v>
      </c>
      <c r="F540" s="12">
        <v>81</v>
      </c>
      <c r="G540" s="12">
        <v>277.75372959204299</v>
      </c>
      <c r="H540" s="12" t="s">
        <v>0</v>
      </c>
      <c r="I540" s="12">
        <v>1.10701</v>
      </c>
      <c r="J540" s="12">
        <v>93.117649999999998</v>
      </c>
      <c r="K540" s="12">
        <v>376.47613999999999</v>
      </c>
      <c r="L540" s="12" t="s">
        <v>1</v>
      </c>
      <c r="M540" s="12" t="s">
        <v>0</v>
      </c>
      <c r="N540" s="12">
        <v>11.158180966031701</v>
      </c>
      <c r="O540" s="12">
        <v>17</v>
      </c>
      <c r="P540" s="12">
        <v>1216.93</v>
      </c>
      <c r="Q540" s="12" t="s">
        <v>1</v>
      </c>
    </row>
    <row r="541" spans="1:17" x14ac:dyDescent="0.25">
      <c r="A541" s="12">
        <f t="shared" si="8"/>
        <v>540</v>
      </c>
      <c r="B541" s="12">
        <v>1.05938</v>
      </c>
      <c r="C541" s="12">
        <v>0.15787799999999999</v>
      </c>
      <c r="D541" s="12">
        <v>0.63976900000000003</v>
      </c>
      <c r="E541" s="12">
        <v>130.92061552317099</v>
      </c>
      <c r="F541" s="12">
        <v>36</v>
      </c>
      <c r="G541" s="12">
        <v>104.772330766747</v>
      </c>
      <c r="H541" s="12" t="s">
        <v>0</v>
      </c>
      <c r="I541" s="12">
        <v>1.1475</v>
      </c>
      <c r="J541" s="12">
        <v>178.93899999999999</v>
      </c>
      <c r="K541" s="12">
        <v>387.46370999999999</v>
      </c>
      <c r="L541" s="12" t="s">
        <v>1</v>
      </c>
      <c r="M541" s="12" t="s">
        <v>0</v>
      </c>
      <c r="N541" s="12">
        <v>21.442054689747401</v>
      </c>
      <c r="O541" s="12">
        <v>14</v>
      </c>
      <c r="P541" s="12">
        <v>3563.92</v>
      </c>
      <c r="Q541" s="12" t="s">
        <v>1</v>
      </c>
    </row>
    <row r="542" spans="1:17" x14ac:dyDescent="0.25">
      <c r="A542" s="12">
        <f t="shared" si="8"/>
        <v>541</v>
      </c>
      <c r="B542" s="12">
        <v>1.09198</v>
      </c>
      <c r="C542" s="12">
        <v>0.336783</v>
      </c>
      <c r="D542" s="12">
        <v>0.58521400000000001</v>
      </c>
      <c r="E542" s="12">
        <v>491.11191301715502</v>
      </c>
      <c r="F542" s="12">
        <v>25</v>
      </c>
      <c r="G542" s="12">
        <v>0.19220416888722</v>
      </c>
      <c r="H542" s="12" t="s">
        <v>0</v>
      </c>
      <c r="I542" s="12">
        <v>1.1735800000000001</v>
      </c>
      <c r="J542" s="12">
        <v>268.39150000000001</v>
      </c>
      <c r="K542" s="12">
        <v>355.27625999999998</v>
      </c>
      <c r="L542" s="12" t="s">
        <v>1</v>
      </c>
      <c r="M542" s="12" t="s">
        <v>0</v>
      </c>
      <c r="N542" s="12">
        <v>32.161044944161702</v>
      </c>
      <c r="O542" s="12">
        <v>13</v>
      </c>
      <c r="P542" s="12">
        <v>7139.98</v>
      </c>
      <c r="Q542" s="12" t="s">
        <v>1</v>
      </c>
    </row>
    <row r="543" spans="1:17" x14ac:dyDescent="0.25">
      <c r="A543" s="12">
        <f t="shared" si="8"/>
        <v>542</v>
      </c>
      <c r="B543" s="12">
        <v>0.97248500000000004</v>
      </c>
      <c r="C543" s="12">
        <v>0.105519</v>
      </c>
      <c r="D543" s="12">
        <v>0.585781</v>
      </c>
      <c r="E543" s="12">
        <v>68.972946876563597</v>
      </c>
      <c r="F543" s="12">
        <v>42.25</v>
      </c>
      <c r="G543" s="12">
        <v>112.028015450553</v>
      </c>
      <c r="H543" s="12" t="s">
        <v>0</v>
      </c>
      <c r="I543" s="12">
        <v>1.0779879999999999</v>
      </c>
      <c r="J543" s="12">
        <v>152.7595</v>
      </c>
      <c r="K543" s="12">
        <v>355.61079000000001</v>
      </c>
      <c r="L543" s="12" t="s">
        <v>1</v>
      </c>
      <c r="M543" s="12" t="s">
        <v>0</v>
      </c>
      <c r="N543" s="12">
        <v>18.3049952966009</v>
      </c>
      <c r="O543" s="12">
        <v>14.5</v>
      </c>
      <c r="P543" s="12">
        <v>3436.72</v>
      </c>
      <c r="Q543" s="12" t="s">
        <v>1</v>
      </c>
    </row>
    <row r="544" spans="1:17" x14ac:dyDescent="0.25">
      <c r="A544" s="12">
        <f t="shared" si="8"/>
        <v>543</v>
      </c>
      <c r="B544" s="12">
        <v>1.0802499999999999</v>
      </c>
      <c r="C544" s="12">
        <v>9.6404299999999998E-2</v>
      </c>
      <c r="D544" s="12">
        <v>0.58158100000000001</v>
      </c>
      <c r="E544" s="12">
        <v>60.200425000520099</v>
      </c>
      <c r="F544" s="12">
        <v>42.25</v>
      </c>
      <c r="G544" s="12">
        <v>165.69896389491399</v>
      </c>
      <c r="H544" s="12" t="s">
        <v>0</v>
      </c>
      <c r="I544" s="12">
        <v>1.1641999999999999</v>
      </c>
      <c r="J544" s="12">
        <v>148.20214999999999</v>
      </c>
      <c r="K544" s="12">
        <v>353.13279</v>
      </c>
      <c r="L544" s="12" t="s">
        <v>1</v>
      </c>
      <c r="M544" s="12" t="s">
        <v>0</v>
      </c>
      <c r="N544" s="12">
        <v>17.758893284516802</v>
      </c>
      <c r="O544" s="12">
        <v>14.5</v>
      </c>
      <c r="P544" s="12">
        <v>2601.5700000000002</v>
      </c>
      <c r="Q544" s="12" t="s">
        <v>1</v>
      </c>
    </row>
    <row r="545" spans="1:17" x14ac:dyDescent="0.25">
      <c r="A545" s="12">
        <f t="shared" si="8"/>
        <v>544</v>
      </c>
      <c r="B545" s="12">
        <v>0.121097</v>
      </c>
      <c r="C545" s="12">
        <v>-2.8728400000000001E-2</v>
      </c>
      <c r="D545" s="12">
        <v>0.222551</v>
      </c>
      <c r="E545" s="12">
        <v>6.8455217753633904E-2</v>
      </c>
      <c r="F545" s="12">
        <v>132.25</v>
      </c>
      <c r="G545" s="12">
        <v>137.19083907749999</v>
      </c>
      <c r="H545" s="12" t="s">
        <v>0</v>
      </c>
      <c r="I545" s="12">
        <v>0.39687699999999998</v>
      </c>
      <c r="J545" s="12">
        <v>85.635800000000003</v>
      </c>
      <c r="K545" s="12">
        <v>141.30509000000001</v>
      </c>
      <c r="L545" s="12" t="s">
        <v>1</v>
      </c>
      <c r="M545" s="12" t="s">
        <v>0</v>
      </c>
      <c r="N545" s="12">
        <v>10.2616394804948</v>
      </c>
      <c r="O545" s="12">
        <v>19.5</v>
      </c>
      <c r="P545" s="12">
        <v>3024.81</v>
      </c>
      <c r="Q545" s="12" t="s">
        <v>1</v>
      </c>
    </row>
    <row r="546" spans="1:17" x14ac:dyDescent="0.25">
      <c r="A546" s="12">
        <f t="shared" si="8"/>
        <v>545</v>
      </c>
      <c r="B546" s="12">
        <v>0.924346</v>
      </c>
      <c r="C546" s="12">
        <v>0.26164999999999999</v>
      </c>
      <c r="D546" s="12">
        <v>0.662443</v>
      </c>
      <c r="E546" s="12">
        <v>311.85774351356503</v>
      </c>
      <c r="F546" s="12">
        <v>42.25</v>
      </c>
      <c r="G546" s="12">
        <v>62.356767520360201</v>
      </c>
      <c r="H546" s="12" t="s">
        <v>0</v>
      </c>
      <c r="I546" s="12">
        <v>1.0394760000000001</v>
      </c>
      <c r="J546" s="12">
        <v>230.82499999999999</v>
      </c>
      <c r="K546" s="12">
        <v>400.84136999999998</v>
      </c>
      <c r="L546" s="12" t="s">
        <v>1</v>
      </c>
      <c r="M546" s="12" t="s">
        <v>0</v>
      </c>
      <c r="N546" s="12">
        <v>27.659494429727101</v>
      </c>
      <c r="O546" s="12">
        <v>14.5</v>
      </c>
      <c r="P546" s="12">
        <v>4417.7299999999996</v>
      </c>
      <c r="Q546" s="12" t="s">
        <v>1</v>
      </c>
    </row>
    <row r="547" spans="1:17" x14ac:dyDescent="0.25">
      <c r="A547" s="12">
        <f t="shared" si="8"/>
        <v>546</v>
      </c>
      <c r="B547" s="12">
        <v>1.05705</v>
      </c>
      <c r="C547" s="12">
        <v>8.6976100000000001E-2</v>
      </c>
      <c r="D547" s="12">
        <v>0.89346700000000001</v>
      </c>
      <c r="E547" s="12">
        <v>51.753752544418703</v>
      </c>
      <c r="F547" s="12">
        <v>49</v>
      </c>
      <c r="G547" s="12">
        <v>235.36183240758101</v>
      </c>
      <c r="H547" s="12" t="s">
        <v>0</v>
      </c>
      <c r="I547" s="12">
        <v>1.14564</v>
      </c>
      <c r="J547" s="12">
        <v>143.48804999999999</v>
      </c>
      <c r="K547" s="12">
        <v>537.14553000000001</v>
      </c>
      <c r="L547" s="12" t="s">
        <v>1</v>
      </c>
      <c r="M547" s="12" t="s">
        <v>0</v>
      </c>
      <c r="N547" s="12">
        <v>17.194008100107901</v>
      </c>
      <c r="O547" s="12">
        <v>15</v>
      </c>
      <c r="P547" s="12">
        <v>1700.35</v>
      </c>
      <c r="Q547" s="12" t="s">
        <v>1</v>
      </c>
    </row>
    <row r="548" spans="1:17" x14ac:dyDescent="0.25">
      <c r="A548" s="12">
        <f t="shared" si="8"/>
        <v>547</v>
      </c>
      <c r="B548" s="12">
        <v>0.30355900000000002</v>
      </c>
      <c r="C548" s="12">
        <v>-3.0636199999999999E-2</v>
      </c>
      <c r="D548" s="12">
        <v>0.48328900000000002</v>
      </c>
      <c r="E548" s="12">
        <v>2.1707525595823399E-2</v>
      </c>
      <c r="F548" s="12">
        <v>144</v>
      </c>
      <c r="G548" s="12">
        <v>214.08901002064101</v>
      </c>
      <c r="H548" s="12" t="s">
        <v>0</v>
      </c>
      <c r="I548" s="12">
        <v>0.54284699999999997</v>
      </c>
      <c r="J548" s="12">
        <v>84.681899999999999</v>
      </c>
      <c r="K548" s="12">
        <v>295.14051000000001</v>
      </c>
      <c r="L548" s="12" t="s">
        <v>1</v>
      </c>
      <c r="M548" s="12" t="s">
        <v>0</v>
      </c>
      <c r="N548" s="12">
        <v>10.147334739948899</v>
      </c>
      <c r="O548" s="12">
        <v>20</v>
      </c>
      <c r="P548" s="12">
        <v>1959.4</v>
      </c>
      <c r="Q548" s="12" t="s">
        <v>1</v>
      </c>
    </row>
    <row r="549" spans="1:17" x14ac:dyDescent="0.25">
      <c r="A549" s="12">
        <f t="shared" si="8"/>
        <v>548</v>
      </c>
      <c r="B549" s="12">
        <v>0.913018</v>
      </c>
      <c r="C549" s="12">
        <v>0.35067799999999999</v>
      </c>
      <c r="D549" s="12">
        <v>0.53090000000000004</v>
      </c>
      <c r="E549" s="12">
        <v>528.70361216320805</v>
      </c>
      <c r="F549" s="12">
        <v>36</v>
      </c>
      <c r="G549" s="12">
        <v>3.8291520180146299</v>
      </c>
      <c r="H549" s="12" t="s">
        <v>0</v>
      </c>
      <c r="I549" s="12">
        <v>1.0304139999999999</v>
      </c>
      <c r="J549" s="12">
        <v>275.339</v>
      </c>
      <c r="K549" s="12">
        <v>323.23099999999999</v>
      </c>
      <c r="L549" s="12" t="s">
        <v>1</v>
      </c>
      <c r="M549" s="12" t="s">
        <v>0</v>
      </c>
      <c r="N549" s="12">
        <v>32.993555883403602</v>
      </c>
      <c r="O549" s="12">
        <v>14</v>
      </c>
      <c r="P549" s="12">
        <v>8014.24</v>
      </c>
      <c r="Q549" s="12" t="s">
        <v>1</v>
      </c>
    </row>
    <row r="550" spans="1:17" x14ac:dyDescent="0.25">
      <c r="A550" s="12">
        <f t="shared" si="8"/>
        <v>549</v>
      </c>
      <c r="B550" s="12">
        <v>0.196828</v>
      </c>
      <c r="C550" s="12">
        <v>0.115234</v>
      </c>
      <c r="D550" s="12">
        <v>0.13636000000000001</v>
      </c>
      <c r="E550" s="12">
        <v>78.979905441292601</v>
      </c>
      <c r="F550" s="12">
        <v>90.25</v>
      </c>
      <c r="G550" s="12">
        <v>37.080758993432099</v>
      </c>
      <c r="H550" s="12" t="s">
        <v>0</v>
      </c>
      <c r="I550" s="12">
        <v>0.45746199999999998</v>
      </c>
      <c r="J550" s="12">
        <v>157.61699999999999</v>
      </c>
      <c r="K550" s="12">
        <v>90.452399999999997</v>
      </c>
      <c r="L550" s="12" t="s">
        <v>1</v>
      </c>
      <c r="M550" s="12" t="s">
        <v>0</v>
      </c>
      <c r="N550" s="12">
        <v>18.887063938179601</v>
      </c>
      <c r="O550" s="12">
        <v>17.5</v>
      </c>
      <c r="P550" s="12">
        <v>9522.6299999999992</v>
      </c>
      <c r="Q550" s="12" t="s">
        <v>1</v>
      </c>
    </row>
    <row r="551" spans="1:17" x14ac:dyDescent="0.25">
      <c r="A551" s="12">
        <f t="shared" si="8"/>
        <v>550</v>
      </c>
      <c r="B551" s="12">
        <v>0.57767900000000005</v>
      </c>
      <c r="C551" s="12">
        <v>0.106137</v>
      </c>
      <c r="D551" s="12">
        <v>0.22534799999999999</v>
      </c>
      <c r="E551" s="12">
        <v>69.589337912682296</v>
      </c>
      <c r="F551" s="12">
        <v>72.25</v>
      </c>
      <c r="G551" s="12">
        <v>23.7751088226684</v>
      </c>
      <c r="H551" s="12" t="s">
        <v>0</v>
      </c>
      <c r="I551" s="12">
        <v>0.76214300000000001</v>
      </c>
      <c r="J551" s="12">
        <v>153.0685</v>
      </c>
      <c r="K551" s="12">
        <v>142.95532</v>
      </c>
      <c r="L551" s="12" t="s">
        <v>1</v>
      </c>
      <c r="M551" s="12" t="s">
        <v>0</v>
      </c>
      <c r="N551" s="12">
        <v>18.342022411422899</v>
      </c>
      <c r="O551" s="12">
        <v>16.5</v>
      </c>
      <c r="P551" s="12">
        <v>9079.73</v>
      </c>
      <c r="Q551" s="12" t="s">
        <v>1</v>
      </c>
    </row>
    <row r="552" spans="1:17" x14ac:dyDescent="0.25">
      <c r="A552" s="12">
        <f t="shared" si="8"/>
        <v>551</v>
      </c>
      <c r="B552" s="12">
        <v>0.95260199999999995</v>
      </c>
      <c r="C552" s="12">
        <v>0.114541</v>
      </c>
      <c r="D552" s="12">
        <v>0.87178100000000003</v>
      </c>
      <c r="E552" s="12">
        <v>78.243635236569801</v>
      </c>
      <c r="F552" s="12">
        <v>42.25</v>
      </c>
      <c r="G552" s="12">
        <v>177.217367762056</v>
      </c>
      <c r="H552" s="12" t="s">
        <v>0</v>
      </c>
      <c r="I552" s="12">
        <v>1.0620810000000001</v>
      </c>
      <c r="J552" s="12">
        <v>157.2705</v>
      </c>
      <c r="K552" s="12">
        <v>524.35078999999996</v>
      </c>
      <c r="L552" s="12" t="s">
        <v>1</v>
      </c>
      <c r="M552" s="12" t="s">
        <v>0</v>
      </c>
      <c r="N552" s="12">
        <v>18.845543241461701</v>
      </c>
      <c r="O552" s="12">
        <v>14.5</v>
      </c>
      <c r="P552" s="12">
        <v>2441.0100000000002</v>
      </c>
      <c r="Q552" s="12" t="s">
        <v>1</v>
      </c>
    </row>
    <row r="553" spans="1:17" x14ac:dyDescent="0.25">
      <c r="A553" s="12">
        <f t="shared" si="8"/>
        <v>552</v>
      </c>
      <c r="B553" s="12">
        <v>0.84133500000000006</v>
      </c>
      <c r="C553" s="12">
        <v>0.73880500000000005</v>
      </c>
      <c r="D553" s="12">
        <v>0.98387800000000003</v>
      </c>
      <c r="E553" s="12">
        <v>2138.8739913173299</v>
      </c>
      <c r="F553" s="12">
        <v>36</v>
      </c>
      <c r="G553" s="12">
        <v>1.1309302728466799</v>
      </c>
      <c r="H553" s="12" t="s">
        <v>0</v>
      </c>
      <c r="I553" s="12">
        <v>0.97306800000000004</v>
      </c>
      <c r="J553" s="12">
        <v>469.40249999999997</v>
      </c>
      <c r="K553" s="12">
        <v>590.48802000000001</v>
      </c>
      <c r="L553" s="12" t="s">
        <v>1</v>
      </c>
      <c r="M553" s="12" t="s">
        <v>0</v>
      </c>
      <c r="N553" s="12">
        <v>56.2479620233944</v>
      </c>
      <c r="O553" s="12">
        <v>14</v>
      </c>
      <c r="P553" s="12">
        <v>7688.16</v>
      </c>
      <c r="Q553" s="12" t="s">
        <v>1</v>
      </c>
    </row>
    <row r="554" spans="1:17" x14ac:dyDescent="0.25">
      <c r="A554" s="12">
        <f t="shared" si="8"/>
        <v>553</v>
      </c>
      <c r="B554" s="12">
        <v>0.27338600000000002</v>
      </c>
      <c r="C554" s="12">
        <v>-3.1819100000000003E-2</v>
      </c>
      <c r="D554" s="12">
        <v>0.43215900000000002</v>
      </c>
      <c r="E554" s="12">
        <v>5.8464322885117001E-3</v>
      </c>
      <c r="F554" s="12">
        <v>156.25</v>
      </c>
      <c r="G554" s="12">
        <v>209.93707542578301</v>
      </c>
      <c r="H554" s="12" t="s">
        <v>0</v>
      </c>
      <c r="I554" s="12">
        <v>0.51870799999999995</v>
      </c>
      <c r="J554" s="12">
        <v>84.090450000000004</v>
      </c>
      <c r="K554" s="12">
        <v>264.97381000000001</v>
      </c>
      <c r="L554" s="12" t="s">
        <v>1</v>
      </c>
      <c r="M554" s="12" t="s">
        <v>0</v>
      </c>
      <c r="N554" s="12">
        <v>10.0764619662872</v>
      </c>
      <c r="O554" s="12">
        <v>20.5</v>
      </c>
      <c r="P554" s="12">
        <v>2011.44</v>
      </c>
      <c r="Q554" s="12" t="s">
        <v>1</v>
      </c>
    </row>
    <row r="555" spans="1:17" x14ac:dyDescent="0.25">
      <c r="A555" s="12">
        <f t="shared" si="8"/>
        <v>554</v>
      </c>
      <c r="B555" s="12">
        <v>0.41411500000000001</v>
      </c>
      <c r="C555" s="12">
        <v>-8.4286399999999994E-3</v>
      </c>
      <c r="D555" s="12">
        <v>0.37871700000000003</v>
      </c>
      <c r="E555" s="12">
        <v>2.1841527460016499</v>
      </c>
      <c r="F555" s="12">
        <v>132.25</v>
      </c>
      <c r="G555" s="12">
        <v>132.25882206492699</v>
      </c>
      <c r="H555" s="12" t="s">
        <v>0</v>
      </c>
      <c r="I555" s="12">
        <v>0.63129199999999996</v>
      </c>
      <c r="J555" s="12">
        <v>95.785679999999999</v>
      </c>
      <c r="K555" s="12">
        <v>233.44302999999999</v>
      </c>
      <c r="L555" s="12" t="s">
        <v>1</v>
      </c>
      <c r="M555" s="12" t="s">
        <v>0</v>
      </c>
      <c r="N555" s="12">
        <v>11.4778879341823</v>
      </c>
      <c r="O555" s="12">
        <v>19.5</v>
      </c>
      <c r="P555" s="12">
        <v>3102.36</v>
      </c>
      <c r="Q555" s="12" t="s">
        <v>1</v>
      </c>
    </row>
    <row r="556" spans="1:17" x14ac:dyDescent="0.25">
      <c r="A556" s="12">
        <f t="shared" si="8"/>
        <v>555</v>
      </c>
      <c r="B556" s="12">
        <v>0.93274900000000005</v>
      </c>
      <c r="C556" s="12">
        <v>0.34875200000000001</v>
      </c>
      <c r="D556" s="12">
        <v>0.60101099999999996</v>
      </c>
      <c r="E556" s="12">
        <v>523.41023702955999</v>
      </c>
      <c r="F556" s="12">
        <v>42.25</v>
      </c>
      <c r="G556" s="12">
        <v>24.1258599819853</v>
      </c>
      <c r="H556" s="12" t="s">
        <v>0</v>
      </c>
      <c r="I556" s="12">
        <v>1.0461990000000001</v>
      </c>
      <c r="J556" s="12">
        <v>274.37599999999998</v>
      </c>
      <c r="K556" s="12">
        <v>364.59649000000002</v>
      </c>
      <c r="L556" s="12" t="s">
        <v>1</v>
      </c>
      <c r="M556" s="12" t="s">
        <v>0</v>
      </c>
      <c r="N556" s="12">
        <v>32.878160700317601</v>
      </c>
      <c r="O556" s="12">
        <v>14.5</v>
      </c>
      <c r="P556" s="12">
        <v>5507.19</v>
      </c>
      <c r="Q556" s="12" t="s">
        <v>1</v>
      </c>
    </row>
    <row r="557" spans="1:17" x14ac:dyDescent="0.25">
      <c r="A557" s="12">
        <f t="shared" si="8"/>
        <v>556</v>
      </c>
      <c r="B557" s="12">
        <v>0.87175800000000003</v>
      </c>
      <c r="C557" s="12">
        <v>0.36114299999999999</v>
      </c>
      <c r="D557" s="12">
        <v>0.55618900000000004</v>
      </c>
      <c r="E557" s="12">
        <v>557.93087096176203</v>
      </c>
      <c r="F557" s="12">
        <v>36</v>
      </c>
      <c r="G557" s="12">
        <v>2.2004674317883199</v>
      </c>
      <c r="H557" s="12" t="s">
        <v>0</v>
      </c>
      <c r="I557" s="12">
        <v>0.99740600000000001</v>
      </c>
      <c r="J557" s="12">
        <v>280.57150000000001</v>
      </c>
      <c r="K557" s="12">
        <v>338.15150999999997</v>
      </c>
      <c r="L557" s="12" t="s">
        <v>1</v>
      </c>
      <c r="M557" s="12" t="s">
        <v>0</v>
      </c>
      <c r="N557" s="12">
        <v>33.620560343941001</v>
      </c>
      <c r="O557" s="12">
        <v>14</v>
      </c>
      <c r="P557" s="12">
        <v>7841.44</v>
      </c>
      <c r="Q557" s="12" t="s">
        <v>1</v>
      </c>
    </row>
    <row r="558" spans="1:17" x14ac:dyDescent="0.25">
      <c r="A558" s="12">
        <f t="shared" si="8"/>
        <v>557</v>
      </c>
      <c r="B558" s="12">
        <v>0.17107900000000001</v>
      </c>
      <c r="C558" s="12">
        <v>-1.1703399999999999E-2</v>
      </c>
      <c r="D558" s="12">
        <v>0.172236</v>
      </c>
      <c r="E558" s="12">
        <v>1.64271021244102</v>
      </c>
      <c r="F558" s="12">
        <v>132.25</v>
      </c>
      <c r="G558" s="12">
        <v>62.658718540814398</v>
      </c>
      <c r="H558" s="12" t="s">
        <v>0</v>
      </c>
      <c r="I558" s="12">
        <v>0.436863</v>
      </c>
      <c r="J558" s="12">
        <v>94.148300000000006</v>
      </c>
      <c r="K558" s="12">
        <v>111.61924</v>
      </c>
      <c r="L558" s="12" t="s">
        <v>1</v>
      </c>
      <c r="M558" s="12" t="s">
        <v>0</v>
      </c>
      <c r="N558" s="12">
        <v>11.2816825708579</v>
      </c>
      <c r="O558" s="12">
        <v>19.5</v>
      </c>
      <c r="P558" s="12">
        <v>4410.76</v>
      </c>
      <c r="Q558" s="12" t="s">
        <v>1</v>
      </c>
    </row>
    <row r="559" spans="1:17" x14ac:dyDescent="0.25">
      <c r="A559" s="12">
        <f t="shared" si="8"/>
        <v>558</v>
      </c>
      <c r="B559" s="12">
        <v>0.53051199999999998</v>
      </c>
      <c r="C559" s="12">
        <v>9.3245099999999997E-2</v>
      </c>
      <c r="D559" s="12">
        <v>0.25697199999999998</v>
      </c>
      <c r="E559" s="12">
        <v>57.299020261998599</v>
      </c>
      <c r="F559" s="12">
        <v>81</v>
      </c>
      <c r="G559" s="12">
        <v>0.54881711390504695</v>
      </c>
      <c r="H559" s="12" t="s">
        <v>0</v>
      </c>
      <c r="I559" s="12">
        <v>0.72440899999999997</v>
      </c>
      <c r="J559" s="12">
        <v>146.62254999999999</v>
      </c>
      <c r="K559" s="12">
        <v>161.61348000000001</v>
      </c>
      <c r="L559" s="12" t="s">
        <v>1</v>
      </c>
      <c r="M559" s="12" t="s">
        <v>0</v>
      </c>
      <c r="N559" s="12">
        <v>17.569611632177601</v>
      </c>
      <c r="O559" s="12">
        <v>17</v>
      </c>
      <c r="P559" s="12">
        <v>7570.4</v>
      </c>
      <c r="Q559" s="12" t="s">
        <v>1</v>
      </c>
    </row>
    <row r="560" spans="1:17" x14ac:dyDescent="0.25">
      <c r="A560" s="12">
        <f t="shared" si="8"/>
        <v>559</v>
      </c>
      <c r="B560" s="12">
        <v>0.99877499999999997</v>
      </c>
      <c r="C560" s="12">
        <v>4.91779E-3</v>
      </c>
      <c r="D560" s="12">
        <v>0.76318200000000003</v>
      </c>
      <c r="E560" s="12">
        <v>5.1871502671150198</v>
      </c>
      <c r="F560" s="12">
        <v>72.25</v>
      </c>
      <c r="G560" s="12">
        <v>269.744176231187</v>
      </c>
      <c r="H560" s="12" t="s">
        <v>0</v>
      </c>
      <c r="I560" s="12">
        <v>1.0990200000000001</v>
      </c>
      <c r="J560" s="12">
        <v>102.458895</v>
      </c>
      <c r="K560" s="12">
        <v>460.27737999999999</v>
      </c>
      <c r="L560" s="12" t="s">
        <v>1</v>
      </c>
      <c r="M560" s="12" t="s">
        <v>0</v>
      </c>
      <c r="N560" s="12">
        <v>12.2775316171493</v>
      </c>
      <c r="O560" s="12">
        <v>16.5</v>
      </c>
      <c r="P560" s="12">
        <v>1305.28</v>
      </c>
      <c r="Q560" s="12" t="s">
        <v>1</v>
      </c>
    </row>
    <row r="561" spans="1:17" x14ac:dyDescent="0.25">
      <c r="A561" s="12">
        <f t="shared" si="8"/>
        <v>560</v>
      </c>
      <c r="B561" s="12">
        <v>0.82816299999999998</v>
      </c>
      <c r="C561" s="12">
        <v>0.158081</v>
      </c>
      <c r="D561" s="12">
        <v>0.357595</v>
      </c>
      <c r="E561" s="12">
        <v>131.199094369779</v>
      </c>
      <c r="F561" s="12">
        <v>56.25</v>
      </c>
      <c r="G561" s="12">
        <v>12.0308248481891</v>
      </c>
      <c r="H561" s="12" t="s">
        <v>0</v>
      </c>
      <c r="I561" s="12">
        <v>0.96253</v>
      </c>
      <c r="J561" s="12">
        <v>179.04050000000001</v>
      </c>
      <c r="K561" s="12">
        <v>220.98105000000001</v>
      </c>
      <c r="L561" s="12" t="s">
        <v>1</v>
      </c>
      <c r="M561" s="12" t="s">
        <v>0</v>
      </c>
      <c r="N561" s="12">
        <v>21.4542173180789</v>
      </c>
      <c r="O561" s="12">
        <v>15.5</v>
      </c>
      <c r="P561" s="12">
        <v>6033.98</v>
      </c>
      <c r="Q561" s="12" t="s">
        <v>1</v>
      </c>
    </row>
    <row r="562" spans="1:17" x14ac:dyDescent="0.25">
      <c r="A562" s="12">
        <f t="shared" si="8"/>
        <v>561</v>
      </c>
      <c r="B562" s="12">
        <v>0.52772399999999997</v>
      </c>
      <c r="C562" s="12">
        <v>0.111678</v>
      </c>
      <c r="D562" s="12">
        <v>0.26967200000000002</v>
      </c>
      <c r="E562" s="12">
        <v>75.2384189803754</v>
      </c>
      <c r="F562" s="12">
        <v>81</v>
      </c>
      <c r="G562" s="12">
        <v>0.69656173315819103</v>
      </c>
      <c r="H562" s="12" t="s">
        <v>0</v>
      </c>
      <c r="I562" s="12">
        <v>0.72217900000000002</v>
      </c>
      <c r="J562" s="12">
        <v>155.839</v>
      </c>
      <c r="K562" s="12">
        <v>169.10648</v>
      </c>
      <c r="L562" s="12" t="s">
        <v>1</v>
      </c>
      <c r="M562" s="12" t="s">
        <v>0</v>
      </c>
      <c r="N562" s="12">
        <v>18.674008241889901</v>
      </c>
      <c r="O562" s="12">
        <v>17</v>
      </c>
      <c r="P562" s="12">
        <v>7604.63</v>
      </c>
      <c r="Q562" s="12" t="s">
        <v>1</v>
      </c>
    </row>
    <row r="563" spans="1:17" x14ac:dyDescent="0.25">
      <c r="A563" s="12">
        <f t="shared" si="8"/>
        <v>562</v>
      </c>
      <c r="B563" s="12">
        <v>1.07067</v>
      </c>
      <c r="C563" s="12">
        <v>4.4989300000000003E-2</v>
      </c>
      <c r="D563" s="12">
        <v>0.77013100000000001</v>
      </c>
      <c r="E563" s="12">
        <v>21.887362080776299</v>
      </c>
      <c r="F563" s="12">
        <v>49</v>
      </c>
      <c r="G563" s="12">
        <v>237.735845017076</v>
      </c>
      <c r="H563" s="12" t="s">
        <v>0</v>
      </c>
      <c r="I563" s="12">
        <v>1.1565300000000001</v>
      </c>
      <c r="J563" s="12">
        <v>122.49464999999999</v>
      </c>
      <c r="K563" s="12">
        <v>464.37729000000002</v>
      </c>
      <c r="L563" s="12" t="s">
        <v>1</v>
      </c>
      <c r="M563" s="12" t="s">
        <v>0</v>
      </c>
      <c r="N563" s="12">
        <v>14.678393108832999</v>
      </c>
      <c r="O563" s="12">
        <v>15</v>
      </c>
      <c r="P563" s="12">
        <v>1672.18</v>
      </c>
      <c r="Q563" s="12" t="s">
        <v>1</v>
      </c>
    </row>
    <row r="564" spans="1:17" x14ac:dyDescent="0.25">
      <c r="A564" s="12">
        <f t="shared" si="8"/>
        <v>563</v>
      </c>
      <c r="B564" s="12">
        <v>1.0982700000000001</v>
      </c>
      <c r="C564" s="12">
        <v>7.3164600000000003E-3</v>
      </c>
      <c r="D564" s="12">
        <v>0.70572599999999996</v>
      </c>
      <c r="E564" s="12">
        <v>5.8624348637882502</v>
      </c>
      <c r="F564" s="12">
        <v>56.25</v>
      </c>
      <c r="G564" s="12">
        <v>269.13885712216103</v>
      </c>
      <c r="H564" s="12" t="s">
        <v>0</v>
      </c>
      <c r="I564" s="12">
        <v>1.1786099999999999</v>
      </c>
      <c r="J564" s="12">
        <v>103.65823</v>
      </c>
      <c r="K564" s="12">
        <v>426.37833999999998</v>
      </c>
      <c r="L564" s="12" t="s">
        <v>1</v>
      </c>
      <c r="M564" s="12" t="s">
        <v>0</v>
      </c>
      <c r="N564" s="12">
        <v>12.421246551631601</v>
      </c>
      <c r="O564" s="12">
        <v>15.5</v>
      </c>
      <c r="P564" s="12">
        <v>1312.01</v>
      </c>
      <c r="Q564" s="12" t="s">
        <v>1</v>
      </c>
    </row>
    <row r="565" spans="1:17" x14ac:dyDescent="0.25">
      <c r="A565" s="12">
        <f t="shared" si="8"/>
        <v>564</v>
      </c>
      <c r="B565" s="12">
        <v>1.1198999999999999</v>
      </c>
      <c r="C565" s="12">
        <v>-4.9703499999999998E-2</v>
      </c>
      <c r="D565" s="12">
        <v>0.70335099999999995</v>
      </c>
      <c r="E565" s="12">
        <v>0.99016745163222997</v>
      </c>
      <c r="F565" s="12">
        <v>90.25</v>
      </c>
      <c r="G565" s="12">
        <v>319.52159968546403</v>
      </c>
      <c r="H565" s="12" t="s">
        <v>0</v>
      </c>
      <c r="I565" s="12">
        <v>1.1959</v>
      </c>
      <c r="J565" s="12">
        <v>75.148250000000004</v>
      </c>
      <c r="K565" s="12">
        <v>424.97708999999998</v>
      </c>
      <c r="L565" s="12" t="s">
        <v>1</v>
      </c>
      <c r="M565" s="12" t="s">
        <v>0</v>
      </c>
      <c r="N565" s="12">
        <v>9.0049284188400094</v>
      </c>
      <c r="O565" s="12">
        <v>17.5</v>
      </c>
      <c r="P565" s="12">
        <v>775.56399999999996</v>
      </c>
      <c r="Q565" s="12" t="s">
        <v>1</v>
      </c>
    </row>
    <row r="566" spans="1:17" x14ac:dyDescent="0.25">
      <c r="A566" s="12">
        <f t="shared" si="8"/>
        <v>565</v>
      </c>
      <c r="B566" s="12">
        <v>0.97855899999999996</v>
      </c>
      <c r="C566" s="12">
        <v>9.5137700000000006E-2</v>
      </c>
      <c r="D566" s="12">
        <v>0.71626000000000001</v>
      </c>
      <c r="E566" s="12">
        <v>59.028576178408102</v>
      </c>
      <c r="F566" s="12">
        <v>42.25</v>
      </c>
      <c r="G566" s="12">
        <v>154.89064073634799</v>
      </c>
      <c r="H566" s="12" t="s">
        <v>0</v>
      </c>
      <c r="I566" s="12">
        <v>1.0828469999999999</v>
      </c>
      <c r="J566" s="12">
        <v>147.56885</v>
      </c>
      <c r="K566" s="12">
        <v>432.59339999999997</v>
      </c>
      <c r="L566" s="12" t="s">
        <v>1</v>
      </c>
      <c r="M566" s="12" t="s">
        <v>0</v>
      </c>
      <c r="N566" s="12">
        <v>17.683005673459299</v>
      </c>
      <c r="O566" s="12">
        <v>14.5</v>
      </c>
      <c r="P566" s="12">
        <v>2757.39</v>
      </c>
      <c r="Q566" s="12" t="s">
        <v>1</v>
      </c>
    </row>
    <row r="567" spans="1:17" x14ac:dyDescent="0.25">
      <c r="A567" s="12">
        <f t="shared" si="8"/>
        <v>566</v>
      </c>
      <c r="B567" s="12">
        <v>0.96865599999999996</v>
      </c>
      <c r="C567" s="12">
        <v>0.330903</v>
      </c>
      <c r="D567" s="12">
        <v>0.62135099999999999</v>
      </c>
      <c r="E567" s="12">
        <v>475.62149471536799</v>
      </c>
      <c r="F567" s="12">
        <v>30.25</v>
      </c>
      <c r="G567" s="12">
        <v>1.9443819223118699</v>
      </c>
      <c r="H567" s="12" t="s">
        <v>0</v>
      </c>
      <c r="I567" s="12">
        <v>1.074924</v>
      </c>
      <c r="J567" s="12">
        <v>265.45150000000001</v>
      </c>
      <c r="K567" s="12">
        <v>376.59708999999998</v>
      </c>
      <c r="L567" s="12" t="s">
        <v>1</v>
      </c>
      <c r="M567" s="12" t="s">
        <v>0</v>
      </c>
      <c r="N567" s="12">
        <v>31.808748123525302</v>
      </c>
      <c r="O567" s="12">
        <v>13.5</v>
      </c>
      <c r="P567" s="12">
        <v>6791.04</v>
      </c>
      <c r="Q567" s="12" t="s">
        <v>1</v>
      </c>
    </row>
    <row r="568" spans="1:17" x14ac:dyDescent="0.25">
      <c r="A568" s="12">
        <f t="shared" si="8"/>
        <v>567</v>
      </c>
      <c r="B568" s="12">
        <v>0.85965800000000003</v>
      </c>
      <c r="C568" s="12">
        <v>0.39244800000000002</v>
      </c>
      <c r="D568" s="12">
        <v>0.51341099999999995</v>
      </c>
      <c r="E568" s="12">
        <v>650.05526737268895</v>
      </c>
      <c r="F568" s="12">
        <v>42.25</v>
      </c>
      <c r="G568" s="12">
        <v>15.1570489052355</v>
      </c>
      <c r="H568" s="12" t="s">
        <v>0</v>
      </c>
      <c r="I568" s="12">
        <v>0.98772599999999999</v>
      </c>
      <c r="J568" s="12">
        <v>296.22399999999999</v>
      </c>
      <c r="K568" s="12">
        <v>312.91248999999999</v>
      </c>
      <c r="L568" s="12" t="s">
        <v>1</v>
      </c>
      <c r="M568" s="12" t="s">
        <v>0</v>
      </c>
      <c r="N568" s="12">
        <v>35.496181427278202</v>
      </c>
      <c r="O568" s="12">
        <v>14.5</v>
      </c>
      <c r="P568" s="12">
        <v>8721.02</v>
      </c>
      <c r="Q568" s="12" t="s">
        <v>1</v>
      </c>
    </row>
    <row r="569" spans="1:17" x14ac:dyDescent="0.25">
      <c r="A569" s="12">
        <f t="shared" si="8"/>
        <v>568</v>
      </c>
      <c r="B569" s="12">
        <v>0.23080200000000001</v>
      </c>
      <c r="C569" s="12">
        <v>1.5207699999999999E-2</v>
      </c>
      <c r="D569" s="12">
        <v>0.42277100000000001</v>
      </c>
      <c r="E569" s="12">
        <v>8.3755002877491993</v>
      </c>
      <c r="F569" s="12">
        <v>132.25</v>
      </c>
      <c r="G569" s="12">
        <v>158.93610360292701</v>
      </c>
      <c r="H569" s="12" t="s">
        <v>0</v>
      </c>
      <c r="I569" s="12">
        <v>0.48464099999999999</v>
      </c>
      <c r="J569" s="12">
        <v>107.60384999999999</v>
      </c>
      <c r="K569" s="12">
        <v>259.43489</v>
      </c>
      <c r="L569" s="12" t="s">
        <v>1</v>
      </c>
      <c r="M569" s="12" t="s">
        <v>0</v>
      </c>
      <c r="N569" s="12">
        <v>12.8940456609648</v>
      </c>
      <c r="O569" s="12">
        <v>19.5</v>
      </c>
      <c r="P569" s="12">
        <v>2698.45</v>
      </c>
      <c r="Q569" s="12" t="s">
        <v>1</v>
      </c>
    </row>
    <row r="570" spans="1:17" x14ac:dyDescent="0.25">
      <c r="A570" s="12">
        <f t="shared" si="8"/>
        <v>569</v>
      </c>
      <c r="B570" s="12">
        <v>1.0109600000000001</v>
      </c>
      <c r="C570" s="12">
        <v>7.1424799999999997E-2</v>
      </c>
      <c r="D570" s="12">
        <v>0.64334599999999997</v>
      </c>
      <c r="E570" s="12">
        <v>39.215911558095499</v>
      </c>
      <c r="F570" s="12">
        <v>49</v>
      </c>
      <c r="G570" s="12">
        <v>192.91307307187</v>
      </c>
      <c r="H570" s="12" t="s">
        <v>0</v>
      </c>
      <c r="I570" s="12">
        <v>1.10876</v>
      </c>
      <c r="J570" s="12">
        <v>135.7124</v>
      </c>
      <c r="K570" s="12">
        <v>389.57414</v>
      </c>
      <c r="L570" s="12" t="s">
        <v>1</v>
      </c>
      <c r="M570" s="12" t="s">
        <v>0</v>
      </c>
      <c r="N570" s="12">
        <v>16.2622608982775</v>
      </c>
      <c r="O570" s="12">
        <v>15</v>
      </c>
      <c r="P570" s="12">
        <v>2230.4</v>
      </c>
      <c r="Q570" s="12" t="s">
        <v>1</v>
      </c>
    </row>
    <row r="571" spans="1:17" x14ac:dyDescent="0.25">
      <c r="A571" s="12">
        <f t="shared" si="8"/>
        <v>570</v>
      </c>
      <c r="B571" s="12">
        <v>0.46372999999999998</v>
      </c>
      <c r="C571" s="12">
        <v>0.20186200000000001</v>
      </c>
      <c r="D571" s="12">
        <v>0.34901599999999999</v>
      </c>
      <c r="E571" s="12">
        <v>198.17124164144201</v>
      </c>
      <c r="F571" s="12">
        <v>72.25</v>
      </c>
      <c r="G571" s="12">
        <v>9.0065765434415397</v>
      </c>
      <c r="H571" s="12" t="s">
        <v>0</v>
      </c>
      <c r="I571" s="12">
        <v>0.67098000000000002</v>
      </c>
      <c r="J571" s="12">
        <v>200.93100000000001</v>
      </c>
      <c r="K571" s="12">
        <v>215.91944000000001</v>
      </c>
      <c r="L571" s="12" t="s">
        <v>1</v>
      </c>
      <c r="M571" s="12" t="s">
        <v>0</v>
      </c>
      <c r="N571" s="12">
        <v>24.077330771188102</v>
      </c>
      <c r="O571" s="12">
        <v>16.5</v>
      </c>
      <c r="P571" s="12">
        <v>8395.4</v>
      </c>
      <c r="Q571" s="12" t="s">
        <v>1</v>
      </c>
    </row>
    <row r="572" spans="1:17" x14ac:dyDescent="0.25">
      <c r="A572" s="12">
        <f t="shared" si="8"/>
        <v>571</v>
      </c>
      <c r="B572" s="12">
        <v>0.86328300000000002</v>
      </c>
      <c r="C572" s="12">
        <v>5.5232099999999998E-3</v>
      </c>
      <c r="D572" s="12">
        <v>0.709874</v>
      </c>
      <c r="E572" s="12">
        <v>5.3536936173659697</v>
      </c>
      <c r="F572" s="12">
        <v>81</v>
      </c>
      <c r="G572" s="12">
        <v>260.95525661474898</v>
      </c>
      <c r="H572" s="12" t="s">
        <v>0</v>
      </c>
      <c r="I572" s="12">
        <v>0.99062600000000001</v>
      </c>
      <c r="J572" s="12">
        <v>102.761605</v>
      </c>
      <c r="K572" s="12">
        <v>428.82566000000003</v>
      </c>
      <c r="L572" s="12" t="s">
        <v>1</v>
      </c>
      <c r="M572" s="12" t="s">
        <v>0</v>
      </c>
      <c r="N572" s="12">
        <v>12.3138050085013</v>
      </c>
      <c r="O572" s="12">
        <v>17</v>
      </c>
      <c r="P572" s="12">
        <v>1403.75</v>
      </c>
      <c r="Q572" s="12" t="s">
        <v>1</v>
      </c>
    </row>
    <row r="573" spans="1:17" x14ac:dyDescent="0.25">
      <c r="A573" s="12">
        <f t="shared" si="8"/>
        <v>572</v>
      </c>
      <c r="B573" s="12">
        <v>0.80810099999999996</v>
      </c>
      <c r="C573" s="12">
        <v>0.35725200000000001</v>
      </c>
      <c r="D573" s="12">
        <v>0.39402900000000002</v>
      </c>
      <c r="E573" s="12">
        <v>546.97203707214203</v>
      </c>
      <c r="F573" s="12">
        <v>42.25</v>
      </c>
      <c r="G573" s="12">
        <v>64.663629273784906</v>
      </c>
      <c r="H573" s="12" t="s">
        <v>0</v>
      </c>
      <c r="I573" s="12">
        <v>0.94647999999999999</v>
      </c>
      <c r="J573" s="12">
        <v>278.62599999999998</v>
      </c>
      <c r="K573" s="12">
        <v>242.47711000000001</v>
      </c>
      <c r="L573" s="12" t="s">
        <v>1</v>
      </c>
      <c r="M573" s="12" t="s">
        <v>0</v>
      </c>
      <c r="N573" s="12">
        <v>33.387433315183202</v>
      </c>
      <c r="O573" s="12">
        <v>14.5</v>
      </c>
      <c r="P573" s="12">
        <v>10235.1</v>
      </c>
      <c r="Q573" s="12" t="s">
        <v>1</v>
      </c>
    </row>
    <row r="574" spans="1:17" x14ac:dyDescent="0.25">
      <c r="A574" s="12">
        <f t="shared" si="8"/>
        <v>573</v>
      </c>
      <c r="B574" s="12">
        <v>0.98001799999999994</v>
      </c>
      <c r="C574" s="12">
        <v>0.36543399999999998</v>
      </c>
      <c r="D574" s="12">
        <v>0.611568</v>
      </c>
      <c r="E574" s="12">
        <v>570.14231960835696</v>
      </c>
      <c r="F574" s="12">
        <v>30.25</v>
      </c>
      <c r="G574" s="12">
        <v>9.6093706136235607E-3</v>
      </c>
      <c r="H574" s="12" t="s">
        <v>0</v>
      </c>
      <c r="I574" s="12">
        <v>1.084014</v>
      </c>
      <c r="J574" s="12">
        <v>282.71699999999998</v>
      </c>
      <c r="K574" s="12">
        <v>370.82512000000003</v>
      </c>
      <c r="L574" s="12" t="s">
        <v>1</v>
      </c>
      <c r="M574" s="12" t="s">
        <v>0</v>
      </c>
      <c r="N574" s="12">
        <v>33.877653142810203</v>
      </c>
      <c r="O574" s="12">
        <v>13.5</v>
      </c>
      <c r="P574" s="12">
        <v>7264.22</v>
      </c>
      <c r="Q574" s="12" t="s">
        <v>1</v>
      </c>
    </row>
    <row r="575" spans="1:17" x14ac:dyDescent="0.25">
      <c r="A575" s="12">
        <f t="shared" si="8"/>
        <v>574</v>
      </c>
      <c r="B575" s="12">
        <v>0.56523000000000001</v>
      </c>
      <c r="C575" s="12">
        <v>9.6899600000000002E-2</v>
      </c>
      <c r="D575" s="12">
        <v>0.30128700000000003</v>
      </c>
      <c r="E575" s="12">
        <v>60.661805500033502</v>
      </c>
      <c r="F575" s="12">
        <v>72.25</v>
      </c>
      <c r="G575" s="12">
        <v>0.56192480465378103</v>
      </c>
      <c r="H575" s="12" t="s">
        <v>0</v>
      </c>
      <c r="I575" s="12">
        <v>0.75217999999999996</v>
      </c>
      <c r="J575" s="12">
        <v>148.44980000000001</v>
      </c>
      <c r="K575" s="12">
        <v>187.75933000000001</v>
      </c>
      <c r="L575" s="12" t="s">
        <v>1</v>
      </c>
      <c r="M575" s="12" t="s">
        <v>0</v>
      </c>
      <c r="N575" s="12">
        <v>17.788568899357099</v>
      </c>
      <c r="O575" s="12">
        <v>16.5</v>
      </c>
      <c r="P575" s="12">
        <v>7026.39</v>
      </c>
      <c r="Q575" s="12" t="s">
        <v>1</v>
      </c>
    </row>
    <row r="576" spans="1:17" x14ac:dyDescent="0.25">
      <c r="A576" s="12">
        <f t="shared" si="8"/>
        <v>575</v>
      </c>
      <c r="B576" s="12">
        <v>0.83211000000000002</v>
      </c>
      <c r="C576" s="12">
        <v>-6.7304000000000003E-2</v>
      </c>
      <c r="D576" s="12">
        <v>0.745502</v>
      </c>
      <c r="E576" s="12">
        <v>4.2008413990922104</v>
      </c>
      <c r="F576" s="12">
        <v>132.25</v>
      </c>
      <c r="G576" s="12">
        <v>323.22237400128301</v>
      </c>
      <c r="H576" s="12" t="s">
        <v>0</v>
      </c>
      <c r="I576" s="12">
        <v>0.96567999999999998</v>
      </c>
      <c r="J576" s="12">
        <v>66.347999999999999</v>
      </c>
      <c r="K576" s="12">
        <v>449.84618</v>
      </c>
      <c r="L576" s="12" t="s">
        <v>1</v>
      </c>
      <c r="M576" s="12" t="s">
        <v>0</v>
      </c>
      <c r="N576" s="12">
        <v>7.9504045767292899</v>
      </c>
      <c r="O576" s="12">
        <v>19.5</v>
      </c>
      <c r="P576" s="12">
        <v>737.88900000000001</v>
      </c>
      <c r="Q576" s="12" t="s">
        <v>1</v>
      </c>
    </row>
    <row r="577" spans="1:17" x14ac:dyDescent="0.25">
      <c r="A577" s="12">
        <f t="shared" si="8"/>
        <v>576</v>
      </c>
      <c r="B577" s="12">
        <v>0.81204200000000004</v>
      </c>
      <c r="C577" s="12">
        <v>0.220114</v>
      </c>
      <c r="D577" s="12">
        <v>0.44139299999999998</v>
      </c>
      <c r="E577" s="12">
        <v>230.15586884397101</v>
      </c>
      <c r="F577" s="12">
        <v>49</v>
      </c>
      <c r="G577" s="12">
        <v>18.3533602259335</v>
      </c>
      <c r="H577" s="12" t="s">
        <v>0</v>
      </c>
      <c r="I577" s="12">
        <v>0.94963299999999995</v>
      </c>
      <c r="J577" s="12">
        <v>210.05699999999999</v>
      </c>
      <c r="K577" s="12">
        <v>270.42187000000001</v>
      </c>
      <c r="L577" s="12" t="s">
        <v>1</v>
      </c>
      <c r="M577" s="12" t="s">
        <v>0</v>
      </c>
      <c r="N577" s="12">
        <v>25.1708888613677</v>
      </c>
      <c r="O577" s="12">
        <v>15</v>
      </c>
      <c r="P577" s="12">
        <v>5736.31</v>
      </c>
      <c r="Q577" s="12" t="s">
        <v>1</v>
      </c>
    </row>
    <row r="578" spans="1:17" x14ac:dyDescent="0.25">
      <c r="A578" s="12">
        <f t="shared" si="8"/>
        <v>577</v>
      </c>
      <c r="B578" s="12">
        <v>1.0621799999999999</v>
      </c>
      <c r="C578" s="12">
        <v>-2.95004E-2</v>
      </c>
      <c r="D578" s="12">
        <v>0.59887699999999999</v>
      </c>
      <c r="E578" s="12">
        <v>4.6390932641731303E-2</v>
      </c>
      <c r="F578" s="12">
        <v>81</v>
      </c>
      <c r="G578" s="12">
        <v>284.12196515744</v>
      </c>
      <c r="H578" s="12" t="s">
        <v>0</v>
      </c>
      <c r="I578" s="12">
        <v>1.14974</v>
      </c>
      <c r="J578" s="12">
        <v>85.249799999999993</v>
      </c>
      <c r="K578" s="12">
        <v>363.33742999999998</v>
      </c>
      <c r="L578" s="12" t="s">
        <v>1</v>
      </c>
      <c r="M578" s="12" t="s">
        <v>0</v>
      </c>
      <c r="N578" s="12">
        <v>10.21538554418</v>
      </c>
      <c r="O578" s="12">
        <v>17</v>
      </c>
      <c r="P578" s="12">
        <v>1147.5899999999999</v>
      </c>
      <c r="Q578" s="12" t="s">
        <v>1</v>
      </c>
    </row>
    <row r="579" spans="1:17" x14ac:dyDescent="0.25">
      <c r="A579" s="12">
        <f t="shared" si="8"/>
        <v>578</v>
      </c>
      <c r="B579" s="12">
        <v>1.0526</v>
      </c>
      <c r="C579" s="12">
        <v>9.3266799999999997E-2</v>
      </c>
      <c r="D579" s="12">
        <v>0.637127</v>
      </c>
      <c r="E579" s="12">
        <v>57.318705107955097</v>
      </c>
      <c r="F579" s="12">
        <v>49</v>
      </c>
      <c r="G579" s="12">
        <v>177.11307302383099</v>
      </c>
      <c r="H579" s="12" t="s">
        <v>0</v>
      </c>
      <c r="I579" s="12">
        <v>1.1419999999999999</v>
      </c>
      <c r="J579" s="12">
        <v>146.63339999999999</v>
      </c>
      <c r="K579" s="12">
        <v>385.90492999999998</v>
      </c>
      <c r="L579" s="12" t="s">
        <v>1</v>
      </c>
      <c r="M579" s="12" t="s">
        <v>0</v>
      </c>
      <c r="N579" s="12">
        <v>17.570911775206099</v>
      </c>
      <c r="O579" s="12">
        <v>15</v>
      </c>
      <c r="P579" s="12">
        <v>2442.44</v>
      </c>
      <c r="Q579" s="12" t="s">
        <v>1</v>
      </c>
    </row>
    <row r="580" spans="1:17" x14ac:dyDescent="0.25">
      <c r="A580" s="12">
        <f t="shared" ref="A580:A643" si="9">A579+1</f>
        <v>579</v>
      </c>
      <c r="B580" s="12">
        <v>0.95383600000000002</v>
      </c>
      <c r="C580" s="12">
        <v>0.34225899999999998</v>
      </c>
      <c r="D580" s="12">
        <v>0.54686999999999997</v>
      </c>
      <c r="E580" s="12">
        <v>505.76125318352899</v>
      </c>
      <c r="F580" s="12">
        <v>30.25</v>
      </c>
      <c r="G580" s="12">
        <v>1.2925509544004501</v>
      </c>
      <c r="H580" s="12" t="s">
        <v>0</v>
      </c>
      <c r="I580" s="12">
        <v>1.0630679999999999</v>
      </c>
      <c r="J580" s="12">
        <v>271.12950000000001</v>
      </c>
      <c r="K580" s="12">
        <v>332.6533</v>
      </c>
      <c r="L580" s="12" t="s">
        <v>1</v>
      </c>
      <c r="M580" s="12" t="s">
        <v>0</v>
      </c>
      <c r="N580" s="12">
        <v>32.489136336985602</v>
      </c>
      <c r="O580" s="12">
        <v>13.5</v>
      </c>
      <c r="P580" s="12">
        <v>7714.97</v>
      </c>
      <c r="Q580" s="12" t="s">
        <v>1</v>
      </c>
    </row>
    <row r="581" spans="1:17" x14ac:dyDescent="0.25">
      <c r="A581" s="12">
        <f t="shared" si="9"/>
        <v>580</v>
      </c>
      <c r="B581" s="12">
        <v>0.98132900000000001</v>
      </c>
      <c r="C581" s="12">
        <v>0.30221900000000002</v>
      </c>
      <c r="D581" s="12">
        <v>0.60231999999999997</v>
      </c>
      <c r="E581" s="12">
        <v>403.61463927497999</v>
      </c>
      <c r="F581" s="12">
        <v>30.25</v>
      </c>
      <c r="G581" s="12">
        <v>3.5229747277162602</v>
      </c>
      <c r="H581" s="12" t="s">
        <v>0</v>
      </c>
      <c r="I581" s="12">
        <v>1.0850630000000001</v>
      </c>
      <c r="J581" s="12">
        <v>251.1095</v>
      </c>
      <c r="K581" s="12">
        <v>365.36880000000002</v>
      </c>
      <c r="L581" s="12" t="s">
        <v>1</v>
      </c>
      <c r="M581" s="12" t="s">
        <v>0</v>
      </c>
      <c r="N581" s="12">
        <v>30.090162748842499</v>
      </c>
      <c r="O581" s="12">
        <v>13.5</v>
      </c>
      <c r="P581" s="12">
        <v>6614.91</v>
      </c>
      <c r="Q581" s="12" t="s">
        <v>1</v>
      </c>
    </row>
    <row r="582" spans="1:17" x14ac:dyDescent="0.25">
      <c r="A582" s="12">
        <f t="shared" si="9"/>
        <v>581</v>
      </c>
      <c r="B582" s="12">
        <v>0.99525300000000005</v>
      </c>
      <c r="C582" s="12">
        <v>-2.6245899999999999E-2</v>
      </c>
      <c r="D582" s="12">
        <v>0.63856900000000005</v>
      </c>
      <c r="E582" s="12">
        <v>0.168409315983681</v>
      </c>
      <c r="F582" s="12">
        <v>81</v>
      </c>
      <c r="G582" s="12">
        <v>287.98090000000002</v>
      </c>
      <c r="H582" s="12" t="s">
        <v>0</v>
      </c>
      <c r="I582" s="12">
        <v>1.0962019999999999</v>
      </c>
      <c r="J582" s="12">
        <v>86.877049999999997</v>
      </c>
      <c r="K582" s="12">
        <v>386.75571000000002</v>
      </c>
      <c r="L582" s="12" t="s">
        <v>1</v>
      </c>
      <c r="M582" s="12" t="s">
        <v>0</v>
      </c>
      <c r="N582" s="12">
        <v>10.4103770412482</v>
      </c>
      <c r="O582" s="12">
        <v>17</v>
      </c>
      <c r="P582" s="12">
        <v>1105.95</v>
      </c>
      <c r="Q582" s="12" t="s">
        <v>1</v>
      </c>
    </row>
    <row r="583" spans="1:17" x14ac:dyDescent="0.25">
      <c r="A583" s="12">
        <f t="shared" si="9"/>
        <v>582</v>
      </c>
      <c r="B583" s="12">
        <v>1.0328200000000001</v>
      </c>
      <c r="C583" s="12">
        <v>3.66941E-2</v>
      </c>
      <c r="D583" s="12">
        <v>0.67291299999999998</v>
      </c>
      <c r="E583" s="12">
        <v>17.4840304294836</v>
      </c>
      <c r="F583" s="12">
        <v>56.25</v>
      </c>
      <c r="G583" s="12">
        <v>218.87135302233</v>
      </c>
      <c r="H583" s="12" t="s">
        <v>0</v>
      </c>
      <c r="I583" s="12">
        <v>1.12625</v>
      </c>
      <c r="J583" s="12">
        <v>118.34705</v>
      </c>
      <c r="K583" s="12">
        <v>407.01866999999999</v>
      </c>
      <c r="L583" s="12" t="s">
        <v>1</v>
      </c>
      <c r="M583" s="12" t="s">
        <v>0</v>
      </c>
      <c r="N583" s="12">
        <v>14.181390968264401</v>
      </c>
      <c r="O583" s="12">
        <v>15.5</v>
      </c>
      <c r="P583" s="12">
        <v>1900.08</v>
      </c>
      <c r="Q583" s="12" t="s">
        <v>1</v>
      </c>
    </row>
    <row r="584" spans="1:17" x14ac:dyDescent="0.25">
      <c r="A584" s="12">
        <f t="shared" si="9"/>
        <v>583</v>
      </c>
      <c r="B584" s="12">
        <v>1.04043</v>
      </c>
      <c r="C584" s="12">
        <v>4.68866E-2</v>
      </c>
      <c r="D584" s="12">
        <v>0.67359800000000003</v>
      </c>
      <c r="E584" s="12">
        <v>22.963922884729602</v>
      </c>
      <c r="F584" s="12">
        <v>49</v>
      </c>
      <c r="G584" s="12">
        <v>216.64775122086601</v>
      </c>
      <c r="H584" s="12" t="s">
        <v>0</v>
      </c>
      <c r="I584" s="12">
        <v>1.1323399999999999</v>
      </c>
      <c r="J584" s="12">
        <v>123.44329999999999</v>
      </c>
      <c r="K584" s="12">
        <v>407.42282</v>
      </c>
      <c r="L584" s="12" t="s">
        <v>1</v>
      </c>
      <c r="M584" s="12" t="s">
        <v>0</v>
      </c>
      <c r="N584" s="12">
        <v>14.7920687479135</v>
      </c>
      <c r="O584" s="12">
        <v>15</v>
      </c>
      <c r="P584" s="12">
        <v>1927.58</v>
      </c>
      <c r="Q584" s="12" t="s">
        <v>1</v>
      </c>
    </row>
    <row r="585" spans="1:17" x14ac:dyDescent="0.25">
      <c r="A585" s="12">
        <f t="shared" si="9"/>
        <v>584</v>
      </c>
      <c r="B585" s="12">
        <v>1.0624499999999999</v>
      </c>
      <c r="C585" s="12">
        <v>0.29835600000000001</v>
      </c>
      <c r="D585" s="12">
        <v>0.93465200000000004</v>
      </c>
      <c r="E585" s="12">
        <v>394.368494884516</v>
      </c>
      <c r="F585" s="12">
        <v>36</v>
      </c>
      <c r="G585" s="12">
        <v>109.53084781685099</v>
      </c>
      <c r="H585" s="12" t="s">
        <v>0</v>
      </c>
      <c r="I585" s="12">
        <v>1.1499600000000001</v>
      </c>
      <c r="J585" s="12">
        <v>249.178</v>
      </c>
      <c r="K585" s="12">
        <v>561.44467999999995</v>
      </c>
      <c r="L585" s="12" t="s">
        <v>1</v>
      </c>
      <c r="M585" s="12" t="s">
        <v>0</v>
      </c>
      <c r="N585" s="12">
        <v>29.858713323992401</v>
      </c>
      <c r="O585" s="12">
        <v>14</v>
      </c>
      <c r="P585" s="12">
        <v>3480.02</v>
      </c>
      <c r="Q585" s="12" t="s">
        <v>1</v>
      </c>
    </row>
    <row r="586" spans="1:17" x14ac:dyDescent="0.25">
      <c r="A586" s="12">
        <f t="shared" si="9"/>
        <v>585</v>
      </c>
      <c r="B586" s="12">
        <v>0.208985</v>
      </c>
      <c r="C586" s="12">
        <v>6.7191999999999998E-3</v>
      </c>
      <c r="D586" s="12">
        <v>0.102067</v>
      </c>
      <c r="E586" s="12">
        <v>5.6904292491933601</v>
      </c>
      <c r="F586" s="12">
        <v>132.25</v>
      </c>
      <c r="G586" s="12">
        <v>0.51662617751923401</v>
      </c>
      <c r="H586" s="12" t="s">
        <v>0</v>
      </c>
      <c r="I586" s="12">
        <v>0.46718799999999999</v>
      </c>
      <c r="J586" s="12">
        <v>103.3596</v>
      </c>
      <c r="K586" s="12">
        <v>70.219530000000006</v>
      </c>
      <c r="L586" s="12" t="s">
        <v>1</v>
      </c>
      <c r="M586" s="12" t="s">
        <v>0</v>
      </c>
      <c r="N586" s="12">
        <v>12.3854620619899</v>
      </c>
      <c r="O586" s="12">
        <v>19.5</v>
      </c>
      <c r="P586" s="12">
        <v>7037.65</v>
      </c>
      <c r="Q586" s="12" t="s">
        <v>1</v>
      </c>
    </row>
    <row r="587" spans="1:17" x14ac:dyDescent="0.25">
      <c r="A587" s="12">
        <f t="shared" si="9"/>
        <v>586</v>
      </c>
      <c r="B587" s="12">
        <v>0.57415899999999997</v>
      </c>
      <c r="C587" s="12">
        <v>4.9647999999999998E-2</v>
      </c>
      <c r="D587" s="12">
        <v>0.28544599999999998</v>
      </c>
      <c r="E587" s="12">
        <v>24.576969271481101</v>
      </c>
      <c r="F587" s="12">
        <v>90.25</v>
      </c>
      <c r="G587" s="12">
        <v>29.8720646004878</v>
      </c>
      <c r="H587" s="12" t="s">
        <v>0</v>
      </c>
      <c r="I587" s="12">
        <v>0.75932699999999997</v>
      </c>
      <c r="J587" s="12">
        <v>124.824</v>
      </c>
      <c r="K587" s="12">
        <v>178.41314</v>
      </c>
      <c r="L587" s="12" t="s">
        <v>1</v>
      </c>
      <c r="M587" s="12" t="s">
        <v>0</v>
      </c>
      <c r="N587" s="12">
        <v>14.957516441877001</v>
      </c>
      <c r="O587" s="12">
        <v>17.5</v>
      </c>
      <c r="P587" s="12">
        <v>5305.08</v>
      </c>
      <c r="Q587" s="12" t="s">
        <v>1</v>
      </c>
    </row>
    <row r="588" spans="1:17" x14ac:dyDescent="0.25">
      <c r="A588" s="12">
        <f t="shared" si="9"/>
        <v>587</v>
      </c>
      <c r="B588" s="12">
        <v>0.124947</v>
      </c>
      <c r="C588" s="12">
        <v>-6.8026100000000006E-2</v>
      </c>
      <c r="D588" s="12">
        <v>0.149592</v>
      </c>
      <c r="E588" s="12">
        <v>4.3800614298965899</v>
      </c>
      <c r="F588" s="12">
        <v>144</v>
      </c>
      <c r="G588" s="12">
        <v>130.65805265978599</v>
      </c>
      <c r="H588" s="12" t="s">
        <v>0</v>
      </c>
      <c r="I588" s="12">
        <v>0.39995700000000001</v>
      </c>
      <c r="J588" s="12">
        <v>65.986949999999993</v>
      </c>
      <c r="K588" s="12">
        <v>98.259280000000004</v>
      </c>
      <c r="L588" s="12" t="s">
        <v>1</v>
      </c>
      <c r="M588" s="12" t="s">
        <v>0</v>
      </c>
      <c r="N588" s="12">
        <v>7.9071403702358296</v>
      </c>
      <c r="O588" s="12">
        <v>20</v>
      </c>
      <c r="P588" s="12">
        <v>3127.84</v>
      </c>
      <c r="Q588" s="12" t="s">
        <v>1</v>
      </c>
    </row>
    <row r="589" spans="1:17" x14ac:dyDescent="0.25">
      <c r="A589" s="12">
        <f t="shared" si="9"/>
        <v>588</v>
      </c>
      <c r="B589" s="12">
        <v>0.90176599999999996</v>
      </c>
      <c r="C589" s="12">
        <v>0.38949299999999998</v>
      </c>
      <c r="D589" s="12">
        <v>0.64580499999999996</v>
      </c>
      <c r="E589" s="12">
        <v>641.05856173085203</v>
      </c>
      <c r="F589" s="12">
        <v>36</v>
      </c>
      <c r="G589" s="12">
        <v>6.6889547757553E-2</v>
      </c>
      <c r="H589" s="12" t="s">
        <v>0</v>
      </c>
      <c r="I589" s="12">
        <v>1.021412</v>
      </c>
      <c r="J589" s="12">
        <v>294.74650000000003</v>
      </c>
      <c r="K589" s="12">
        <v>391.02494999999999</v>
      </c>
      <c r="L589" s="12" t="s">
        <v>1</v>
      </c>
      <c r="M589" s="12" t="s">
        <v>0</v>
      </c>
      <c r="N589" s="12">
        <v>35.319134300580899</v>
      </c>
      <c r="O589" s="12">
        <v>14</v>
      </c>
      <c r="P589" s="12">
        <v>7205.6</v>
      </c>
      <c r="Q589" s="12" t="s">
        <v>1</v>
      </c>
    </row>
    <row r="590" spans="1:17" x14ac:dyDescent="0.25">
      <c r="A590" s="12">
        <f t="shared" si="9"/>
        <v>589</v>
      </c>
      <c r="B590" s="12">
        <v>0.54321600000000003</v>
      </c>
      <c r="C590" s="12">
        <v>5.3594799999999998E-2</v>
      </c>
      <c r="D590" s="12">
        <v>0.25451499999999999</v>
      </c>
      <c r="E590" s="12">
        <v>26.9774977937107</v>
      </c>
      <c r="F590" s="12">
        <v>90.25</v>
      </c>
      <c r="G590" s="12">
        <v>13.9460298359917</v>
      </c>
      <c r="H590" s="12" t="s">
        <v>0</v>
      </c>
      <c r="I590" s="12">
        <v>0.734572</v>
      </c>
      <c r="J590" s="12">
        <v>126.7974</v>
      </c>
      <c r="K590" s="12">
        <v>160.16385</v>
      </c>
      <c r="L590" s="12" t="s">
        <v>1</v>
      </c>
      <c r="M590" s="12" t="s">
        <v>0</v>
      </c>
      <c r="N590" s="12">
        <v>15.1939866955654</v>
      </c>
      <c r="O590" s="12">
        <v>17.5</v>
      </c>
      <c r="P590" s="12">
        <v>5936.93</v>
      </c>
      <c r="Q590" s="12" t="s">
        <v>1</v>
      </c>
    </row>
    <row r="591" spans="1:17" x14ac:dyDescent="0.25">
      <c r="A591" s="12">
        <f t="shared" si="9"/>
        <v>590</v>
      </c>
      <c r="B591" s="12">
        <v>1.0901799999999999</v>
      </c>
      <c r="C591" s="12">
        <v>1.10527E-2</v>
      </c>
      <c r="D591" s="12">
        <v>0.70765599999999995</v>
      </c>
      <c r="E591" s="12">
        <v>6.9965604848543199</v>
      </c>
      <c r="F591" s="12">
        <v>56.25</v>
      </c>
      <c r="G591" s="12">
        <v>268.16530022518202</v>
      </c>
      <c r="H591" s="12" t="s">
        <v>0</v>
      </c>
      <c r="I591" s="12">
        <v>1.17214</v>
      </c>
      <c r="J591" s="12">
        <v>105.52634999999999</v>
      </c>
      <c r="K591" s="12">
        <v>427.51704000000001</v>
      </c>
      <c r="L591" s="12" t="s">
        <v>1</v>
      </c>
      <c r="M591" s="12" t="s">
        <v>0</v>
      </c>
      <c r="N591" s="12">
        <v>12.6451012239334</v>
      </c>
      <c r="O591" s="12">
        <v>15.5</v>
      </c>
      <c r="P591" s="12">
        <v>1322.85</v>
      </c>
      <c r="Q591" s="12" t="s">
        <v>1</v>
      </c>
    </row>
    <row r="592" spans="1:17" x14ac:dyDescent="0.25">
      <c r="A592" s="12">
        <f t="shared" si="9"/>
        <v>591</v>
      </c>
      <c r="B592" s="12">
        <v>0.44580399999999998</v>
      </c>
      <c r="C592" s="12">
        <v>3.7364399999999999E-2</v>
      </c>
      <c r="D592" s="12">
        <v>0.17447599999999999</v>
      </c>
      <c r="E592" s="12">
        <v>17.821497975026499</v>
      </c>
      <c r="F592" s="12">
        <v>110.25</v>
      </c>
      <c r="G592" s="12">
        <v>2.8825527491086501E-2</v>
      </c>
      <c r="H592" s="12" t="s">
        <v>0</v>
      </c>
      <c r="I592" s="12">
        <v>0.65664299999999998</v>
      </c>
      <c r="J592" s="12">
        <v>118.68219999999999</v>
      </c>
      <c r="K592" s="12">
        <v>112.94083999999999</v>
      </c>
      <c r="L592" s="12" t="s">
        <v>1</v>
      </c>
      <c r="M592" s="12" t="s">
        <v>0</v>
      </c>
      <c r="N592" s="12">
        <v>14.2215516075285</v>
      </c>
      <c r="O592" s="12">
        <v>18.5</v>
      </c>
      <c r="P592" s="12">
        <v>7238.03</v>
      </c>
      <c r="Q592" s="12" t="s">
        <v>1</v>
      </c>
    </row>
    <row r="593" spans="1:17" x14ac:dyDescent="0.25">
      <c r="A593" s="12">
        <f t="shared" si="9"/>
        <v>592</v>
      </c>
      <c r="B593" s="12">
        <v>0.81321299999999996</v>
      </c>
      <c r="C593" s="12">
        <v>9.8258499999999999E-2</v>
      </c>
      <c r="D593" s="12">
        <v>0.33741199999999999</v>
      </c>
      <c r="E593" s="12">
        <v>61.936689270979002</v>
      </c>
      <c r="F593" s="12">
        <v>56.25</v>
      </c>
      <c r="G593" s="12">
        <v>25.438895871645698</v>
      </c>
      <c r="H593" s="12" t="s">
        <v>0</v>
      </c>
      <c r="I593" s="12">
        <v>0.95057000000000003</v>
      </c>
      <c r="J593" s="12">
        <v>149.12925000000001</v>
      </c>
      <c r="K593" s="12">
        <v>209.07308</v>
      </c>
      <c r="L593" s="12" t="s">
        <v>1</v>
      </c>
      <c r="M593" s="12" t="s">
        <v>0</v>
      </c>
      <c r="N593" s="12">
        <v>17.869986611867802</v>
      </c>
      <c r="O593" s="12">
        <v>15.5</v>
      </c>
      <c r="P593" s="12">
        <v>5459.05</v>
      </c>
      <c r="Q593" s="12" t="s">
        <v>1</v>
      </c>
    </row>
    <row r="594" spans="1:17" x14ac:dyDescent="0.25">
      <c r="A594" s="12">
        <f t="shared" si="9"/>
        <v>593</v>
      </c>
      <c r="B594" s="12">
        <v>0.96702699999999997</v>
      </c>
      <c r="C594" s="12">
        <v>-1.2095399999999999E-2</v>
      </c>
      <c r="D594" s="12">
        <v>0.66780499999999998</v>
      </c>
      <c r="E594" s="12">
        <v>1.5830574666920501</v>
      </c>
      <c r="F594" s="12">
        <v>81</v>
      </c>
      <c r="G594" s="12">
        <v>282.35139729104799</v>
      </c>
      <c r="H594" s="12" t="s">
        <v>0</v>
      </c>
      <c r="I594" s="12">
        <v>1.0736209999999999</v>
      </c>
      <c r="J594" s="12">
        <v>93.952299999999994</v>
      </c>
      <c r="K594" s="12">
        <v>404.00495000000001</v>
      </c>
      <c r="L594" s="12" t="s">
        <v>1</v>
      </c>
      <c r="M594" s="12" t="s">
        <v>0</v>
      </c>
      <c r="N594" s="12">
        <v>11.258196116148801</v>
      </c>
      <c r="O594" s="12">
        <v>17</v>
      </c>
      <c r="P594" s="12">
        <v>1166.79</v>
      </c>
      <c r="Q594" s="12" t="s">
        <v>1</v>
      </c>
    </row>
    <row r="595" spans="1:17" x14ac:dyDescent="0.25">
      <c r="A595" s="12">
        <f t="shared" si="9"/>
        <v>594</v>
      </c>
      <c r="B595" s="12">
        <v>0.91211900000000001</v>
      </c>
      <c r="C595" s="12">
        <v>6.0631900000000002E-2</v>
      </c>
      <c r="D595" s="12">
        <v>0.552458</v>
      </c>
      <c r="E595" s="12">
        <v>31.535081261781301</v>
      </c>
      <c r="F595" s="12">
        <v>56.25</v>
      </c>
      <c r="G595" s="12">
        <v>169.69951687821299</v>
      </c>
      <c r="H595" s="12" t="s">
        <v>0</v>
      </c>
      <c r="I595" s="12">
        <v>1.029695</v>
      </c>
      <c r="J595" s="12">
        <v>130.31594999999999</v>
      </c>
      <c r="K595" s="12">
        <v>335.95022</v>
      </c>
      <c r="L595" s="12" t="s">
        <v>1</v>
      </c>
      <c r="M595" s="12" t="s">
        <v>0</v>
      </c>
      <c r="N595" s="12">
        <v>15.6156104976913</v>
      </c>
      <c r="O595" s="12">
        <v>15.5</v>
      </c>
      <c r="P595" s="12">
        <v>2545.19</v>
      </c>
      <c r="Q595" s="12" t="s">
        <v>1</v>
      </c>
    </row>
    <row r="596" spans="1:17" x14ac:dyDescent="0.25">
      <c r="A596" s="12">
        <f t="shared" si="9"/>
        <v>595</v>
      </c>
      <c r="B596" s="12">
        <v>1.14601</v>
      </c>
      <c r="C596" s="12">
        <v>4.4828600000000003E-2</v>
      </c>
      <c r="D596" s="12">
        <v>0.57080900000000001</v>
      </c>
      <c r="E596" s="12">
        <v>21.797365324421101</v>
      </c>
      <c r="F596" s="12">
        <v>56.25</v>
      </c>
      <c r="G596" s="12">
        <v>228.10019521936499</v>
      </c>
      <c r="H596" s="12" t="s">
        <v>0</v>
      </c>
      <c r="I596" s="12">
        <v>1.2168000000000001</v>
      </c>
      <c r="J596" s="12">
        <v>122.4143</v>
      </c>
      <c r="K596" s="12">
        <v>346.77731</v>
      </c>
      <c r="L596" s="12" t="s">
        <v>1</v>
      </c>
      <c r="M596" s="12" t="s">
        <v>0</v>
      </c>
      <c r="N596" s="12">
        <v>14.6687648606907</v>
      </c>
      <c r="O596" s="12">
        <v>15.5</v>
      </c>
      <c r="P596" s="12">
        <v>1787.41</v>
      </c>
      <c r="Q596" s="12" t="s">
        <v>1</v>
      </c>
    </row>
    <row r="597" spans="1:17" x14ac:dyDescent="0.25">
      <c r="A597" s="12">
        <f t="shared" si="9"/>
        <v>596</v>
      </c>
      <c r="B597" s="12">
        <v>0.823766</v>
      </c>
      <c r="C597" s="12">
        <v>7.7853599999999995E-2</v>
      </c>
      <c r="D597" s="12">
        <v>0.658609</v>
      </c>
      <c r="E597" s="12">
        <v>44.188442008211801</v>
      </c>
      <c r="F597" s="12">
        <v>56.25</v>
      </c>
      <c r="G597" s="12">
        <v>143.60771957890699</v>
      </c>
      <c r="H597" s="12" t="s">
        <v>0</v>
      </c>
      <c r="I597" s="12">
        <v>0.95901199999999998</v>
      </c>
      <c r="J597" s="12">
        <v>138.92679999999999</v>
      </c>
      <c r="K597" s="12">
        <v>398.57931000000002</v>
      </c>
      <c r="L597" s="12" t="s">
        <v>1</v>
      </c>
      <c r="M597" s="12" t="s">
        <v>0</v>
      </c>
      <c r="N597" s="12">
        <v>16.647438755506599</v>
      </c>
      <c r="O597" s="12">
        <v>15.5</v>
      </c>
      <c r="P597" s="12">
        <v>2925.97</v>
      </c>
      <c r="Q597" s="12" t="s">
        <v>1</v>
      </c>
    </row>
    <row r="598" spans="1:17" x14ac:dyDescent="0.25">
      <c r="A598" s="12">
        <f t="shared" si="9"/>
        <v>597</v>
      </c>
      <c r="B598" s="12">
        <v>1.0810500000000001</v>
      </c>
      <c r="C598" s="12">
        <v>-4.57505E-2</v>
      </c>
      <c r="D598" s="12">
        <v>0.67210000000000003</v>
      </c>
      <c r="E598" s="12">
        <v>0.57491251761557005</v>
      </c>
      <c r="F598" s="12">
        <v>90.25</v>
      </c>
      <c r="G598" s="12">
        <v>315.12426330061902</v>
      </c>
      <c r="H598" s="12" t="s">
        <v>0</v>
      </c>
      <c r="I598" s="12">
        <v>1.1648400000000001</v>
      </c>
      <c r="J598" s="12">
        <v>77.124750000000006</v>
      </c>
      <c r="K598" s="12">
        <v>406.53899999999999</v>
      </c>
      <c r="L598" s="12" t="s">
        <v>1</v>
      </c>
      <c r="M598" s="12" t="s">
        <v>0</v>
      </c>
      <c r="N598" s="12">
        <v>9.2417701419651301</v>
      </c>
      <c r="O598" s="12">
        <v>17.5</v>
      </c>
      <c r="P598" s="12">
        <v>820.61500000000001</v>
      </c>
      <c r="Q598" s="12" t="s">
        <v>1</v>
      </c>
    </row>
    <row r="599" spans="1:17" x14ac:dyDescent="0.25">
      <c r="A599" s="12">
        <f t="shared" si="9"/>
        <v>598</v>
      </c>
      <c r="B599" s="12">
        <v>8.2760399999999998E-2</v>
      </c>
      <c r="C599" s="12">
        <v>3.21771E-2</v>
      </c>
      <c r="D599" s="12">
        <v>0.18735199999999999</v>
      </c>
      <c r="E599" s="12">
        <v>15.2940242964085</v>
      </c>
      <c r="F599" s="12">
        <v>100</v>
      </c>
      <c r="G599" s="12">
        <v>70.695846143741704</v>
      </c>
      <c r="H599" s="12" t="s">
        <v>0</v>
      </c>
      <c r="I599" s="12">
        <v>0.36620829999999999</v>
      </c>
      <c r="J599" s="12">
        <v>116.08855</v>
      </c>
      <c r="K599" s="12">
        <v>120.53767999999999</v>
      </c>
      <c r="L599" s="12" t="s">
        <v>1</v>
      </c>
      <c r="M599" s="12" t="s">
        <v>0</v>
      </c>
      <c r="N599" s="12">
        <v>13.9107575092823</v>
      </c>
      <c r="O599" s="12">
        <v>18</v>
      </c>
      <c r="P599" s="12">
        <v>4231.05</v>
      </c>
      <c r="Q599" s="12" t="s">
        <v>1</v>
      </c>
    </row>
    <row r="600" spans="1:17" x14ac:dyDescent="0.25">
      <c r="A600" s="12">
        <f t="shared" si="9"/>
        <v>599</v>
      </c>
      <c r="B600" s="12">
        <v>1.1364099999999999</v>
      </c>
      <c r="C600" s="12">
        <v>5.5244500000000002E-2</v>
      </c>
      <c r="D600" s="12">
        <v>0.63690199999999997</v>
      </c>
      <c r="E600" s="12">
        <v>28.0140231876657</v>
      </c>
      <c r="F600" s="12">
        <v>42.25</v>
      </c>
      <c r="G600" s="12">
        <v>206.87108305498199</v>
      </c>
      <c r="H600" s="12" t="s">
        <v>0</v>
      </c>
      <c r="I600" s="12">
        <v>1.20912</v>
      </c>
      <c r="J600" s="12">
        <v>127.62224999999999</v>
      </c>
      <c r="K600" s="12">
        <v>385.77217999999999</v>
      </c>
      <c r="L600" s="12" t="s">
        <v>1</v>
      </c>
      <c r="M600" s="12" t="s">
        <v>0</v>
      </c>
      <c r="N600" s="12">
        <v>15.292827522947</v>
      </c>
      <c r="O600" s="12">
        <v>14.5</v>
      </c>
      <c r="P600" s="12">
        <v>2050.1999999999998</v>
      </c>
      <c r="Q600" s="12" t="s">
        <v>1</v>
      </c>
    </row>
    <row r="601" spans="1:17" x14ac:dyDescent="0.25">
      <c r="A601" s="12">
        <f t="shared" si="9"/>
        <v>600</v>
      </c>
      <c r="B601" s="12">
        <v>1.06809</v>
      </c>
      <c r="C601" s="12">
        <v>0.14356099999999999</v>
      </c>
      <c r="D601" s="12">
        <v>0.68475600000000003</v>
      </c>
      <c r="E601" s="12">
        <v>112.026556848317</v>
      </c>
      <c r="F601" s="12">
        <v>36</v>
      </c>
      <c r="G601" s="12">
        <v>122.823476221429</v>
      </c>
      <c r="H601" s="12" t="s">
        <v>0</v>
      </c>
      <c r="I601" s="12">
        <v>1.1544700000000001</v>
      </c>
      <c r="J601" s="12">
        <v>171.78049999999999</v>
      </c>
      <c r="K601" s="12">
        <v>414.00603999999998</v>
      </c>
      <c r="L601" s="12" t="s">
        <v>1</v>
      </c>
      <c r="M601" s="12" t="s">
        <v>0</v>
      </c>
      <c r="N601" s="12">
        <v>20.584259863038</v>
      </c>
      <c r="O601" s="12">
        <v>14</v>
      </c>
      <c r="P601" s="12">
        <v>3254.86</v>
      </c>
      <c r="Q601" s="12" t="s">
        <v>1</v>
      </c>
    </row>
    <row r="602" spans="1:17" x14ac:dyDescent="0.25">
      <c r="A602" s="12">
        <f t="shared" si="9"/>
        <v>601</v>
      </c>
      <c r="B602" s="12">
        <v>0.97584599999999999</v>
      </c>
      <c r="C602" s="12">
        <v>0.32963599999999998</v>
      </c>
      <c r="D602" s="12">
        <v>0.59702299999999997</v>
      </c>
      <c r="E602" s="12">
        <v>472.31618436547899</v>
      </c>
      <c r="F602" s="12">
        <v>30.25</v>
      </c>
      <c r="G602" s="12">
        <v>0.68585624620003705</v>
      </c>
      <c r="H602" s="12" t="s">
        <v>0</v>
      </c>
      <c r="I602" s="12">
        <v>1.080676</v>
      </c>
      <c r="J602" s="12">
        <v>264.81799999999998</v>
      </c>
      <c r="K602" s="12">
        <v>362.24356999999998</v>
      </c>
      <c r="L602" s="12" t="s">
        <v>1</v>
      </c>
      <c r="M602" s="12" t="s">
        <v>0</v>
      </c>
      <c r="N602" s="12">
        <v>31.732836546697602</v>
      </c>
      <c r="O602" s="12">
        <v>13.5</v>
      </c>
      <c r="P602" s="12">
        <v>6997.72</v>
      </c>
      <c r="Q602" s="12" t="s">
        <v>1</v>
      </c>
    </row>
    <row r="603" spans="1:17" x14ac:dyDescent="0.25">
      <c r="A603" s="12">
        <f t="shared" si="9"/>
        <v>602</v>
      </c>
      <c r="B603" s="12">
        <v>0.91884299999999997</v>
      </c>
      <c r="C603" s="12">
        <v>1.7326600000000001E-2</v>
      </c>
      <c r="D603" s="12">
        <v>0.56180099999999999</v>
      </c>
      <c r="E603" s="12">
        <v>9.1264309502655703</v>
      </c>
      <c r="F603" s="12">
        <v>72.25</v>
      </c>
      <c r="G603" s="12">
        <v>230.62291717095101</v>
      </c>
      <c r="H603" s="12" t="s">
        <v>0</v>
      </c>
      <c r="I603" s="12">
        <v>1.035074</v>
      </c>
      <c r="J603" s="12">
        <v>108.66330000000001</v>
      </c>
      <c r="K603" s="12">
        <v>341.46258999999998</v>
      </c>
      <c r="L603" s="12" t="s">
        <v>1</v>
      </c>
      <c r="M603" s="12" t="s">
        <v>0</v>
      </c>
      <c r="N603" s="12">
        <v>13.020998336686899</v>
      </c>
      <c r="O603" s="12">
        <v>16.5</v>
      </c>
      <c r="P603" s="12">
        <v>1757.01</v>
      </c>
      <c r="Q603" s="12" t="s">
        <v>1</v>
      </c>
    </row>
    <row r="604" spans="1:17" x14ac:dyDescent="0.25">
      <c r="A604" s="12">
        <f t="shared" si="9"/>
        <v>603</v>
      </c>
      <c r="B604" s="12">
        <v>1.0194700000000001</v>
      </c>
      <c r="C604" s="12">
        <v>8.1530400000000003E-2</v>
      </c>
      <c r="D604" s="12">
        <v>0.66390899999999997</v>
      </c>
      <c r="E604" s="12">
        <v>47.165744394747698</v>
      </c>
      <c r="F604" s="12">
        <v>49</v>
      </c>
      <c r="G604" s="12">
        <v>193.581098569337</v>
      </c>
      <c r="H604" s="12" t="s">
        <v>0</v>
      </c>
      <c r="I604" s="12">
        <v>1.11557</v>
      </c>
      <c r="J604" s="12">
        <v>140.76519999999999</v>
      </c>
      <c r="K604" s="12">
        <v>401.70630999999997</v>
      </c>
      <c r="L604" s="12" t="s">
        <v>1</v>
      </c>
      <c r="M604" s="12" t="s">
        <v>0</v>
      </c>
      <c r="N604" s="12">
        <v>16.8677321143699</v>
      </c>
      <c r="O604" s="12">
        <v>15</v>
      </c>
      <c r="P604" s="12">
        <v>2221.63</v>
      </c>
      <c r="Q604" s="12" t="s">
        <v>1</v>
      </c>
    </row>
    <row r="605" spans="1:17" x14ac:dyDescent="0.25">
      <c r="A605" s="12">
        <f t="shared" si="9"/>
        <v>604</v>
      </c>
      <c r="B605" s="12">
        <v>0.98404899999999995</v>
      </c>
      <c r="C605" s="12">
        <v>3.36114E-2</v>
      </c>
      <c r="D605" s="12">
        <v>0.68944099999999997</v>
      </c>
      <c r="E605" s="12">
        <v>15.973553093446199</v>
      </c>
      <c r="F605" s="12">
        <v>56.25</v>
      </c>
      <c r="G605" s="12">
        <v>224.64014399999999</v>
      </c>
      <c r="H605" s="12" t="s">
        <v>0</v>
      </c>
      <c r="I605" s="12">
        <v>1.0872390000000001</v>
      </c>
      <c r="J605" s="12">
        <v>116.8057</v>
      </c>
      <c r="K605" s="12">
        <v>416.77019000000001</v>
      </c>
      <c r="L605" s="12" t="s">
        <v>1</v>
      </c>
      <c r="M605" s="12" t="s">
        <v>0</v>
      </c>
      <c r="N605" s="12">
        <v>13.996692769459001</v>
      </c>
      <c r="O605" s="12">
        <v>15.5</v>
      </c>
      <c r="P605" s="12">
        <v>1829.38</v>
      </c>
      <c r="Q605" s="12" t="s">
        <v>1</v>
      </c>
    </row>
    <row r="606" spans="1:17" x14ac:dyDescent="0.25">
      <c r="A606" s="12">
        <f t="shared" si="9"/>
        <v>605</v>
      </c>
      <c r="B606" s="12">
        <v>0.13796600000000001</v>
      </c>
      <c r="C606" s="12">
        <v>-1.7765E-2</v>
      </c>
      <c r="D606" s="12">
        <v>0.18676100000000001</v>
      </c>
      <c r="E606" s="12">
        <v>0.84365196884365801</v>
      </c>
      <c r="F606" s="12">
        <v>132.25</v>
      </c>
      <c r="G606" s="12">
        <v>400</v>
      </c>
      <c r="H606" s="12" t="s">
        <v>0</v>
      </c>
      <c r="I606" s="12">
        <v>0.41037200000000001</v>
      </c>
      <c r="J606" s="12">
        <v>91.117500000000007</v>
      </c>
      <c r="K606" s="12">
        <v>120.18899</v>
      </c>
      <c r="L606" s="12" t="s">
        <v>1</v>
      </c>
      <c r="M606" s="12" t="s">
        <v>0</v>
      </c>
      <c r="N606" s="12">
        <v>10.918505290591</v>
      </c>
      <c r="O606" s="12">
        <v>19.5</v>
      </c>
      <c r="P606" s="12">
        <v>0</v>
      </c>
      <c r="Q606" s="12" t="s">
        <v>1</v>
      </c>
    </row>
    <row r="607" spans="1:17" x14ac:dyDescent="0.25">
      <c r="A607" s="12">
        <f t="shared" si="9"/>
        <v>606</v>
      </c>
      <c r="B607" s="12">
        <v>0.77043600000000001</v>
      </c>
      <c r="C607" s="12">
        <v>2.27809E-2</v>
      </c>
      <c r="D607" s="12">
        <v>0.77081599999999995</v>
      </c>
      <c r="E607" s="12">
        <v>11.207695115360099</v>
      </c>
      <c r="F607" s="12">
        <v>90.25</v>
      </c>
      <c r="G607" s="12">
        <v>258.76468457496702</v>
      </c>
      <c r="H607" s="12" t="s">
        <v>0</v>
      </c>
      <c r="I607" s="12">
        <v>0.91634800000000005</v>
      </c>
      <c r="J607" s="12">
        <v>111.39045</v>
      </c>
      <c r="K607" s="12">
        <v>464.78143999999998</v>
      </c>
      <c r="L607" s="12" t="s">
        <v>1</v>
      </c>
      <c r="M607" s="12" t="s">
        <v>0</v>
      </c>
      <c r="N607" s="12">
        <v>13.347789586482399</v>
      </c>
      <c r="O607" s="12">
        <v>17.5</v>
      </c>
      <c r="P607" s="12">
        <v>1428.55</v>
      </c>
      <c r="Q607" s="12" t="s">
        <v>1</v>
      </c>
    </row>
    <row r="608" spans="1:17" x14ac:dyDescent="0.25">
      <c r="A608" s="12">
        <f t="shared" si="9"/>
        <v>607</v>
      </c>
      <c r="B608" s="12">
        <v>1.0422499999999999</v>
      </c>
      <c r="C608" s="12">
        <v>-3.05052E-2</v>
      </c>
      <c r="D608" s="12">
        <v>0.72690100000000002</v>
      </c>
      <c r="E608" s="12">
        <v>2.4081927877861099E-2</v>
      </c>
      <c r="F608" s="12">
        <v>81</v>
      </c>
      <c r="G608" s="12">
        <v>302.82855511323697</v>
      </c>
      <c r="H608" s="12" t="s">
        <v>0</v>
      </c>
      <c r="I608" s="12">
        <v>1.1337999999999999</v>
      </c>
      <c r="J608" s="12">
        <v>84.747399999999999</v>
      </c>
      <c r="K608" s="12">
        <v>438.87159000000003</v>
      </c>
      <c r="L608" s="12" t="s">
        <v>1</v>
      </c>
      <c r="M608" s="12" t="s">
        <v>0</v>
      </c>
      <c r="N608" s="12">
        <v>10.1551835296604</v>
      </c>
      <c r="O608" s="12">
        <v>17</v>
      </c>
      <c r="P608" s="12">
        <v>948.28099999999995</v>
      </c>
      <c r="Q608" s="12" t="s">
        <v>1</v>
      </c>
    </row>
    <row r="609" spans="1:17" x14ac:dyDescent="0.25">
      <c r="A609" s="12">
        <f t="shared" si="9"/>
        <v>608</v>
      </c>
      <c r="B609" s="12">
        <v>0.190052</v>
      </c>
      <c r="C609" s="12">
        <v>5.5054199999999998E-2</v>
      </c>
      <c r="D609" s="12">
        <v>0.14002999999999999</v>
      </c>
      <c r="E609" s="12">
        <v>27.893458563471</v>
      </c>
      <c r="F609" s="12">
        <v>100</v>
      </c>
      <c r="G609" s="12">
        <v>1.0798910865077799E-2</v>
      </c>
      <c r="H609" s="12" t="s">
        <v>0</v>
      </c>
      <c r="I609" s="12">
        <v>0.45204100000000003</v>
      </c>
      <c r="J609" s="12">
        <v>127.5271</v>
      </c>
      <c r="K609" s="12">
        <v>92.617699999999999</v>
      </c>
      <c r="L609" s="12" t="s">
        <v>1</v>
      </c>
      <c r="M609" s="12" t="s">
        <v>0</v>
      </c>
      <c r="N609" s="12">
        <v>15.2814258078165</v>
      </c>
      <c r="O609" s="12">
        <v>18</v>
      </c>
      <c r="P609" s="12">
        <v>7262.07</v>
      </c>
      <c r="Q609" s="12" t="s">
        <v>1</v>
      </c>
    </row>
    <row r="610" spans="1:17" x14ac:dyDescent="0.25">
      <c r="A610" s="12">
        <f t="shared" si="9"/>
        <v>609</v>
      </c>
      <c r="B610" s="12">
        <v>1.06009</v>
      </c>
      <c r="C610" s="12">
        <v>-3.5864899999999998E-2</v>
      </c>
      <c r="D610" s="12">
        <v>0.62857799999999997</v>
      </c>
      <c r="E610" s="12">
        <v>2.7536022369402498E-2</v>
      </c>
      <c r="F610" s="12">
        <v>90.25</v>
      </c>
      <c r="G610" s="12">
        <v>303.64227360487098</v>
      </c>
      <c r="H610" s="12" t="s">
        <v>0</v>
      </c>
      <c r="I610" s="12">
        <v>1.1480699999999999</v>
      </c>
      <c r="J610" s="12">
        <v>82.067549999999997</v>
      </c>
      <c r="K610" s="12">
        <v>380.86102</v>
      </c>
      <c r="L610" s="12" t="s">
        <v>1</v>
      </c>
      <c r="M610" s="12" t="s">
        <v>0</v>
      </c>
      <c r="N610" s="12">
        <v>9.8340601844962894</v>
      </c>
      <c r="O610" s="12">
        <v>17.5</v>
      </c>
      <c r="P610" s="12">
        <v>939.75300000000004</v>
      </c>
      <c r="Q610" s="12" t="s">
        <v>1</v>
      </c>
    </row>
    <row r="611" spans="1:17" x14ac:dyDescent="0.25">
      <c r="A611" s="12">
        <f t="shared" si="9"/>
        <v>610</v>
      </c>
      <c r="B611" s="12">
        <v>0.92207799999999995</v>
      </c>
      <c r="C611" s="12">
        <v>5.4322199999999998E-3</v>
      </c>
      <c r="D611" s="12">
        <v>0.61616499999999996</v>
      </c>
      <c r="E611" s="12">
        <v>5.3284953959554304</v>
      </c>
      <c r="F611" s="12">
        <v>72.25</v>
      </c>
      <c r="G611" s="12">
        <v>248.83204110039401</v>
      </c>
      <c r="H611" s="12" t="s">
        <v>0</v>
      </c>
      <c r="I611" s="12">
        <v>1.0376620000000001</v>
      </c>
      <c r="J611" s="12">
        <v>102.71611</v>
      </c>
      <c r="K611" s="12">
        <v>373.53735</v>
      </c>
      <c r="L611" s="12" t="s">
        <v>1</v>
      </c>
      <c r="M611" s="12" t="s">
        <v>0</v>
      </c>
      <c r="N611" s="12">
        <v>12.3083533949452</v>
      </c>
      <c r="O611" s="12">
        <v>16.5</v>
      </c>
      <c r="P611" s="12">
        <v>1542.34</v>
      </c>
      <c r="Q611" s="12" t="s">
        <v>1</v>
      </c>
    </row>
    <row r="612" spans="1:17" x14ac:dyDescent="0.25">
      <c r="A612" s="12">
        <f t="shared" si="9"/>
        <v>611</v>
      </c>
      <c r="B612" s="12">
        <v>0.93803000000000003</v>
      </c>
      <c r="C612" s="12">
        <v>8.5144300000000006E-2</v>
      </c>
      <c r="D612" s="12">
        <v>0.65164999999999995</v>
      </c>
      <c r="E612" s="12">
        <v>50.186695200127502</v>
      </c>
      <c r="F612" s="12">
        <v>56.25</v>
      </c>
      <c r="G612" s="12">
        <v>183.87508603039899</v>
      </c>
      <c r="H612" s="12" t="s">
        <v>0</v>
      </c>
      <c r="I612" s="12">
        <v>1.0504199999999999</v>
      </c>
      <c r="J612" s="12">
        <v>142.57214999999999</v>
      </c>
      <c r="K612" s="12">
        <v>394.4735</v>
      </c>
      <c r="L612" s="12" t="s">
        <v>1</v>
      </c>
      <c r="M612" s="12" t="s">
        <v>0</v>
      </c>
      <c r="N612" s="12">
        <v>17.084256855883101</v>
      </c>
      <c r="O612" s="12">
        <v>15.5</v>
      </c>
      <c r="P612" s="12">
        <v>2350.58</v>
      </c>
      <c r="Q612" s="12" t="s">
        <v>1</v>
      </c>
    </row>
    <row r="613" spans="1:17" x14ac:dyDescent="0.25">
      <c r="A613" s="12">
        <f t="shared" si="9"/>
        <v>612</v>
      </c>
      <c r="B613" s="12">
        <v>0.90659400000000001</v>
      </c>
      <c r="C613" s="12">
        <v>0.30770199999999998</v>
      </c>
      <c r="D613" s="12">
        <v>0.57460999999999995</v>
      </c>
      <c r="E613" s="12">
        <v>416.922229241048</v>
      </c>
      <c r="F613" s="12">
        <v>36</v>
      </c>
      <c r="G613" s="12">
        <v>0.82491184162131703</v>
      </c>
      <c r="H613" s="12" t="s">
        <v>0</v>
      </c>
      <c r="I613" s="12">
        <v>1.0252749999999999</v>
      </c>
      <c r="J613" s="12">
        <v>253.851</v>
      </c>
      <c r="K613" s="12">
        <v>349.01990000000001</v>
      </c>
      <c r="L613" s="12" t="s">
        <v>1</v>
      </c>
      <c r="M613" s="12" t="s">
        <v>0</v>
      </c>
      <c r="N613" s="12">
        <v>30.418673542643401</v>
      </c>
      <c r="O613" s="12">
        <v>14</v>
      </c>
      <c r="P613" s="12">
        <v>6968.49</v>
      </c>
      <c r="Q613" s="12" t="s">
        <v>1</v>
      </c>
    </row>
    <row r="614" spans="1:17" x14ac:dyDescent="0.25">
      <c r="A614" s="12">
        <f t="shared" si="9"/>
        <v>613</v>
      </c>
      <c r="B614" s="12">
        <v>0.74611799999999995</v>
      </c>
      <c r="C614" s="12">
        <v>4.8721300000000002E-2</v>
      </c>
      <c r="D614" s="12">
        <v>0.74978800000000001</v>
      </c>
      <c r="E614" s="12">
        <v>24.029542665937001</v>
      </c>
      <c r="F614" s="12">
        <v>81</v>
      </c>
      <c r="G614" s="12">
        <v>218.62741638656399</v>
      </c>
      <c r="H614" s="12" t="s">
        <v>0</v>
      </c>
      <c r="I614" s="12">
        <v>0.89689399999999997</v>
      </c>
      <c r="J614" s="12">
        <v>124.36065000000001</v>
      </c>
      <c r="K614" s="12">
        <v>452.37491999999997</v>
      </c>
      <c r="L614" s="12" t="s">
        <v>1</v>
      </c>
      <c r="M614" s="12" t="s">
        <v>0</v>
      </c>
      <c r="N614" s="12">
        <v>14.9019937439716</v>
      </c>
      <c r="O614" s="12">
        <v>17</v>
      </c>
      <c r="P614" s="12">
        <v>1903.09</v>
      </c>
      <c r="Q614" s="12" t="s">
        <v>1</v>
      </c>
    </row>
    <row r="615" spans="1:17" x14ac:dyDescent="0.25">
      <c r="A615" s="12">
        <f t="shared" si="9"/>
        <v>614</v>
      </c>
      <c r="B615" s="12">
        <v>7.0918700000000001E-2</v>
      </c>
      <c r="C615" s="12">
        <v>-2.0238500000000002E-3</v>
      </c>
      <c r="D615" s="12">
        <v>0.102258</v>
      </c>
      <c r="E615" s="12">
        <v>3.46565600327484</v>
      </c>
      <c r="F615" s="12">
        <v>132.25</v>
      </c>
      <c r="G615" s="12">
        <v>22.6396068613248</v>
      </c>
      <c r="H615" s="12" t="s">
        <v>0</v>
      </c>
      <c r="I615" s="12">
        <v>0.35673490000000002</v>
      </c>
      <c r="J615" s="12">
        <v>98.988074999999995</v>
      </c>
      <c r="K615" s="12">
        <v>70.332220000000007</v>
      </c>
      <c r="L615" s="12" t="s">
        <v>1</v>
      </c>
      <c r="M615" s="12" t="s">
        <v>0</v>
      </c>
      <c r="N615" s="12">
        <v>11.8616272460605</v>
      </c>
      <c r="O615" s="12">
        <v>19.5</v>
      </c>
      <c r="P615" s="12">
        <v>5563.29</v>
      </c>
      <c r="Q615" s="12" t="s">
        <v>1</v>
      </c>
    </row>
    <row r="616" spans="1:17" x14ac:dyDescent="0.25">
      <c r="A616" s="12">
        <f t="shared" si="9"/>
        <v>615</v>
      </c>
      <c r="B616" s="12">
        <v>0.87534999999999996</v>
      </c>
      <c r="C616" s="12">
        <v>-7.4581800000000004E-2</v>
      </c>
      <c r="D616" s="12">
        <v>0.73162799999999995</v>
      </c>
      <c r="E616" s="12">
        <v>6.1784093293824096</v>
      </c>
      <c r="F616" s="12">
        <v>144</v>
      </c>
      <c r="G616" s="12">
        <v>333.73293704935998</v>
      </c>
      <c r="H616" s="12" t="s">
        <v>0</v>
      </c>
      <c r="I616" s="12">
        <v>1.0002800000000001</v>
      </c>
      <c r="J616" s="12">
        <v>62.709099999999999</v>
      </c>
      <c r="K616" s="12">
        <v>441.66052000000002</v>
      </c>
      <c r="L616" s="12" t="s">
        <v>1</v>
      </c>
      <c r="M616" s="12" t="s">
        <v>0</v>
      </c>
      <c r="N616" s="12">
        <v>7.5143593724388804</v>
      </c>
      <c r="O616" s="12">
        <v>20</v>
      </c>
      <c r="P616" s="12">
        <v>632.04899999999998</v>
      </c>
      <c r="Q616" s="12" t="s">
        <v>1</v>
      </c>
    </row>
    <row r="617" spans="1:17" x14ac:dyDescent="0.25">
      <c r="A617" s="12">
        <f t="shared" si="9"/>
        <v>616</v>
      </c>
      <c r="B617" s="12">
        <v>0.96116599999999996</v>
      </c>
      <c r="C617" s="12">
        <v>0.114231</v>
      </c>
      <c r="D617" s="12">
        <v>0.63432200000000005</v>
      </c>
      <c r="E617" s="12">
        <v>77.9153953138822</v>
      </c>
      <c r="F617" s="12">
        <v>42.25</v>
      </c>
      <c r="G617" s="12">
        <v>121.38424977969601</v>
      </c>
      <c r="H617" s="12" t="s">
        <v>0</v>
      </c>
      <c r="I617" s="12">
        <v>1.068932</v>
      </c>
      <c r="J617" s="12">
        <v>157.1155</v>
      </c>
      <c r="K617" s="12">
        <v>384.24997999999999</v>
      </c>
      <c r="L617" s="12" t="s">
        <v>1</v>
      </c>
      <c r="M617" s="12" t="s">
        <v>0</v>
      </c>
      <c r="N617" s="12">
        <v>18.8269697696254</v>
      </c>
      <c r="O617" s="12">
        <v>14.5</v>
      </c>
      <c r="P617" s="12">
        <v>3278.63</v>
      </c>
      <c r="Q617" s="12" t="s">
        <v>1</v>
      </c>
    </row>
    <row r="618" spans="1:17" x14ac:dyDescent="0.25">
      <c r="A618" s="12">
        <f t="shared" si="9"/>
        <v>617</v>
      </c>
      <c r="B618" s="12">
        <v>1.02762</v>
      </c>
      <c r="C618" s="12">
        <v>8.2713099999999998E-2</v>
      </c>
      <c r="D618" s="12">
        <v>0.63207199999999997</v>
      </c>
      <c r="E618" s="12">
        <v>48.144071503350098</v>
      </c>
      <c r="F618" s="12">
        <v>49</v>
      </c>
      <c r="G618" s="12">
        <v>183.96425884331001</v>
      </c>
      <c r="H618" s="12" t="s">
        <v>0</v>
      </c>
      <c r="I618" s="12">
        <v>1.12209</v>
      </c>
      <c r="J618" s="12">
        <v>141.35655</v>
      </c>
      <c r="K618" s="12">
        <v>382.92248000000001</v>
      </c>
      <c r="L618" s="12" t="s">
        <v>1</v>
      </c>
      <c r="M618" s="12" t="s">
        <v>0</v>
      </c>
      <c r="N618" s="12">
        <v>16.9385929051465</v>
      </c>
      <c r="O618" s="12">
        <v>15</v>
      </c>
      <c r="P618" s="12">
        <v>2349.38</v>
      </c>
      <c r="Q618" s="12" t="s">
        <v>1</v>
      </c>
    </row>
    <row r="619" spans="1:17" x14ac:dyDescent="0.25">
      <c r="A619" s="12">
        <f t="shared" si="9"/>
        <v>618</v>
      </c>
      <c r="B619" s="12">
        <v>1.0428999999999999</v>
      </c>
      <c r="C619" s="12">
        <v>3.0079000000000002E-2</v>
      </c>
      <c r="D619" s="12">
        <v>0.687365</v>
      </c>
      <c r="E619" s="12">
        <v>14.3266114784037</v>
      </c>
      <c r="F619" s="12">
        <v>64</v>
      </c>
      <c r="G619" s="12">
        <v>253.00955169149901</v>
      </c>
      <c r="H619" s="12" t="s">
        <v>0</v>
      </c>
      <c r="I619" s="12">
        <v>1.1343000000000001</v>
      </c>
      <c r="J619" s="12">
        <v>115.0395</v>
      </c>
      <c r="K619" s="12">
        <v>415.54534999999998</v>
      </c>
      <c r="L619" s="12" t="s">
        <v>1</v>
      </c>
      <c r="M619" s="12" t="s">
        <v>0</v>
      </c>
      <c r="N619" s="12">
        <v>13.785051053605899</v>
      </c>
      <c r="O619" s="12">
        <v>16</v>
      </c>
      <c r="P619" s="12">
        <v>1494.21</v>
      </c>
      <c r="Q619" s="12" t="s">
        <v>1</v>
      </c>
    </row>
    <row r="620" spans="1:17" x14ac:dyDescent="0.25">
      <c r="A620" s="12">
        <f t="shared" si="9"/>
        <v>619</v>
      </c>
      <c r="B620" s="12">
        <v>1.14832</v>
      </c>
      <c r="C620" s="12">
        <v>5.6597799999999997E-2</v>
      </c>
      <c r="D620" s="12">
        <v>0.72213700000000003</v>
      </c>
      <c r="E620" s="12">
        <v>28.878905621490802</v>
      </c>
      <c r="F620" s="12">
        <v>42.25</v>
      </c>
      <c r="G620" s="12">
        <v>227.999243962469</v>
      </c>
      <c r="H620" s="12" t="s">
        <v>0</v>
      </c>
      <c r="I620" s="12">
        <v>1.21865</v>
      </c>
      <c r="J620" s="12">
        <v>128.2989</v>
      </c>
      <c r="K620" s="12">
        <v>436.06083000000001</v>
      </c>
      <c r="L620" s="12" t="s">
        <v>1</v>
      </c>
      <c r="M620" s="12" t="s">
        <v>0</v>
      </c>
      <c r="N620" s="12">
        <v>15.373909714676101</v>
      </c>
      <c r="O620" s="12">
        <v>14.5</v>
      </c>
      <c r="P620" s="12">
        <v>1788.63</v>
      </c>
      <c r="Q620" s="12" t="s">
        <v>1</v>
      </c>
    </row>
    <row r="621" spans="1:17" x14ac:dyDescent="0.25">
      <c r="A621" s="12">
        <f t="shared" si="9"/>
        <v>620</v>
      </c>
      <c r="B621" s="12">
        <v>1.1244799999999999</v>
      </c>
      <c r="C621" s="12">
        <v>0.115344</v>
      </c>
      <c r="D621" s="12">
        <v>0.67525900000000005</v>
      </c>
      <c r="E621" s="12">
        <v>79.097090809345602</v>
      </c>
      <c r="F621" s="12">
        <v>42.25</v>
      </c>
      <c r="G621" s="12">
        <v>179.467496848189</v>
      </c>
      <c r="H621" s="12" t="s">
        <v>0</v>
      </c>
      <c r="I621" s="12">
        <v>1.1995800000000001</v>
      </c>
      <c r="J621" s="12">
        <v>157.672</v>
      </c>
      <c r="K621" s="12">
        <v>408.40280999999999</v>
      </c>
      <c r="L621" s="12" t="s">
        <v>1</v>
      </c>
      <c r="M621" s="12" t="s">
        <v>0</v>
      </c>
      <c r="N621" s="12">
        <v>18.893654524960201</v>
      </c>
      <c r="O621" s="12">
        <v>14.5</v>
      </c>
      <c r="P621" s="12">
        <v>2410.2600000000002</v>
      </c>
      <c r="Q621" s="12" t="s">
        <v>1</v>
      </c>
    </row>
    <row r="622" spans="1:17" x14ac:dyDescent="0.25">
      <c r="A622" s="12">
        <f t="shared" si="9"/>
        <v>621</v>
      </c>
      <c r="B622" s="12">
        <v>1.0329200000000001</v>
      </c>
      <c r="C622" s="12">
        <v>9.9485500000000004E-2</v>
      </c>
      <c r="D622" s="12">
        <v>0.664385</v>
      </c>
      <c r="E622" s="12">
        <v>63.099217854831302</v>
      </c>
      <c r="F622" s="12">
        <v>49</v>
      </c>
      <c r="G622" s="12">
        <v>180.74260931807001</v>
      </c>
      <c r="H622" s="12" t="s">
        <v>0</v>
      </c>
      <c r="I622" s="12">
        <v>1.1263300000000001</v>
      </c>
      <c r="J622" s="12">
        <v>149.74275</v>
      </c>
      <c r="K622" s="12">
        <v>401.98714999999999</v>
      </c>
      <c r="L622" s="12" t="s">
        <v>1</v>
      </c>
      <c r="M622" s="12" t="s">
        <v>0</v>
      </c>
      <c r="N622" s="12">
        <v>17.943501611684301</v>
      </c>
      <c r="O622" s="12">
        <v>15</v>
      </c>
      <c r="P622" s="12">
        <v>2392.92</v>
      </c>
      <c r="Q622" s="12" t="s">
        <v>1</v>
      </c>
    </row>
    <row r="623" spans="1:17" x14ac:dyDescent="0.25">
      <c r="A623" s="12">
        <f t="shared" si="9"/>
        <v>622</v>
      </c>
      <c r="B623" s="12">
        <v>0.81375200000000003</v>
      </c>
      <c r="C623" s="12">
        <v>9.3151599999999994E-3</v>
      </c>
      <c r="D623" s="12">
        <v>0.75015600000000004</v>
      </c>
      <c r="E623" s="12">
        <v>6.4566683632849298</v>
      </c>
      <c r="F623" s="12">
        <v>81</v>
      </c>
      <c r="G623" s="12">
        <v>265.72662043985702</v>
      </c>
      <c r="H623" s="12" t="s">
        <v>0</v>
      </c>
      <c r="I623" s="12">
        <v>0.95100099999999999</v>
      </c>
      <c r="J623" s="12">
        <v>104.65758</v>
      </c>
      <c r="K623" s="12">
        <v>452.59204</v>
      </c>
      <c r="L623" s="12" t="s">
        <v>1</v>
      </c>
      <c r="M623" s="12" t="s">
        <v>0</v>
      </c>
      <c r="N623" s="12">
        <v>12.5409975134354</v>
      </c>
      <c r="O623" s="12">
        <v>17</v>
      </c>
      <c r="P623" s="12">
        <v>1350.09</v>
      </c>
      <c r="Q623" s="12" t="s">
        <v>1</v>
      </c>
    </row>
    <row r="624" spans="1:17" x14ac:dyDescent="0.25">
      <c r="A624" s="12">
        <f t="shared" si="9"/>
        <v>623</v>
      </c>
      <c r="B624" s="12">
        <v>1.1679600000000001</v>
      </c>
      <c r="C624" s="12">
        <v>1.35303E-2</v>
      </c>
      <c r="D624" s="12">
        <v>0.696608</v>
      </c>
      <c r="E624" s="12">
        <v>7.80389480680806</v>
      </c>
      <c r="F624" s="12">
        <v>56.25</v>
      </c>
      <c r="G624" s="12">
        <v>265.51764987727501</v>
      </c>
      <c r="H624" s="12" t="s">
        <v>0</v>
      </c>
      <c r="I624" s="12">
        <v>1.2343599999999999</v>
      </c>
      <c r="J624" s="12">
        <v>106.76515000000001</v>
      </c>
      <c r="K624" s="12">
        <v>420.99871999999999</v>
      </c>
      <c r="L624" s="12" t="s">
        <v>1</v>
      </c>
      <c r="M624" s="12" t="s">
        <v>0</v>
      </c>
      <c r="N624" s="12">
        <v>12.7935452040029</v>
      </c>
      <c r="O624" s="12">
        <v>15.5</v>
      </c>
      <c r="P624" s="12">
        <v>1352.43</v>
      </c>
      <c r="Q624" s="12" t="s">
        <v>1</v>
      </c>
    </row>
    <row r="625" spans="1:17" x14ac:dyDescent="0.25">
      <c r="A625" s="12">
        <f t="shared" si="9"/>
        <v>624</v>
      </c>
      <c r="B625" s="12">
        <v>1.0407</v>
      </c>
      <c r="C625" s="12">
        <v>4.7780400000000001E-2</v>
      </c>
      <c r="D625" s="12">
        <v>0.64940900000000001</v>
      </c>
      <c r="E625" s="12">
        <v>23.4800357160163</v>
      </c>
      <c r="F625" s="12">
        <v>49</v>
      </c>
      <c r="G625" s="12">
        <v>210.71425600000001</v>
      </c>
      <c r="H625" s="12" t="s">
        <v>0</v>
      </c>
      <c r="I625" s="12">
        <v>1.1325000000000001</v>
      </c>
      <c r="J625" s="12">
        <v>123.89019999999999</v>
      </c>
      <c r="K625" s="12">
        <v>393.15131000000002</v>
      </c>
      <c r="L625" s="12" t="s">
        <v>1</v>
      </c>
      <c r="M625" s="12" t="s">
        <v>0</v>
      </c>
      <c r="N625" s="12">
        <v>14.8456202612272</v>
      </c>
      <c r="O625" s="12">
        <v>15</v>
      </c>
      <c r="P625" s="12">
        <v>2001.66</v>
      </c>
      <c r="Q625" s="12" t="s">
        <v>1</v>
      </c>
    </row>
    <row r="626" spans="1:17" x14ac:dyDescent="0.25">
      <c r="A626" s="12">
        <f t="shared" si="9"/>
        <v>625</v>
      </c>
      <c r="B626" s="12">
        <v>1.0103599999999999</v>
      </c>
      <c r="C626" s="12">
        <v>-2.53612E-2</v>
      </c>
      <c r="D626" s="12">
        <v>0.62266699999999997</v>
      </c>
      <c r="E626" s="12">
        <v>0.21472411357278401</v>
      </c>
      <c r="F626" s="12">
        <v>81</v>
      </c>
      <c r="G626" s="12">
        <v>284.87058329967999</v>
      </c>
      <c r="H626" s="12" t="s">
        <v>0</v>
      </c>
      <c r="I626" s="12">
        <v>1.1082799999999999</v>
      </c>
      <c r="J626" s="12">
        <v>87.319400000000002</v>
      </c>
      <c r="K626" s="12">
        <v>377.37353000000002</v>
      </c>
      <c r="L626" s="12" t="s">
        <v>1</v>
      </c>
      <c r="M626" s="12" t="s">
        <v>0</v>
      </c>
      <c r="N626" s="12">
        <v>10.463383333291899</v>
      </c>
      <c r="O626" s="12">
        <v>17</v>
      </c>
      <c r="P626" s="12">
        <v>1139.49</v>
      </c>
      <c r="Q626" s="12" t="s">
        <v>1</v>
      </c>
    </row>
    <row r="627" spans="1:17" x14ac:dyDescent="0.25">
      <c r="A627" s="12">
        <f t="shared" si="9"/>
        <v>626</v>
      </c>
      <c r="B627" s="12">
        <v>1.0446200000000001</v>
      </c>
      <c r="C627" s="12">
        <v>0.13877500000000001</v>
      </c>
      <c r="D627" s="12">
        <v>0.63427999999999995</v>
      </c>
      <c r="E627" s="12">
        <v>106.038700330285</v>
      </c>
      <c r="F627" s="12">
        <v>36</v>
      </c>
      <c r="G627" s="12">
        <v>111.088712347532</v>
      </c>
      <c r="H627" s="12" t="s">
        <v>0</v>
      </c>
      <c r="I627" s="12">
        <v>1.1356900000000001</v>
      </c>
      <c r="J627" s="12">
        <v>169.38749999999999</v>
      </c>
      <c r="K627" s="12">
        <v>384.22519999999997</v>
      </c>
      <c r="L627" s="12" t="s">
        <v>1</v>
      </c>
      <c r="M627" s="12" t="s">
        <v>0</v>
      </c>
      <c r="N627" s="12">
        <v>20.297509423655999</v>
      </c>
      <c r="O627" s="12">
        <v>14</v>
      </c>
      <c r="P627" s="12">
        <v>3452.95</v>
      </c>
      <c r="Q627" s="12" t="s">
        <v>1</v>
      </c>
    </row>
    <row r="628" spans="1:17" x14ac:dyDescent="0.25">
      <c r="A628" s="12">
        <f t="shared" si="9"/>
        <v>627</v>
      </c>
      <c r="B628" s="12">
        <v>1.04348</v>
      </c>
      <c r="C628" s="12">
        <v>0.240257</v>
      </c>
      <c r="D628" s="12">
        <v>0.55623199999999995</v>
      </c>
      <c r="E628" s="12">
        <v>268.23053553500102</v>
      </c>
      <c r="F628" s="12">
        <v>36</v>
      </c>
      <c r="G628" s="12">
        <v>46.206471833364603</v>
      </c>
      <c r="H628" s="12" t="s">
        <v>0</v>
      </c>
      <c r="I628" s="12">
        <v>1.1347799999999999</v>
      </c>
      <c r="J628" s="12">
        <v>220.1285</v>
      </c>
      <c r="K628" s="12">
        <v>338.17687999999998</v>
      </c>
      <c r="L628" s="12" t="s">
        <v>1</v>
      </c>
      <c r="M628" s="12" t="s">
        <v>0</v>
      </c>
      <c r="N628" s="12">
        <v>26.377745129748501</v>
      </c>
      <c r="O628" s="12">
        <v>14</v>
      </c>
      <c r="P628" s="12">
        <v>4818.8999999999996</v>
      </c>
      <c r="Q628" s="12" t="s">
        <v>1</v>
      </c>
    </row>
    <row r="629" spans="1:17" x14ac:dyDescent="0.25">
      <c r="A629" s="12">
        <f t="shared" si="9"/>
        <v>628</v>
      </c>
      <c r="B629" s="12">
        <v>1.02474</v>
      </c>
      <c r="C629" s="12">
        <v>0.14191699999999999</v>
      </c>
      <c r="D629" s="12">
        <v>0.55102700000000004</v>
      </c>
      <c r="E629" s="12">
        <v>109.951174267487</v>
      </c>
      <c r="F629" s="12">
        <v>36</v>
      </c>
      <c r="G629" s="12">
        <v>85.622825697879506</v>
      </c>
      <c r="H629" s="12" t="s">
        <v>0</v>
      </c>
      <c r="I629" s="12">
        <v>1.1197900000000001</v>
      </c>
      <c r="J629" s="12">
        <v>170.95849999999999</v>
      </c>
      <c r="K629" s="12">
        <v>335.10593</v>
      </c>
      <c r="L629" s="12" t="s">
        <v>1</v>
      </c>
      <c r="M629" s="12" t="s">
        <v>0</v>
      </c>
      <c r="N629" s="12">
        <v>20.485760547880499</v>
      </c>
      <c r="O629" s="12">
        <v>14</v>
      </c>
      <c r="P629" s="12">
        <v>3922.56</v>
      </c>
      <c r="Q629" s="12" t="s">
        <v>1</v>
      </c>
    </row>
    <row r="630" spans="1:17" x14ac:dyDescent="0.25">
      <c r="A630" s="12">
        <f t="shared" si="9"/>
        <v>629</v>
      </c>
      <c r="B630" s="12">
        <v>1.08372</v>
      </c>
      <c r="C630" s="12">
        <v>4.0609300000000001E-2</v>
      </c>
      <c r="D630" s="12">
        <v>0.58743599999999996</v>
      </c>
      <c r="E630" s="12">
        <v>19.500772724468099</v>
      </c>
      <c r="F630" s="12">
        <v>56.25</v>
      </c>
      <c r="G630" s="12">
        <v>231.59336107787499</v>
      </c>
      <c r="H630" s="12" t="s">
        <v>0</v>
      </c>
      <c r="I630" s="12">
        <v>1.1669700000000001</v>
      </c>
      <c r="J630" s="12">
        <v>120.30465</v>
      </c>
      <c r="K630" s="12">
        <v>356.58724000000001</v>
      </c>
      <c r="L630" s="12" t="s">
        <v>1</v>
      </c>
      <c r="M630" s="12" t="s">
        <v>0</v>
      </c>
      <c r="N630" s="12">
        <v>14.415967926114</v>
      </c>
      <c r="O630" s="12">
        <v>15.5</v>
      </c>
      <c r="P630" s="12">
        <v>1745.36</v>
      </c>
      <c r="Q630" s="12" t="s">
        <v>1</v>
      </c>
    </row>
    <row r="631" spans="1:17" x14ac:dyDescent="0.25">
      <c r="A631" s="12">
        <f t="shared" si="9"/>
        <v>630</v>
      </c>
      <c r="B631" s="12">
        <v>0.10956399999999999</v>
      </c>
      <c r="C631" s="12">
        <v>-6.6053399999999998E-2</v>
      </c>
      <c r="D631" s="12">
        <v>0.19039700000000001</v>
      </c>
      <c r="E631" s="12">
        <v>3.8993075611800201</v>
      </c>
      <c r="F631" s="12">
        <v>156.25</v>
      </c>
      <c r="G631" s="12">
        <v>170.958132543441</v>
      </c>
      <c r="H631" s="12" t="s">
        <v>0</v>
      </c>
      <c r="I631" s="12">
        <v>0.38765100000000002</v>
      </c>
      <c r="J631" s="12">
        <v>66.973299999999995</v>
      </c>
      <c r="K631" s="12">
        <v>122.33423000000001</v>
      </c>
      <c r="L631" s="12" t="s">
        <v>1</v>
      </c>
      <c r="M631" s="12" t="s">
        <v>0</v>
      </c>
      <c r="N631" s="12">
        <v>8.0253335569823303</v>
      </c>
      <c r="O631" s="12">
        <v>20.5</v>
      </c>
      <c r="P631" s="12">
        <v>2527.59</v>
      </c>
      <c r="Q631" s="12" t="s">
        <v>1</v>
      </c>
    </row>
    <row r="632" spans="1:17" x14ac:dyDescent="0.25">
      <c r="A632" s="12">
        <f t="shared" si="9"/>
        <v>631</v>
      </c>
      <c r="B632" s="12">
        <v>1.0377700000000001</v>
      </c>
      <c r="C632" s="12">
        <v>1.8220400000000001E-2</v>
      </c>
      <c r="D632" s="12">
        <v>0.90821300000000005</v>
      </c>
      <c r="E632" s="12">
        <v>9.45285678013955</v>
      </c>
      <c r="F632" s="12">
        <v>64</v>
      </c>
      <c r="G632" s="12">
        <v>287.31550288684502</v>
      </c>
      <c r="H632" s="12" t="s">
        <v>0</v>
      </c>
      <c r="I632" s="12">
        <v>1.1302099999999999</v>
      </c>
      <c r="J632" s="12">
        <v>109.11020000000001</v>
      </c>
      <c r="K632" s="12">
        <v>545.84567000000004</v>
      </c>
      <c r="L632" s="12" t="s">
        <v>1</v>
      </c>
      <c r="M632" s="12" t="s">
        <v>0</v>
      </c>
      <c r="N632" s="12">
        <v>13.0745498500007</v>
      </c>
      <c r="O632" s="12">
        <v>16</v>
      </c>
      <c r="P632" s="12">
        <v>1113.1099999999999</v>
      </c>
      <c r="Q632" s="12" t="s">
        <v>1</v>
      </c>
    </row>
    <row r="633" spans="1:17" x14ac:dyDescent="0.25">
      <c r="A633" s="12">
        <f t="shared" si="9"/>
        <v>632</v>
      </c>
      <c r="B633" s="12">
        <v>0.92447299999999999</v>
      </c>
      <c r="C633" s="12">
        <v>0.292435</v>
      </c>
      <c r="D633" s="12">
        <v>0.64898100000000003</v>
      </c>
      <c r="E633" s="12">
        <v>380.40445614656102</v>
      </c>
      <c r="F633" s="12">
        <v>42.25</v>
      </c>
      <c r="G633" s="12">
        <v>48.906455647213299</v>
      </c>
      <c r="H633" s="12" t="s">
        <v>0</v>
      </c>
      <c r="I633" s="12">
        <v>1.0395779999999999</v>
      </c>
      <c r="J633" s="12">
        <v>246.2175</v>
      </c>
      <c r="K633" s="12">
        <v>392.89879000000002</v>
      </c>
      <c r="L633" s="12" t="s">
        <v>1</v>
      </c>
      <c r="M633" s="12" t="s">
        <v>0</v>
      </c>
      <c r="N633" s="12">
        <v>29.503960011919599</v>
      </c>
      <c r="O633" s="12">
        <v>14.5</v>
      </c>
      <c r="P633" s="12">
        <v>4747.4399999999996</v>
      </c>
      <c r="Q633" s="12" t="s">
        <v>1</v>
      </c>
    </row>
    <row r="634" spans="1:17" x14ac:dyDescent="0.25">
      <c r="A634" s="12">
        <f t="shared" si="9"/>
        <v>633</v>
      </c>
      <c r="B634" s="12">
        <v>0.82677400000000001</v>
      </c>
      <c r="C634" s="12">
        <v>0.377052</v>
      </c>
      <c r="D634" s="12">
        <v>0.62850200000000001</v>
      </c>
      <c r="E634" s="12">
        <v>603.868645279622</v>
      </c>
      <c r="F634" s="12">
        <v>42.25</v>
      </c>
      <c r="G634" s="12">
        <v>0.111995665227997</v>
      </c>
      <c r="H634" s="12" t="s">
        <v>0</v>
      </c>
      <c r="I634" s="12">
        <v>0.96141900000000002</v>
      </c>
      <c r="J634" s="12">
        <v>288.52600000000001</v>
      </c>
      <c r="K634" s="12">
        <v>380.81617999999997</v>
      </c>
      <c r="L634" s="12" t="s">
        <v>1</v>
      </c>
      <c r="M634" s="12" t="s">
        <v>0</v>
      </c>
      <c r="N634" s="12">
        <v>34.573738935693498</v>
      </c>
      <c r="O634" s="12">
        <v>14.5</v>
      </c>
      <c r="P634" s="12">
        <v>7177.85</v>
      </c>
      <c r="Q634" s="12" t="s">
        <v>1</v>
      </c>
    </row>
    <row r="635" spans="1:17" x14ac:dyDescent="0.25">
      <c r="A635" s="12">
        <f t="shared" si="9"/>
        <v>634</v>
      </c>
      <c r="B635" s="12">
        <v>0.51717000000000002</v>
      </c>
      <c r="C635" s="12">
        <v>5.9310700000000001E-2</v>
      </c>
      <c r="D635" s="12">
        <v>0.27931299999999998</v>
      </c>
      <c r="E635" s="12">
        <v>30.652295865304801</v>
      </c>
      <c r="F635" s="12">
        <v>100</v>
      </c>
      <c r="G635" s="12">
        <v>27.4369310144492</v>
      </c>
      <c r="H635" s="12" t="s">
        <v>0</v>
      </c>
      <c r="I635" s="12">
        <v>0.71372999999999998</v>
      </c>
      <c r="J635" s="12">
        <v>129.65535</v>
      </c>
      <c r="K635" s="12">
        <v>174.79467</v>
      </c>
      <c r="L635" s="12" t="s">
        <v>1</v>
      </c>
      <c r="M635" s="12" t="s">
        <v>0</v>
      </c>
      <c r="N635" s="12">
        <v>15.536451559013599</v>
      </c>
      <c r="O635" s="12">
        <v>18</v>
      </c>
      <c r="P635" s="12">
        <v>5388.12</v>
      </c>
      <c r="Q635" s="12" t="s">
        <v>1</v>
      </c>
    </row>
    <row r="636" spans="1:17" x14ac:dyDescent="0.25">
      <c r="A636" s="12">
        <f t="shared" si="9"/>
        <v>635</v>
      </c>
      <c r="B636" s="12">
        <v>0.50036099999999994</v>
      </c>
      <c r="C636" s="12">
        <v>3.4632099999999999E-2</v>
      </c>
      <c r="D636" s="12">
        <v>0.19497800000000001</v>
      </c>
      <c r="E636" s="12">
        <v>16.466125711111999</v>
      </c>
      <c r="F636" s="12">
        <v>110.25</v>
      </c>
      <c r="G636" s="12">
        <v>4</v>
      </c>
      <c r="H636" s="12" t="s">
        <v>0</v>
      </c>
      <c r="I636" s="12">
        <v>0.70028800000000002</v>
      </c>
      <c r="J636" s="12">
        <v>117.31605</v>
      </c>
      <c r="K636" s="12">
        <v>125.03702</v>
      </c>
      <c r="L636" s="12" t="s">
        <v>1</v>
      </c>
      <c r="M636" s="12" t="s">
        <v>0</v>
      </c>
      <c r="N636" s="12">
        <v>14.057847423340601</v>
      </c>
      <c r="O636" s="12">
        <v>18.5</v>
      </c>
      <c r="P636" s="12">
        <v>6570</v>
      </c>
      <c r="Q636" s="12" t="s">
        <v>1</v>
      </c>
    </row>
    <row r="637" spans="1:17" x14ac:dyDescent="0.25">
      <c r="A637" s="12">
        <f t="shared" si="9"/>
        <v>636</v>
      </c>
      <c r="B637" s="12">
        <v>0.87134299999999998</v>
      </c>
      <c r="C637" s="12">
        <v>7.3353199999999993E-2</v>
      </c>
      <c r="D637" s="12">
        <v>0.69006800000000001</v>
      </c>
      <c r="E637" s="12">
        <v>40.676331258104</v>
      </c>
      <c r="F637" s="12">
        <v>64</v>
      </c>
      <c r="G637" s="12">
        <v>194.28846514993401</v>
      </c>
      <c r="H637" s="12" t="s">
        <v>0</v>
      </c>
      <c r="I637" s="12">
        <v>0.99707400000000002</v>
      </c>
      <c r="J637" s="12">
        <v>136.67660000000001</v>
      </c>
      <c r="K637" s="12">
        <v>417.14012000000002</v>
      </c>
      <c r="L637" s="12" t="s">
        <v>1</v>
      </c>
      <c r="M637" s="12" t="s">
        <v>0</v>
      </c>
      <c r="N637" s="12">
        <v>16.377799875984099</v>
      </c>
      <c r="O637" s="12">
        <v>16</v>
      </c>
      <c r="P637" s="12">
        <v>2212.36</v>
      </c>
      <c r="Q637" s="12" t="s">
        <v>1</v>
      </c>
    </row>
    <row r="638" spans="1:17" x14ac:dyDescent="0.25">
      <c r="A638" s="12">
        <f t="shared" si="9"/>
        <v>637</v>
      </c>
      <c r="B638" s="12">
        <v>0.84559200000000001</v>
      </c>
      <c r="C638" s="12">
        <v>0.17526900000000001</v>
      </c>
      <c r="D638" s="12">
        <v>0.39934999999999998</v>
      </c>
      <c r="E638" s="12">
        <v>155.850916648046</v>
      </c>
      <c r="F638" s="12">
        <v>49</v>
      </c>
      <c r="G638" s="12">
        <v>19.7998178990429</v>
      </c>
      <c r="H638" s="12" t="s">
        <v>0</v>
      </c>
      <c r="I638" s="12">
        <v>0.97647300000000004</v>
      </c>
      <c r="J638" s="12">
        <v>187.6345</v>
      </c>
      <c r="K638" s="12">
        <v>245.6165</v>
      </c>
      <c r="L638" s="12" t="s">
        <v>1</v>
      </c>
      <c r="M638" s="12" t="s">
        <v>0</v>
      </c>
      <c r="N638" s="12">
        <v>22.484026459762301</v>
      </c>
      <c r="O638" s="12">
        <v>15</v>
      </c>
      <c r="P638" s="12">
        <v>5675.86</v>
      </c>
      <c r="Q638" s="12" t="s">
        <v>1</v>
      </c>
    </row>
    <row r="639" spans="1:17" x14ac:dyDescent="0.25">
      <c r="A639" s="12">
        <f t="shared" si="9"/>
        <v>638</v>
      </c>
      <c r="B639" s="12">
        <v>0.58523800000000004</v>
      </c>
      <c r="C639" s="12">
        <v>9.3665899999999996E-2</v>
      </c>
      <c r="D639" s="12">
        <v>0.188502</v>
      </c>
      <c r="E639" s="12">
        <v>57.681345854373397</v>
      </c>
      <c r="F639" s="12">
        <v>81</v>
      </c>
      <c r="G639" s="12">
        <v>12.2613176813661</v>
      </c>
      <c r="H639" s="12" t="s">
        <v>0</v>
      </c>
      <c r="I639" s="12">
        <v>0.76819000000000004</v>
      </c>
      <c r="J639" s="12">
        <v>146.83295000000001</v>
      </c>
      <c r="K639" s="12">
        <v>121.21617999999999</v>
      </c>
      <c r="L639" s="12" t="s">
        <v>1</v>
      </c>
      <c r="M639" s="12" t="s">
        <v>0</v>
      </c>
      <c r="N639" s="12">
        <v>17.594823622334701</v>
      </c>
      <c r="O639" s="12">
        <v>17</v>
      </c>
      <c r="P639" s="12">
        <v>8578.09</v>
      </c>
      <c r="Q639" s="12" t="s">
        <v>1</v>
      </c>
    </row>
    <row r="640" spans="1:17" x14ac:dyDescent="0.25">
      <c r="A640" s="12">
        <f t="shared" si="9"/>
        <v>639</v>
      </c>
      <c r="B640" s="12">
        <v>0.43411100000000002</v>
      </c>
      <c r="C640" s="12">
        <v>0.26174999999999998</v>
      </c>
      <c r="D640" s="12">
        <v>0.38128299999999998</v>
      </c>
      <c r="E640" s="12">
        <v>312.069391102841</v>
      </c>
      <c r="F640" s="12">
        <v>72.25</v>
      </c>
      <c r="G640" s="12">
        <v>13.4389533766185</v>
      </c>
      <c r="H640" s="12" t="s">
        <v>0</v>
      </c>
      <c r="I640" s="12">
        <v>0.64728799999999997</v>
      </c>
      <c r="J640" s="12">
        <v>230.875</v>
      </c>
      <c r="K640" s="12">
        <v>234.95697000000001</v>
      </c>
      <c r="L640" s="12" t="s">
        <v>1</v>
      </c>
      <c r="M640" s="12" t="s">
        <v>0</v>
      </c>
      <c r="N640" s="12">
        <v>27.665485872255001</v>
      </c>
      <c r="O640" s="12">
        <v>16.5</v>
      </c>
      <c r="P640" s="12">
        <v>8638.06</v>
      </c>
      <c r="Q640" s="12" t="s">
        <v>1</v>
      </c>
    </row>
    <row r="641" spans="1:17" x14ac:dyDescent="0.25">
      <c r="A641" s="12">
        <f t="shared" si="9"/>
        <v>640</v>
      </c>
      <c r="B641" s="12">
        <v>0.471447</v>
      </c>
      <c r="C641" s="12">
        <v>2.64683E-2</v>
      </c>
      <c r="D641" s="12">
        <v>0.26220700000000002</v>
      </c>
      <c r="E641" s="12">
        <v>12.735748436556801</v>
      </c>
      <c r="F641" s="12">
        <v>121</v>
      </c>
      <c r="G641" s="12">
        <v>44.585073014824502</v>
      </c>
      <c r="H641" s="12" t="s">
        <v>0</v>
      </c>
      <c r="I641" s="12">
        <v>0.67715700000000001</v>
      </c>
      <c r="J641" s="12">
        <v>113.23415</v>
      </c>
      <c r="K641" s="12">
        <v>164.70213000000001</v>
      </c>
      <c r="L641" s="12" t="s">
        <v>1</v>
      </c>
      <c r="M641" s="12" t="s">
        <v>0</v>
      </c>
      <c r="N641" s="12">
        <v>13.5687180382536</v>
      </c>
      <c r="O641" s="12">
        <v>19</v>
      </c>
      <c r="P641" s="12">
        <v>4862.82</v>
      </c>
      <c r="Q641" s="12" t="s">
        <v>1</v>
      </c>
    </row>
    <row r="642" spans="1:17" x14ac:dyDescent="0.25">
      <c r="A642" s="12">
        <f t="shared" si="9"/>
        <v>641</v>
      </c>
      <c r="B642" s="12">
        <v>0.89107800000000004</v>
      </c>
      <c r="C642" s="12">
        <v>0.18967200000000001</v>
      </c>
      <c r="D642" s="12">
        <v>0.53005000000000002</v>
      </c>
      <c r="E642" s="12">
        <v>178.141713009238</v>
      </c>
      <c r="F642" s="12">
        <v>42.25</v>
      </c>
      <c r="G642" s="12">
        <v>54.547734866578999</v>
      </c>
      <c r="H642" s="12" t="s">
        <v>0</v>
      </c>
      <c r="I642" s="12">
        <v>1.0128619999999999</v>
      </c>
      <c r="J642" s="12">
        <v>194.83600000000001</v>
      </c>
      <c r="K642" s="12">
        <v>322.72949999999997</v>
      </c>
      <c r="L642" s="12" t="s">
        <v>1</v>
      </c>
      <c r="M642" s="12" t="s">
        <v>0</v>
      </c>
      <c r="N642" s="12">
        <v>23.346973927045699</v>
      </c>
      <c r="O642" s="12">
        <v>14.5</v>
      </c>
      <c r="P642" s="12">
        <v>4604.24</v>
      </c>
      <c r="Q642" s="12" t="s">
        <v>1</v>
      </c>
    </row>
    <row r="643" spans="1:17" x14ac:dyDescent="0.25">
      <c r="A643" s="12">
        <f t="shared" si="9"/>
        <v>642</v>
      </c>
      <c r="B643" s="12">
        <v>1.0926400000000001</v>
      </c>
      <c r="C643" s="12">
        <v>8.8134500000000005E-3</v>
      </c>
      <c r="D643" s="12">
        <v>0.69816</v>
      </c>
      <c r="E643" s="12">
        <v>6.3048088721449798</v>
      </c>
      <c r="F643" s="12">
        <v>56.25</v>
      </c>
      <c r="G643" s="12">
        <v>266.67426879414501</v>
      </c>
      <c r="H643" s="12" t="s">
        <v>0</v>
      </c>
      <c r="I643" s="12">
        <v>1.17411</v>
      </c>
      <c r="J643" s="12">
        <v>104.40672499999999</v>
      </c>
      <c r="K643" s="12">
        <v>421.9144</v>
      </c>
      <c r="L643" s="12" t="s">
        <v>1</v>
      </c>
      <c r="M643" s="12" t="s">
        <v>0</v>
      </c>
      <c r="N643" s="12">
        <v>12.510937847129</v>
      </c>
      <c r="O643" s="12">
        <v>15.5</v>
      </c>
      <c r="P643" s="12">
        <v>1339.49</v>
      </c>
      <c r="Q643" s="12" t="s">
        <v>1</v>
      </c>
    </row>
    <row r="644" spans="1:17" x14ac:dyDescent="0.25">
      <c r="A644" s="12">
        <f t="shared" ref="A644:A707" si="10">A643+1</f>
        <v>643</v>
      </c>
      <c r="B644" s="12">
        <v>1.0520400000000001</v>
      </c>
      <c r="C644" s="12">
        <v>0.102466</v>
      </c>
      <c r="D644" s="12">
        <v>0.65526600000000002</v>
      </c>
      <c r="E644" s="12">
        <v>65.968127585200605</v>
      </c>
      <c r="F644" s="12">
        <v>36</v>
      </c>
      <c r="G644" s="12">
        <v>139.25939793582199</v>
      </c>
      <c r="H644" s="12" t="s">
        <v>0</v>
      </c>
      <c r="I644" s="12">
        <v>1.1416299999999999</v>
      </c>
      <c r="J644" s="12">
        <v>151.233</v>
      </c>
      <c r="K644" s="12">
        <v>396.60694000000001</v>
      </c>
      <c r="L644" s="12" t="s">
        <v>1</v>
      </c>
      <c r="M644" s="12" t="s">
        <v>0</v>
      </c>
      <c r="N644" s="12">
        <v>18.122076556226201</v>
      </c>
      <c r="O644" s="12">
        <v>14</v>
      </c>
      <c r="P644" s="12">
        <v>2992.7</v>
      </c>
      <c r="Q644" s="12" t="s">
        <v>1</v>
      </c>
    </row>
    <row r="645" spans="1:17" x14ac:dyDescent="0.25">
      <c r="A645" s="12">
        <f t="shared" si="10"/>
        <v>644</v>
      </c>
      <c r="B645" s="12">
        <v>1.0447500000000001</v>
      </c>
      <c r="C645" s="12">
        <v>3.7119300000000001E-2</v>
      </c>
      <c r="D645" s="12">
        <v>0.64341899999999996</v>
      </c>
      <c r="E645" s="12">
        <v>17.697726437846399</v>
      </c>
      <c r="F645" s="12">
        <v>49</v>
      </c>
      <c r="G645" s="12">
        <v>217.192493067367</v>
      </c>
      <c r="H645" s="12" t="s">
        <v>0</v>
      </c>
      <c r="I645" s="12">
        <v>1.1357999999999999</v>
      </c>
      <c r="J645" s="12">
        <v>118.55965</v>
      </c>
      <c r="K645" s="12">
        <v>389.61721</v>
      </c>
      <c r="L645" s="12" t="s">
        <v>1</v>
      </c>
      <c r="M645" s="12" t="s">
        <v>0</v>
      </c>
      <c r="N645" s="12">
        <v>14.2068665818928</v>
      </c>
      <c r="O645" s="12">
        <v>15</v>
      </c>
      <c r="P645" s="12">
        <v>1920.83</v>
      </c>
      <c r="Q645" s="12" t="s">
        <v>1</v>
      </c>
    </row>
    <row r="646" spans="1:17" x14ac:dyDescent="0.25">
      <c r="A646" s="12">
        <f t="shared" si="10"/>
        <v>645</v>
      </c>
      <c r="B646" s="12">
        <v>0.92698599999999998</v>
      </c>
      <c r="C646" s="12">
        <v>0.31424600000000003</v>
      </c>
      <c r="D646" s="12">
        <v>1.0302199999999999</v>
      </c>
      <c r="E646" s="12">
        <v>433.087462971908</v>
      </c>
      <c r="F646" s="12">
        <v>42.25</v>
      </c>
      <c r="G646" s="12">
        <v>118.42329052655199</v>
      </c>
      <c r="H646" s="12" t="s">
        <v>0</v>
      </c>
      <c r="I646" s="12">
        <v>1.041588</v>
      </c>
      <c r="J646" s="12">
        <v>257.12299999999999</v>
      </c>
      <c r="K646" s="12">
        <v>617.82979999999998</v>
      </c>
      <c r="L646" s="12" t="s">
        <v>1</v>
      </c>
      <c r="M646" s="12" t="s">
        <v>0</v>
      </c>
      <c r="N646" s="12">
        <v>30.810753541664599</v>
      </c>
      <c r="O646" s="12">
        <v>14.5</v>
      </c>
      <c r="P646" s="12">
        <v>3327.98</v>
      </c>
      <c r="Q646" s="12" t="s">
        <v>1</v>
      </c>
    </row>
    <row r="647" spans="1:17" x14ac:dyDescent="0.25">
      <c r="A647" s="12">
        <f t="shared" si="10"/>
        <v>646</v>
      </c>
      <c r="B647" s="12">
        <v>0.79334199999999999</v>
      </c>
      <c r="C647" s="12">
        <v>0.15459100000000001</v>
      </c>
      <c r="D647" s="12">
        <v>0.39344600000000002</v>
      </c>
      <c r="E647" s="12">
        <v>126.45263326550899</v>
      </c>
      <c r="F647" s="12">
        <v>56.25</v>
      </c>
      <c r="G647" s="12">
        <v>23.865232576468301</v>
      </c>
      <c r="H647" s="12" t="s">
        <v>0</v>
      </c>
      <c r="I647" s="12">
        <v>0.93467299999999998</v>
      </c>
      <c r="J647" s="12">
        <v>177.2955</v>
      </c>
      <c r="K647" s="12">
        <v>242.13314</v>
      </c>
      <c r="L647" s="12" t="s">
        <v>1</v>
      </c>
      <c r="M647" s="12" t="s">
        <v>0</v>
      </c>
      <c r="N647" s="12">
        <v>21.245115973857601</v>
      </c>
      <c r="O647" s="12">
        <v>15.5</v>
      </c>
      <c r="P647" s="12">
        <v>5516.9</v>
      </c>
      <c r="Q647" s="12" t="s">
        <v>1</v>
      </c>
    </row>
    <row r="648" spans="1:17" x14ac:dyDescent="0.25">
      <c r="A648" s="12">
        <f t="shared" si="10"/>
        <v>647</v>
      </c>
      <c r="B648" s="12">
        <v>1.05809</v>
      </c>
      <c r="C648" s="12">
        <v>0.29761700000000002</v>
      </c>
      <c r="D648" s="12">
        <v>0.60542899999999999</v>
      </c>
      <c r="E648" s="12">
        <v>392.61189633735898</v>
      </c>
      <c r="F648" s="12">
        <v>36</v>
      </c>
      <c r="G648" s="12">
        <v>40.602384000000001</v>
      </c>
      <c r="H648" s="12" t="s">
        <v>0</v>
      </c>
      <c r="I648" s="12">
        <v>1.1464700000000001</v>
      </c>
      <c r="J648" s="12">
        <v>248.80850000000001</v>
      </c>
      <c r="K648" s="12">
        <v>367.20310999999998</v>
      </c>
      <c r="L648" s="12" t="s">
        <v>1</v>
      </c>
      <c r="M648" s="12" t="s">
        <v>0</v>
      </c>
      <c r="N648" s="12">
        <v>29.814436563711801</v>
      </c>
      <c r="O648" s="12">
        <v>14</v>
      </c>
      <c r="P648" s="12">
        <v>4974.22</v>
      </c>
      <c r="Q648" s="12" t="s">
        <v>1</v>
      </c>
    </row>
    <row r="649" spans="1:17" x14ac:dyDescent="0.25">
      <c r="A649" s="12">
        <f t="shared" si="10"/>
        <v>648</v>
      </c>
      <c r="B649" s="12">
        <v>1.02159</v>
      </c>
      <c r="C649" s="12">
        <v>1.73922E-2</v>
      </c>
      <c r="D649" s="12">
        <v>0.66208100000000003</v>
      </c>
      <c r="E649" s="12">
        <v>9.1501937791411692</v>
      </c>
      <c r="F649" s="12">
        <v>64</v>
      </c>
      <c r="G649" s="12">
        <v>252.90497330155699</v>
      </c>
      <c r="H649" s="12" t="s">
        <v>0</v>
      </c>
      <c r="I649" s="12">
        <v>1.11727</v>
      </c>
      <c r="J649" s="12">
        <v>108.6961</v>
      </c>
      <c r="K649" s="12">
        <v>400.62779</v>
      </c>
      <c r="L649" s="12" t="s">
        <v>1</v>
      </c>
      <c r="M649" s="12" t="s">
        <v>0</v>
      </c>
      <c r="N649" s="12">
        <v>13.0249287229852</v>
      </c>
      <c r="O649" s="12">
        <v>16</v>
      </c>
      <c r="P649" s="12">
        <v>1495.41</v>
      </c>
      <c r="Q649" s="12" t="s">
        <v>1</v>
      </c>
    </row>
    <row r="650" spans="1:17" x14ac:dyDescent="0.25">
      <c r="A650" s="12">
        <f t="shared" si="10"/>
        <v>649</v>
      </c>
      <c r="B650" s="12">
        <v>0.54935699999999998</v>
      </c>
      <c r="C650" s="12">
        <v>3.6383400000000003E-2</v>
      </c>
      <c r="D650" s="12">
        <v>0.17711099999999999</v>
      </c>
      <c r="E650" s="12">
        <v>17.328700332382699</v>
      </c>
      <c r="F650" s="12">
        <v>100</v>
      </c>
      <c r="G650" s="12">
        <v>7.9246106211296602E-2</v>
      </c>
      <c r="H650" s="12" t="s">
        <v>0</v>
      </c>
      <c r="I650" s="12">
        <v>0.73948499999999995</v>
      </c>
      <c r="J650" s="12">
        <v>118.1917</v>
      </c>
      <c r="K650" s="12">
        <v>114.49549</v>
      </c>
      <c r="L650" s="12" t="s">
        <v>1</v>
      </c>
      <c r="M650" s="12" t="s">
        <v>0</v>
      </c>
      <c r="N650" s="12">
        <v>14.1627755563305</v>
      </c>
      <c r="O650" s="12">
        <v>18</v>
      </c>
      <c r="P650" s="12">
        <v>7402.75</v>
      </c>
      <c r="Q650" s="12" t="s">
        <v>1</v>
      </c>
    </row>
    <row r="651" spans="1:17" x14ac:dyDescent="0.25">
      <c r="A651" s="12">
        <f t="shared" si="10"/>
        <v>650</v>
      </c>
      <c r="B651" s="12">
        <v>0.99695199999999995</v>
      </c>
      <c r="C651" s="12">
        <v>0.304176</v>
      </c>
      <c r="D651" s="12">
        <v>0.62119999999999997</v>
      </c>
      <c r="E651" s="12">
        <v>408.33963226249602</v>
      </c>
      <c r="F651" s="12">
        <v>30.25</v>
      </c>
      <c r="G651" s="12">
        <v>5.3949925622067898</v>
      </c>
      <c r="H651" s="12" t="s">
        <v>0</v>
      </c>
      <c r="I651" s="12">
        <v>1.097561</v>
      </c>
      <c r="J651" s="12">
        <v>252.08799999999999</v>
      </c>
      <c r="K651" s="12">
        <v>376.50799999999998</v>
      </c>
      <c r="L651" s="12" t="s">
        <v>1</v>
      </c>
      <c r="M651" s="12" t="s">
        <v>0</v>
      </c>
      <c r="N651" s="12">
        <v>30.207415279112102</v>
      </c>
      <c r="O651" s="12">
        <v>13.5</v>
      </c>
      <c r="P651" s="12">
        <v>6452.21</v>
      </c>
      <c r="Q651" s="12" t="s">
        <v>1</v>
      </c>
    </row>
    <row r="652" spans="1:17" x14ac:dyDescent="0.25">
      <c r="A652" s="12">
        <f t="shared" si="10"/>
        <v>651</v>
      </c>
      <c r="B652" s="12">
        <v>0.59193200000000001</v>
      </c>
      <c r="C652" s="12">
        <v>-5.0150300000000002E-3</v>
      </c>
      <c r="D652" s="12">
        <v>0.15032300000000001</v>
      </c>
      <c r="E652" s="12">
        <v>2.8305115356824002</v>
      </c>
      <c r="F652" s="12">
        <v>132.25</v>
      </c>
      <c r="G652" s="12">
        <v>20.7748644961531</v>
      </c>
      <c r="H652" s="12" t="s">
        <v>0</v>
      </c>
      <c r="I652" s="12">
        <v>0.77354500000000004</v>
      </c>
      <c r="J652" s="12">
        <v>97.492485000000002</v>
      </c>
      <c r="K652" s="12">
        <v>98.690569999999994</v>
      </c>
      <c r="L652" s="12" t="s">
        <v>1</v>
      </c>
      <c r="M652" s="12" t="s">
        <v>0</v>
      </c>
      <c r="N652" s="12">
        <v>11.682412415456501</v>
      </c>
      <c r="O652" s="12">
        <v>19.5</v>
      </c>
      <c r="P652" s="12">
        <v>5636.35</v>
      </c>
      <c r="Q652" s="12" t="s">
        <v>1</v>
      </c>
    </row>
    <row r="653" spans="1:17" x14ac:dyDescent="0.25">
      <c r="A653" s="12">
        <f t="shared" si="10"/>
        <v>652</v>
      </c>
      <c r="B653" s="12">
        <v>1.05772</v>
      </c>
      <c r="C653" s="12">
        <v>-2.67399E-2</v>
      </c>
      <c r="D653" s="12">
        <v>0.62505299999999997</v>
      </c>
      <c r="E653" s="12">
        <v>0.14499288685431699</v>
      </c>
      <c r="F653" s="12">
        <v>81</v>
      </c>
      <c r="G653" s="12">
        <v>285.99813725727103</v>
      </c>
      <c r="H653" s="12" t="s">
        <v>0</v>
      </c>
      <c r="I653" s="12">
        <v>1.1461699999999999</v>
      </c>
      <c r="J653" s="12">
        <v>86.630049999999997</v>
      </c>
      <c r="K653" s="12">
        <v>378.78127000000001</v>
      </c>
      <c r="L653" s="12" t="s">
        <v>1</v>
      </c>
      <c r="M653" s="12" t="s">
        <v>0</v>
      </c>
      <c r="N653" s="12">
        <v>10.3807793151607</v>
      </c>
      <c r="O653" s="12">
        <v>17</v>
      </c>
      <c r="P653" s="12">
        <v>1127.31</v>
      </c>
      <c r="Q653" s="12" t="s">
        <v>1</v>
      </c>
    </row>
    <row r="654" spans="1:17" x14ac:dyDescent="0.25">
      <c r="A654" s="12">
        <f t="shared" si="10"/>
        <v>653</v>
      </c>
      <c r="B654" s="12">
        <v>0.98429999999999995</v>
      </c>
      <c r="C654" s="12">
        <v>3.25475E-2</v>
      </c>
      <c r="D654" s="12">
        <v>0.65069900000000003</v>
      </c>
      <c r="E654" s="12">
        <v>15.468094226900201</v>
      </c>
      <c r="F654" s="12">
        <v>56.25</v>
      </c>
      <c r="G654" s="12">
        <v>216.35750191330399</v>
      </c>
      <c r="H654" s="12" t="s">
        <v>0</v>
      </c>
      <c r="I654" s="12">
        <v>1.0873999999999999</v>
      </c>
      <c r="J654" s="12">
        <v>116.27375000000001</v>
      </c>
      <c r="K654" s="12">
        <v>393.91241000000002</v>
      </c>
      <c r="L654" s="12" t="s">
        <v>1</v>
      </c>
      <c r="M654" s="12" t="s">
        <v>0</v>
      </c>
      <c r="N654" s="12">
        <v>13.932949812405401</v>
      </c>
      <c r="O654" s="12">
        <v>15.5</v>
      </c>
      <c r="P654" s="12">
        <v>1931.18</v>
      </c>
      <c r="Q654" s="12" t="s">
        <v>1</v>
      </c>
    </row>
    <row r="655" spans="1:17" x14ac:dyDescent="0.25">
      <c r="A655" s="12">
        <f t="shared" si="10"/>
        <v>654</v>
      </c>
      <c r="B655" s="12">
        <v>1.0429299999999999</v>
      </c>
      <c r="C655" s="12">
        <v>5.1819200000000003E-2</v>
      </c>
      <c r="D655" s="12">
        <v>0.64299499999999998</v>
      </c>
      <c r="E655" s="12">
        <v>25.883700643305399</v>
      </c>
      <c r="F655" s="12">
        <v>49</v>
      </c>
      <c r="G655" s="12">
        <v>206.57170951398001</v>
      </c>
      <c r="H655" s="12" t="s">
        <v>0</v>
      </c>
      <c r="I655" s="12">
        <v>1.1343399999999999</v>
      </c>
      <c r="J655" s="12">
        <v>125.9096</v>
      </c>
      <c r="K655" s="12">
        <v>389.36705000000001</v>
      </c>
      <c r="L655" s="12" t="s">
        <v>1</v>
      </c>
      <c r="M655" s="12" t="s">
        <v>0</v>
      </c>
      <c r="N655" s="12">
        <v>15.087602642041199</v>
      </c>
      <c r="O655" s="12">
        <v>15</v>
      </c>
      <c r="P655" s="12">
        <v>2054</v>
      </c>
      <c r="Q655" s="12" t="s">
        <v>1</v>
      </c>
    </row>
    <row r="656" spans="1:17" x14ac:dyDescent="0.25">
      <c r="A656" s="12">
        <f t="shared" si="10"/>
        <v>655</v>
      </c>
      <c r="B656" s="12">
        <v>1.0440400000000001</v>
      </c>
      <c r="C656" s="12">
        <v>4.15559E-2</v>
      </c>
      <c r="D656" s="12">
        <v>0.57645299999999999</v>
      </c>
      <c r="E656" s="12">
        <v>20.004892512543101</v>
      </c>
      <c r="F656" s="12">
        <v>49</v>
      </c>
      <c r="G656" s="12">
        <v>195.06599208932201</v>
      </c>
      <c r="H656" s="12" t="s">
        <v>0</v>
      </c>
      <c r="I656" s="12">
        <v>1.13523</v>
      </c>
      <c r="J656" s="12">
        <v>120.77795</v>
      </c>
      <c r="K656" s="12">
        <v>350.10727000000003</v>
      </c>
      <c r="L656" s="12" t="s">
        <v>1</v>
      </c>
      <c r="M656" s="12" t="s">
        <v>0</v>
      </c>
      <c r="N656" s="12">
        <v>14.4726829210825</v>
      </c>
      <c r="O656" s="12">
        <v>15</v>
      </c>
      <c r="P656" s="12">
        <v>2202.19</v>
      </c>
      <c r="Q656" s="12" t="s">
        <v>1</v>
      </c>
    </row>
    <row r="657" spans="1:17" x14ac:dyDescent="0.25">
      <c r="A657" s="12">
        <f t="shared" si="10"/>
        <v>656</v>
      </c>
      <c r="B657" s="12">
        <v>0.83974599999999999</v>
      </c>
      <c r="C657" s="12">
        <v>0.139991</v>
      </c>
      <c r="D657" s="12">
        <v>0.42633500000000002</v>
      </c>
      <c r="E657" s="12">
        <v>107.544477799329</v>
      </c>
      <c r="F657" s="12">
        <v>56.25</v>
      </c>
      <c r="G657" s="12">
        <v>39.784297038093399</v>
      </c>
      <c r="H657" s="12" t="s">
        <v>0</v>
      </c>
      <c r="I657" s="12">
        <v>0.97179599999999999</v>
      </c>
      <c r="J657" s="12">
        <v>169.99549999999999</v>
      </c>
      <c r="K657" s="12">
        <v>261.53764999999999</v>
      </c>
      <c r="L657" s="12" t="s">
        <v>1</v>
      </c>
      <c r="M657" s="12" t="s">
        <v>0</v>
      </c>
      <c r="N657" s="12">
        <v>20.370365364794399</v>
      </c>
      <c r="O657" s="12">
        <v>15.5</v>
      </c>
      <c r="P657" s="12">
        <v>4997.7700000000004</v>
      </c>
      <c r="Q657" s="12" t="s">
        <v>1</v>
      </c>
    </row>
    <row r="658" spans="1:17" x14ac:dyDescent="0.25">
      <c r="A658" s="12">
        <f t="shared" si="10"/>
        <v>657</v>
      </c>
      <c r="B658" s="12">
        <v>0.97477800000000003</v>
      </c>
      <c r="C658" s="12">
        <v>0.126274</v>
      </c>
      <c r="D658" s="12">
        <v>0.54028900000000002</v>
      </c>
      <c r="E658" s="12">
        <v>91.174218783902802</v>
      </c>
      <c r="F658" s="12">
        <v>42.25</v>
      </c>
      <c r="G658" s="12">
        <v>86.243025877275201</v>
      </c>
      <c r="H658" s="12" t="s">
        <v>0</v>
      </c>
      <c r="I658" s="12">
        <v>1.0798220000000001</v>
      </c>
      <c r="J658" s="12">
        <v>163.137</v>
      </c>
      <c r="K658" s="12">
        <v>328.77051</v>
      </c>
      <c r="L658" s="12" t="s">
        <v>1</v>
      </c>
      <c r="M658" s="12" t="s">
        <v>0</v>
      </c>
      <c r="N658" s="12">
        <v>19.548519193252002</v>
      </c>
      <c r="O658" s="12">
        <v>14.5</v>
      </c>
      <c r="P658" s="12">
        <v>3910.35</v>
      </c>
      <c r="Q658" s="12" t="s">
        <v>1</v>
      </c>
    </row>
    <row r="659" spans="1:17" x14ac:dyDescent="0.25">
      <c r="A659" s="12">
        <f t="shared" si="10"/>
        <v>658</v>
      </c>
      <c r="B659" s="12">
        <v>0.81239099999999997</v>
      </c>
      <c r="C659" s="12">
        <v>0.106376</v>
      </c>
      <c r="D659" s="12">
        <v>0.699905</v>
      </c>
      <c r="E659" s="12">
        <v>69.8284509368209</v>
      </c>
      <c r="F659" s="12">
        <v>56.25</v>
      </c>
      <c r="G659" s="12">
        <v>138.04125424207101</v>
      </c>
      <c r="H659" s="12" t="s">
        <v>0</v>
      </c>
      <c r="I659" s="12">
        <v>0.94991199999999998</v>
      </c>
      <c r="J659" s="12">
        <v>153.18799999999999</v>
      </c>
      <c r="K659" s="12">
        <v>422.94394999999997</v>
      </c>
      <c r="L659" s="12" t="s">
        <v>1</v>
      </c>
      <c r="M659" s="12" t="s">
        <v>0</v>
      </c>
      <c r="N659" s="12">
        <v>18.356341959064402</v>
      </c>
      <c r="O659" s="12">
        <v>15.5</v>
      </c>
      <c r="P659" s="12">
        <v>3011.58</v>
      </c>
      <c r="Q659" s="12" t="s">
        <v>1</v>
      </c>
    </row>
    <row r="660" spans="1:17" x14ac:dyDescent="0.25">
      <c r="A660" s="12">
        <f t="shared" si="10"/>
        <v>659</v>
      </c>
      <c r="B660" s="12">
        <v>0.141454</v>
      </c>
      <c r="C660" s="12">
        <v>-2.71501E-2</v>
      </c>
      <c r="D660" s="12">
        <v>0.16461100000000001</v>
      </c>
      <c r="E660" s="12">
        <v>0.126880162526089</v>
      </c>
      <c r="F660" s="12">
        <v>132.25</v>
      </c>
      <c r="G660" s="12">
        <v>90.0907826128729</v>
      </c>
      <c r="H660" s="12" t="s">
        <v>0</v>
      </c>
      <c r="I660" s="12">
        <v>0.413163</v>
      </c>
      <c r="J660" s="12">
        <v>86.424949999999995</v>
      </c>
      <c r="K660" s="12">
        <v>107.12049</v>
      </c>
      <c r="L660" s="12" t="s">
        <v>1</v>
      </c>
      <c r="M660" s="12" t="s">
        <v>0</v>
      </c>
      <c r="N660" s="12">
        <v>10.3562024179116</v>
      </c>
      <c r="O660" s="12">
        <v>19.5</v>
      </c>
      <c r="P660" s="12">
        <v>3835.56</v>
      </c>
      <c r="Q660" s="12" t="s">
        <v>1</v>
      </c>
    </row>
    <row r="661" spans="1:17" x14ac:dyDescent="0.25">
      <c r="A661" s="12">
        <f t="shared" si="10"/>
        <v>660</v>
      </c>
      <c r="B661" s="12">
        <v>0.108012</v>
      </c>
      <c r="C661" s="12">
        <v>2.6329700000000001E-2</v>
      </c>
      <c r="D661" s="12">
        <v>3.2012600000000002E-2</v>
      </c>
      <c r="E661" s="12">
        <v>12.676547131551899</v>
      </c>
      <c r="F661" s="12">
        <v>100</v>
      </c>
      <c r="G661" s="12">
        <v>445.487522687183</v>
      </c>
      <c r="H661" s="12" t="s">
        <v>0</v>
      </c>
      <c r="I661" s="12">
        <v>0.386409</v>
      </c>
      <c r="J661" s="12">
        <v>113.16485</v>
      </c>
      <c r="K661" s="12">
        <v>28.887433999999999</v>
      </c>
      <c r="L661" s="12" t="s">
        <v>1</v>
      </c>
      <c r="M661" s="12" t="s">
        <v>0</v>
      </c>
      <c r="N661" s="12">
        <v>13.560413898909999</v>
      </c>
      <c r="O661" s="12">
        <v>18</v>
      </c>
      <c r="P661" s="12">
        <v>15003.9</v>
      </c>
      <c r="Q661" s="12" t="s">
        <v>1</v>
      </c>
    </row>
    <row r="662" spans="1:17" x14ac:dyDescent="0.25">
      <c r="A662" s="12">
        <f t="shared" si="10"/>
        <v>661</v>
      </c>
      <c r="B662" s="12">
        <v>1.1498600000000001</v>
      </c>
      <c r="C662" s="12">
        <v>0.159216</v>
      </c>
      <c r="D662" s="12">
        <v>0.76523200000000002</v>
      </c>
      <c r="E662" s="12">
        <v>132.76155812458299</v>
      </c>
      <c r="F662" s="12">
        <v>42.25</v>
      </c>
      <c r="G662" s="12">
        <v>179.676029697128</v>
      </c>
      <c r="H662" s="12" t="s">
        <v>0</v>
      </c>
      <c r="I662" s="12">
        <v>1.2198800000000001</v>
      </c>
      <c r="J662" s="12">
        <v>179.608</v>
      </c>
      <c r="K662" s="12">
        <v>461.48687999999999</v>
      </c>
      <c r="L662" s="12" t="s">
        <v>1</v>
      </c>
      <c r="M662" s="12" t="s">
        <v>0</v>
      </c>
      <c r="N662" s="12">
        <v>21.522220190769801</v>
      </c>
      <c r="O662" s="12">
        <v>14.5</v>
      </c>
      <c r="P662" s="12">
        <v>2407.42</v>
      </c>
      <c r="Q662" s="12" t="s">
        <v>1</v>
      </c>
    </row>
    <row r="663" spans="1:17" x14ac:dyDescent="0.25">
      <c r="A663" s="12">
        <f t="shared" si="10"/>
        <v>662</v>
      </c>
      <c r="B663" s="12">
        <v>1.03668</v>
      </c>
      <c r="C663" s="12">
        <v>6.8557000000000007E-2</v>
      </c>
      <c r="D663" s="12">
        <v>0.70445500000000005</v>
      </c>
      <c r="E663" s="12">
        <v>37.093438801391699</v>
      </c>
      <c r="F663" s="12">
        <v>49</v>
      </c>
      <c r="G663" s="12">
        <v>211.88670717657999</v>
      </c>
      <c r="H663" s="12" t="s">
        <v>0</v>
      </c>
      <c r="I663" s="12">
        <v>1.12934</v>
      </c>
      <c r="J663" s="12">
        <v>134.27850000000001</v>
      </c>
      <c r="K663" s="12">
        <v>425.62844999999999</v>
      </c>
      <c r="L663" s="12" t="s">
        <v>1</v>
      </c>
      <c r="M663" s="12" t="s">
        <v>0</v>
      </c>
      <c r="N663" s="12">
        <v>16.0904383094644</v>
      </c>
      <c r="O663" s="12">
        <v>15</v>
      </c>
      <c r="P663" s="12">
        <v>1986.94</v>
      </c>
      <c r="Q663" s="12" t="s">
        <v>1</v>
      </c>
    </row>
    <row r="664" spans="1:17" x14ac:dyDescent="0.25">
      <c r="A664" s="12">
        <f t="shared" si="10"/>
        <v>663</v>
      </c>
      <c r="B664" s="12">
        <v>1.1592199999999999</v>
      </c>
      <c r="C664" s="12">
        <v>0.71554499999999999</v>
      </c>
      <c r="D664" s="12">
        <v>0.81436200000000003</v>
      </c>
      <c r="E664" s="12">
        <v>2011.91293742466</v>
      </c>
      <c r="F664" s="12">
        <v>30.25</v>
      </c>
      <c r="G664" s="12">
        <v>2.8424112358791498</v>
      </c>
      <c r="H664" s="12" t="s">
        <v>0</v>
      </c>
      <c r="I664" s="12">
        <v>1.2273700000000001</v>
      </c>
      <c r="J664" s="12">
        <v>457.77249999999998</v>
      </c>
      <c r="K664" s="12">
        <v>490.47358000000003</v>
      </c>
      <c r="L664" s="12" t="s">
        <v>1</v>
      </c>
      <c r="M664" s="12" t="s">
        <v>0</v>
      </c>
      <c r="N664" s="12">
        <v>54.854352491421103</v>
      </c>
      <c r="O664" s="12">
        <v>13.5</v>
      </c>
      <c r="P664" s="12">
        <v>6684.63</v>
      </c>
      <c r="Q664" s="12" t="s">
        <v>1</v>
      </c>
    </row>
    <row r="665" spans="1:17" x14ac:dyDescent="0.25">
      <c r="A665" s="12">
        <f t="shared" si="10"/>
        <v>664</v>
      </c>
      <c r="B665" s="12">
        <v>0.46967500000000001</v>
      </c>
      <c r="C665" s="12">
        <v>-4.38471E-2</v>
      </c>
      <c r="D665" s="12">
        <v>0.142567</v>
      </c>
      <c r="E665" s="12">
        <v>0.41497913397982</v>
      </c>
      <c r="F665" s="12">
        <v>144</v>
      </c>
      <c r="G665" s="12">
        <v>24.457496026271301</v>
      </c>
      <c r="H665" s="12" t="s">
        <v>0</v>
      </c>
      <c r="I665" s="12">
        <v>0.67574000000000001</v>
      </c>
      <c r="J665" s="12">
        <v>78.076449999999994</v>
      </c>
      <c r="K665" s="12">
        <v>94.114530000000002</v>
      </c>
      <c r="L665" s="12" t="s">
        <v>1</v>
      </c>
      <c r="M665" s="12" t="s">
        <v>0</v>
      </c>
      <c r="N665" s="12">
        <v>9.3558112590398501</v>
      </c>
      <c r="O665" s="12">
        <v>20</v>
      </c>
      <c r="P665" s="12">
        <v>5494.91</v>
      </c>
      <c r="Q665" s="12" t="s">
        <v>1</v>
      </c>
    </row>
    <row r="666" spans="1:17" x14ac:dyDescent="0.25">
      <c r="A666" s="12">
        <f t="shared" si="10"/>
        <v>665</v>
      </c>
      <c r="B666" s="12">
        <v>1.0181800000000001</v>
      </c>
      <c r="C666" s="12">
        <v>3.9282999999999998E-2</v>
      </c>
      <c r="D666" s="12">
        <v>0.65125</v>
      </c>
      <c r="E666" s="12">
        <v>18.805261945214099</v>
      </c>
      <c r="F666" s="12">
        <v>56.25</v>
      </c>
      <c r="G666" s="12">
        <v>209.596617998874</v>
      </c>
      <c r="H666" s="12" t="s">
        <v>0</v>
      </c>
      <c r="I666" s="12">
        <v>1.1145400000000001</v>
      </c>
      <c r="J666" s="12">
        <v>119.64149999999999</v>
      </c>
      <c r="K666" s="12">
        <v>394.23750000000001</v>
      </c>
      <c r="L666" s="12" t="s">
        <v>1</v>
      </c>
      <c r="M666" s="12" t="s">
        <v>0</v>
      </c>
      <c r="N666" s="12">
        <v>14.3365034238674</v>
      </c>
      <c r="O666" s="12">
        <v>15.5</v>
      </c>
      <c r="P666" s="12">
        <v>2015.73</v>
      </c>
      <c r="Q666" s="12" t="s">
        <v>1</v>
      </c>
    </row>
    <row r="667" spans="1:17" x14ac:dyDescent="0.25">
      <c r="A667" s="12">
        <f t="shared" si="10"/>
        <v>666</v>
      </c>
      <c r="B667" s="12">
        <v>1.03495</v>
      </c>
      <c r="C667" s="12">
        <v>-8.3284199999999996E-3</v>
      </c>
      <c r="D667" s="12">
        <v>0.68238299999999996</v>
      </c>
      <c r="E667" s="12">
        <v>2.2019371233426299</v>
      </c>
      <c r="F667" s="12">
        <v>64</v>
      </c>
      <c r="G667" s="12">
        <v>273.51903704559902</v>
      </c>
      <c r="H667" s="12" t="s">
        <v>0</v>
      </c>
      <c r="I667" s="12">
        <v>1.1279600000000001</v>
      </c>
      <c r="J667" s="12">
        <v>95.835790000000003</v>
      </c>
      <c r="K667" s="12">
        <v>412.60597000000001</v>
      </c>
      <c r="L667" s="12" t="s">
        <v>1</v>
      </c>
      <c r="M667" s="12" t="s">
        <v>0</v>
      </c>
      <c r="N667" s="12">
        <v>11.483892557883699</v>
      </c>
      <c r="O667" s="12">
        <v>16</v>
      </c>
      <c r="P667" s="12">
        <v>1263.48</v>
      </c>
      <c r="Q667" s="12" t="s">
        <v>1</v>
      </c>
    </row>
    <row r="668" spans="1:17" x14ac:dyDescent="0.25">
      <c r="A668" s="12">
        <f t="shared" si="10"/>
        <v>667</v>
      </c>
      <c r="B668" s="12">
        <v>1.0623100000000001</v>
      </c>
      <c r="C668" s="12">
        <v>0.154557</v>
      </c>
      <c r="D668" s="12">
        <v>0.64320900000000003</v>
      </c>
      <c r="E668" s="12">
        <v>126.40682277831399</v>
      </c>
      <c r="F668" s="12">
        <v>36</v>
      </c>
      <c r="G668" s="12">
        <v>105.708256355038</v>
      </c>
      <c r="H668" s="12" t="s">
        <v>0</v>
      </c>
      <c r="I668" s="12">
        <v>1.14984</v>
      </c>
      <c r="J668" s="12">
        <v>177.27850000000001</v>
      </c>
      <c r="K668" s="12">
        <v>389.49331000000001</v>
      </c>
      <c r="L668" s="12" t="s">
        <v>1</v>
      </c>
      <c r="M668" s="12" t="s">
        <v>0</v>
      </c>
      <c r="N668" s="12">
        <v>21.243078883398201</v>
      </c>
      <c r="O668" s="12">
        <v>14</v>
      </c>
      <c r="P668" s="12">
        <v>3547.27</v>
      </c>
      <c r="Q668" s="12" t="s">
        <v>1</v>
      </c>
    </row>
    <row r="669" spans="1:17" x14ac:dyDescent="0.25">
      <c r="A669" s="12">
        <f t="shared" si="10"/>
        <v>668</v>
      </c>
      <c r="B669" s="12">
        <v>1.17293</v>
      </c>
      <c r="C669" s="12">
        <v>0.297954</v>
      </c>
      <c r="D669" s="12">
        <v>0.52996100000000002</v>
      </c>
      <c r="E669" s="12">
        <v>393.41245699055202</v>
      </c>
      <c r="F669" s="12">
        <v>30.25</v>
      </c>
      <c r="G669" s="12">
        <v>25.717680766372599</v>
      </c>
      <c r="H669" s="12" t="s">
        <v>0</v>
      </c>
      <c r="I669" s="12">
        <v>1.23834</v>
      </c>
      <c r="J669" s="12">
        <v>248.977</v>
      </c>
      <c r="K669" s="12">
        <v>322.67698999999999</v>
      </c>
      <c r="L669" s="12" t="s">
        <v>1</v>
      </c>
      <c r="M669" s="12" t="s">
        <v>0</v>
      </c>
      <c r="N669" s="12">
        <v>29.834627725030501</v>
      </c>
      <c r="O669" s="12">
        <v>13.5</v>
      </c>
      <c r="P669" s="12">
        <v>5448.99</v>
      </c>
      <c r="Q669" s="12" t="s">
        <v>1</v>
      </c>
    </row>
    <row r="670" spans="1:17" x14ac:dyDescent="0.25">
      <c r="A670" s="12">
        <f t="shared" si="10"/>
        <v>669</v>
      </c>
      <c r="B670" s="12">
        <v>1.00675</v>
      </c>
      <c r="C670" s="12">
        <v>3.9826500000000001E-2</v>
      </c>
      <c r="D670" s="12">
        <v>0.63397800000000004</v>
      </c>
      <c r="E670" s="12">
        <v>19.088745699063701</v>
      </c>
      <c r="F670" s="12">
        <v>56.25</v>
      </c>
      <c r="G670" s="12">
        <v>208.52863369562701</v>
      </c>
      <c r="H670" s="12" t="s">
        <v>0</v>
      </c>
      <c r="I670" s="12">
        <v>1.1053999999999999</v>
      </c>
      <c r="J670" s="12">
        <v>119.91325000000001</v>
      </c>
      <c r="K670" s="12">
        <v>384.04701999999997</v>
      </c>
      <c r="L670" s="12" t="s">
        <v>1</v>
      </c>
      <c r="M670" s="12" t="s">
        <v>0</v>
      </c>
      <c r="N670" s="12">
        <v>14.369066914006201</v>
      </c>
      <c r="O670" s="12">
        <v>15.5</v>
      </c>
      <c r="P670" s="12">
        <v>2029.21</v>
      </c>
      <c r="Q670" s="12" t="s">
        <v>1</v>
      </c>
    </row>
    <row r="671" spans="1:17" x14ac:dyDescent="0.25">
      <c r="A671" s="12">
        <f t="shared" si="10"/>
        <v>670</v>
      </c>
      <c r="B671" s="12">
        <v>0.170899</v>
      </c>
      <c r="C671" s="12">
        <v>-4.2746399999999997E-2</v>
      </c>
      <c r="D671" s="12">
        <v>0.19039200000000001</v>
      </c>
      <c r="E671" s="12">
        <v>0.33436257666184699</v>
      </c>
      <c r="F671" s="12">
        <v>144</v>
      </c>
      <c r="G671" s="12">
        <v>117.639876146368</v>
      </c>
      <c r="H671" s="12" t="s">
        <v>0</v>
      </c>
      <c r="I671" s="12">
        <v>0.43671900000000002</v>
      </c>
      <c r="J671" s="12">
        <v>78.626800000000003</v>
      </c>
      <c r="K671" s="12">
        <v>122.33128000000001</v>
      </c>
      <c r="L671" s="12" t="s">
        <v>1</v>
      </c>
      <c r="M671" s="12" t="s">
        <v>0</v>
      </c>
      <c r="N671" s="12">
        <v>9.4217590669436699</v>
      </c>
      <c r="O671" s="12">
        <v>20</v>
      </c>
      <c r="P671" s="12">
        <v>3341.14</v>
      </c>
      <c r="Q671" s="12" t="s">
        <v>1</v>
      </c>
    </row>
    <row r="672" spans="1:17" x14ac:dyDescent="0.25">
      <c r="A672" s="12">
        <f t="shared" si="10"/>
        <v>671</v>
      </c>
      <c r="B672" s="12">
        <v>0.87926499999999996</v>
      </c>
      <c r="C672" s="12">
        <v>0.335698</v>
      </c>
      <c r="D672" s="12">
        <v>0.59282500000000005</v>
      </c>
      <c r="E672" s="12">
        <v>488.23488613796201</v>
      </c>
      <c r="F672" s="12">
        <v>36</v>
      </c>
      <c r="G672" s="12">
        <v>0.27342870782510698</v>
      </c>
      <c r="H672" s="12" t="s">
        <v>0</v>
      </c>
      <c r="I672" s="12">
        <v>1.003412</v>
      </c>
      <c r="J672" s="12">
        <v>267.84899999999999</v>
      </c>
      <c r="K672" s="12">
        <v>359.76675</v>
      </c>
      <c r="L672" s="12" t="s">
        <v>1</v>
      </c>
      <c r="M672" s="12" t="s">
        <v>0</v>
      </c>
      <c r="N672" s="12">
        <v>32.096037792734698</v>
      </c>
      <c r="O672" s="12">
        <v>14</v>
      </c>
      <c r="P672" s="12">
        <v>7109.14</v>
      </c>
      <c r="Q672" s="12" t="s">
        <v>1</v>
      </c>
    </row>
    <row r="673" spans="1:17" x14ac:dyDescent="0.25">
      <c r="A673" s="12">
        <f t="shared" si="10"/>
        <v>672</v>
      </c>
      <c r="B673" s="12">
        <v>1.0434399999999999</v>
      </c>
      <c r="C673" s="12">
        <v>7.0266599999999999E-2</v>
      </c>
      <c r="D673" s="12">
        <v>0.88258499999999995</v>
      </c>
      <c r="E673" s="12">
        <v>38.351614200678597</v>
      </c>
      <c r="F673" s="12">
        <v>49</v>
      </c>
      <c r="G673" s="12">
        <v>242.88325837042501</v>
      </c>
      <c r="H673" s="12" t="s">
        <v>0</v>
      </c>
      <c r="I673" s="12">
        <v>1.1347499999999999</v>
      </c>
      <c r="J673" s="12">
        <v>135.13329999999999</v>
      </c>
      <c r="K673" s="12">
        <v>530.72514999999999</v>
      </c>
      <c r="L673" s="12" t="s">
        <v>1</v>
      </c>
      <c r="M673" s="12" t="s">
        <v>0</v>
      </c>
      <c r="N673" s="12">
        <v>16.192868010920101</v>
      </c>
      <c r="O673" s="12">
        <v>15</v>
      </c>
      <c r="P673" s="12">
        <v>1611.58</v>
      </c>
      <c r="Q673" s="12" t="s">
        <v>1</v>
      </c>
    </row>
    <row r="674" spans="1:17" x14ac:dyDescent="0.25">
      <c r="A674" s="12">
        <f t="shared" si="10"/>
        <v>673</v>
      </c>
      <c r="B674" s="12">
        <v>0.26666499999999999</v>
      </c>
      <c r="C674" s="12">
        <v>2.86117E-2</v>
      </c>
      <c r="D674" s="12">
        <v>0.53445799999999999</v>
      </c>
      <c r="E674" s="12">
        <v>13.668833956234399</v>
      </c>
      <c r="F674" s="12">
        <v>132.25</v>
      </c>
      <c r="G674" s="12">
        <v>189.011270594107</v>
      </c>
      <c r="H674" s="12" t="s">
        <v>0</v>
      </c>
      <c r="I674" s="12">
        <v>0.51333200000000001</v>
      </c>
      <c r="J674" s="12">
        <v>114.30585000000001</v>
      </c>
      <c r="K674" s="12">
        <v>325.33022</v>
      </c>
      <c r="L674" s="12" t="s">
        <v>1</v>
      </c>
      <c r="M674" s="12" t="s">
        <v>0</v>
      </c>
      <c r="N674" s="12">
        <v>13.697138617395099</v>
      </c>
      <c r="O674" s="12">
        <v>19.5</v>
      </c>
      <c r="P674" s="12">
        <v>2281.9299999999998</v>
      </c>
      <c r="Q674" s="12" t="s">
        <v>1</v>
      </c>
    </row>
    <row r="675" spans="1:17" x14ac:dyDescent="0.25">
      <c r="A675" s="12">
        <f t="shared" si="10"/>
        <v>674</v>
      </c>
      <c r="B675" s="12">
        <v>0.88440399999999997</v>
      </c>
      <c r="C675" s="12">
        <v>0.27349800000000002</v>
      </c>
      <c r="D675" s="12">
        <v>0.59613499999999997</v>
      </c>
      <c r="E675" s="12">
        <v>337.43340666410398</v>
      </c>
      <c r="F675" s="12">
        <v>36</v>
      </c>
      <c r="G675" s="12">
        <v>6.88551978157252</v>
      </c>
      <c r="H675" s="12" t="s">
        <v>0</v>
      </c>
      <c r="I675" s="12">
        <v>1.0075229999999999</v>
      </c>
      <c r="J675" s="12">
        <v>236.749</v>
      </c>
      <c r="K675" s="12">
        <v>361.71965</v>
      </c>
      <c r="L675" s="12" t="s">
        <v>1</v>
      </c>
      <c r="M675" s="12" t="s">
        <v>0</v>
      </c>
      <c r="N675" s="12">
        <v>28.369360540424399</v>
      </c>
      <c r="O675" s="12">
        <v>14</v>
      </c>
      <c r="P675" s="12">
        <v>6342.23</v>
      </c>
      <c r="Q675" s="12" t="s">
        <v>1</v>
      </c>
    </row>
    <row r="676" spans="1:17" x14ac:dyDescent="0.25">
      <c r="A676" s="12">
        <f t="shared" si="10"/>
        <v>675</v>
      </c>
      <c r="B676" s="12">
        <v>0.166659</v>
      </c>
      <c r="C676" s="12">
        <v>8.3058000000000007E-2</v>
      </c>
      <c r="D676" s="12">
        <v>0.17802299999999999</v>
      </c>
      <c r="E676" s="12">
        <v>48.431263426185502</v>
      </c>
      <c r="F676" s="12">
        <v>90.25</v>
      </c>
      <c r="G676" s="12">
        <v>9.8577074880840598</v>
      </c>
      <c r="H676" s="12" t="s">
        <v>0</v>
      </c>
      <c r="I676" s="12">
        <v>0.43332700000000002</v>
      </c>
      <c r="J676" s="12">
        <v>141.529</v>
      </c>
      <c r="K676" s="12">
        <v>115.03357</v>
      </c>
      <c r="L676" s="12" t="s">
        <v>1</v>
      </c>
      <c r="M676" s="12" t="s">
        <v>0</v>
      </c>
      <c r="N676" s="12">
        <v>16.959257390425002</v>
      </c>
      <c r="O676" s="12">
        <v>17.5</v>
      </c>
      <c r="P676" s="12">
        <v>6154.01</v>
      </c>
      <c r="Q676" s="12" t="s">
        <v>1</v>
      </c>
    </row>
    <row r="677" spans="1:17" x14ac:dyDescent="0.25">
      <c r="A677" s="12">
        <f t="shared" si="10"/>
        <v>676</v>
      </c>
      <c r="B677" s="12">
        <v>0.50543300000000002</v>
      </c>
      <c r="C677" s="12">
        <v>4.4865299999999997E-2</v>
      </c>
      <c r="D677" s="12">
        <v>0.21527199999999999</v>
      </c>
      <c r="E677" s="12">
        <v>21.8179020744765</v>
      </c>
      <c r="F677" s="12">
        <v>100</v>
      </c>
      <c r="G677" s="12">
        <v>5.1114396254456702</v>
      </c>
      <c r="H677" s="12" t="s">
        <v>0</v>
      </c>
      <c r="I677" s="12">
        <v>0.70434600000000003</v>
      </c>
      <c r="J677" s="12">
        <v>122.43265</v>
      </c>
      <c r="K677" s="12">
        <v>137.01048</v>
      </c>
      <c r="L677" s="12" t="s">
        <v>1</v>
      </c>
      <c r="M677" s="12" t="s">
        <v>0</v>
      </c>
      <c r="N677" s="12">
        <v>14.6709637200985</v>
      </c>
      <c r="O677" s="12">
        <v>18</v>
      </c>
      <c r="P677" s="12">
        <v>6474.79</v>
      </c>
      <c r="Q677" s="12" t="s">
        <v>1</v>
      </c>
    </row>
    <row r="678" spans="1:17" x14ac:dyDescent="0.25">
      <c r="A678" s="12">
        <f t="shared" si="10"/>
        <v>677</v>
      </c>
      <c r="B678" s="12">
        <v>1.0626</v>
      </c>
      <c r="C678" s="12">
        <v>5.44561E-2</v>
      </c>
      <c r="D678" s="12">
        <v>0.839252</v>
      </c>
      <c r="E678" s="12">
        <v>27.516224834973801</v>
      </c>
      <c r="F678" s="12">
        <v>49</v>
      </c>
      <c r="G678" s="12">
        <v>243.611374468755</v>
      </c>
      <c r="H678" s="12" t="s">
        <v>0</v>
      </c>
      <c r="I678" s="12">
        <v>1.1499999999999999</v>
      </c>
      <c r="J678" s="12">
        <v>127.22805</v>
      </c>
      <c r="K678" s="12">
        <v>505.15868</v>
      </c>
      <c r="L678" s="12" t="s">
        <v>1</v>
      </c>
      <c r="M678" s="12" t="s">
        <v>0</v>
      </c>
      <c r="N678" s="12">
        <v>15.2455909900576</v>
      </c>
      <c r="O678" s="12">
        <v>15</v>
      </c>
      <c r="P678" s="12">
        <v>1603.06</v>
      </c>
      <c r="Q678" s="12" t="s">
        <v>1</v>
      </c>
    </row>
    <row r="679" spans="1:17" x14ac:dyDescent="0.25">
      <c r="A679" s="12">
        <f t="shared" si="10"/>
        <v>678</v>
      </c>
      <c r="B679" s="12">
        <v>0.87941199999999997</v>
      </c>
      <c r="C679" s="12">
        <v>0.69613199999999997</v>
      </c>
      <c r="D679" s="12">
        <v>1.0321100000000001</v>
      </c>
      <c r="E679" s="12">
        <v>1908.92390690241</v>
      </c>
      <c r="F679" s="12">
        <v>36</v>
      </c>
      <c r="G679" s="12">
        <v>0.43737385700881898</v>
      </c>
      <c r="H679" s="12" t="s">
        <v>0</v>
      </c>
      <c r="I679" s="12">
        <v>1.0035289999999999</v>
      </c>
      <c r="J679" s="12">
        <v>448.06599999999997</v>
      </c>
      <c r="K679" s="12">
        <v>618.94489999999996</v>
      </c>
      <c r="L679" s="12" t="s">
        <v>1</v>
      </c>
      <c r="M679" s="12" t="s">
        <v>0</v>
      </c>
      <c r="N679" s="12">
        <v>53.691233753493499</v>
      </c>
      <c r="O679" s="12">
        <v>14</v>
      </c>
      <c r="P679" s="12">
        <v>7058.61</v>
      </c>
      <c r="Q679" s="12" t="s">
        <v>1</v>
      </c>
    </row>
    <row r="680" spans="1:17" x14ac:dyDescent="0.25">
      <c r="A680" s="12">
        <f t="shared" si="10"/>
        <v>679</v>
      </c>
      <c r="B680" s="12">
        <v>0.25520300000000001</v>
      </c>
      <c r="C680" s="12">
        <v>-5.8488499999999999E-2</v>
      </c>
      <c r="D680" s="12">
        <v>0.42533500000000002</v>
      </c>
      <c r="E680" s="12">
        <v>2.31471822983131</v>
      </c>
      <c r="F680" s="12">
        <v>169</v>
      </c>
      <c r="G680" s="12">
        <v>241.27281231675701</v>
      </c>
      <c r="H680" s="12" t="s">
        <v>0</v>
      </c>
      <c r="I680" s="12">
        <v>0.504162</v>
      </c>
      <c r="J680" s="12">
        <v>70.755750000000006</v>
      </c>
      <c r="K680" s="12">
        <v>260.94765000000001</v>
      </c>
      <c r="L680" s="12" t="s">
        <v>1</v>
      </c>
      <c r="M680" s="12" t="s">
        <v>0</v>
      </c>
      <c r="N680" s="12">
        <v>8.4785801927701492</v>
      </c>
      <c r="O680" s="12">
        <v>21</v>
      </c>
      <c r="P680" s="12">
        <v>1630.47</v>
      </c>
      <c r="Q680" s="12" t="s">
        <v>1</v>
      </c>
    </row>
    <row r="681" spans="1:17" x14ac:dyDescent="0.25">
      <c r="A681" s="12">
        <f t="shared" si="10"/>
        <v>680</v>
      </c>
      <c r="B681" s="12">
        <v>0.854383</v>
      </c>
      <c r="C681" s="12">
        <v>0.30686999999999998</v>
      </c>
      <c r="D681" s="12">
        <v>0.51942699999999997</v>
      </c>
      <c r="E681" s="12">
        <v>414.889021321911</v>
      </c>
      <c r="F681" s="12">
        <v>42.25</v>
      </c>
      <c r="G681" s="12">
        <v>0.48030596059298097</v>
      </c>
      <c r="H681" s="12" t="s">
        <v>0</v>
      </c>
      <c r="I681" s="12">
        <v>0.98350599999999999</v>
      </c>
      <c r="J681" s="12">
        <v>253.435</v>
      </c>
      <c r="K681" s="12">
        <v>316.46193</v>
      </c>
      <c r="L681" s="12" t="s">
        <v>1</v>
      </c>
      <c r="M681" s="12" t="s">
        <v>0</v>
      </c>
      <c r="N681" s="12">
        <v>30.368824740811899</v>
      </c>
      <c r="O681" s="12">
        <v>14.5</v>
      </c>
      <c r="P681" s="12">
        <v>7552.96</v>
      </c>
      <c r="Q681" s="12" t="s">
        <v>1</v>
      </c>
    </row>
    <row r="682" spans="1:17" x14ac:dyDescent="0.25">
      <c r="A682" s="12">
        <f t="shared" si="10"/>
        <v>681</v>
      </c>
      <c r="B682" s="12">
        <v>0.13320199999999999</v>
      </c>
      <c r="C682" s="12">
        <v>-3.9758399999999999E-2</v>
      </c>
      <c r="D682" s="12">
        <v>0.16022</v>
      </c>
      <c r="E682" s="12">
        <v>0.15937391792785799</v>
      </c>
      <c r="F682" s="12">
        <v>132.25</v>
      </c>
      <c r="G682" s="12">
        <v>98.862976589228694</v>
      </c>
      <c r="H682" s="12" t="s">
        <v>0</v>
      </c>
      <c r="I682" s="12">
        <v>0.40656100000000001</v>
      </c>
      <c r="J682" s="12">
        <v>80.120800000000003</v>
      </c>
      <c r="K682" s="12">
        <v>104.52979999999999</v>
      </c>
      <c r="L682" s="12" t="s">
        <v>1</v>
      </c>
      <c r="M682" s="12" t="s">
        <v>0</v>
      </c>
      <c r="N682" s="12">
        <v>9.6007833696752307</v>
      </c>
      <c r="O682" s="12">
        <v>19.5</v>
      </c>
      <c r="P682" s="12">
        <v>3670.81</v>
      </c>
      <c r="Q682" s="12" t="s">
        <v>1</v>
      </c>
    </row>
    <row r="683" spans="1:17" x14ac:dyDescent="0.25">
      <c r="A683" s="12">
        <f t="shared" si="10"/>
        <v>682</v>
      </c>
      <c r="B683" s="12">
        <v>0.80974699999999999</v>
      </c>
      <c r="C683" s="12">
        <v>0.196353</v>
      </c>
      <c r="D683" s="12">
        <v>0.45133000000000001</v>
      </c>
      <c r="E683" s="12">
        <v>188.98721805961199</v>
      </c>
      <c r="F683" s="12">
        <v>42.25</v>
      </c>
      <c r="G683" s="12">
        <v>1.10359342165509</v>
      </c>
      <c r="H683" s="12" t="s">
        <v>0</v>
      </c>
      <c r="I683" s="12">
        <v>0.947797</v>
      </c>
      <c r="J683" s="12">
        <v>198.1765</v>
      </c>
      <c r="K683" s="12">
        <v>276.28469999999999</v>
      </c>
      <c r="L683" s="12" t="s">
        <v>1</v>
      </c>
      <c r="M683" s="12" t="s">
        <v>0</v>
      </c>
      <c r="N683" s="12">
        <v>23.747262202329999</v>
      </c>
      <c r="O683" s="12">
        <v>14.5</v>
      </c>
      <c r="P683" s="12">
        <v>6916.56</v>
      </c>
      <c r="Q683" s="12" t="s">
        <v>1</v>
      </c>
    </row>
    <row r="684" spans="1:17" x14ac:dyDescent="0.25">
      <c r="A684" s="12">
        <f t="shared" si="10"/>
        <v>683</v>
      </c>
      <c r="B684" s="12">
        <v>1.09751</v>
      </c>
      <c r="C684" s="12">
        <v>4.8956800000000002E-2</v>
      </c>
      <c r="D684" s="12">
        <v>0.83893499999999999</v>
      </c>
      <c r="E684" s="12">
        <v>24.168074518668899</v>
      </c>
      <c r="F684" s="12">
        <v>56.25</v>
      </c>
      <c r="G684" s="12">
        <v>268.70754420041197</v>
      </c>
      <c r="H684" s="12" t="s">
        <v>0</v>
      </c>
      <c r="I684" s="12">
        <v>1.1779999999999999</v>
      </c>
      <c r="J684" s="12">
        <v>124.47839999999999</v>
      </c>
      <c r="K684" s="12">
        <v>504.97165000000001</v>
      </c>
      <c r="L684" s="12" t="s">
        <v>1</v>
      </c>
      <c r="M684" s="12" t="s">
        <v>0</v>
      </c>
      <c r="N684" s="12">
        <v>14.9161035911246</v>
      </c>
      <c r="O684" s="12">
        <v>15.5</v>
      </c>
      <c r="P684" s="12">
        <v>1316.81</v>
      </c>
      <c r="Q684" s="12" t="s">
        <v>1</v>
      </c>
    </row>
    <row r="685" spans="1:17" x14ac:dyDescent="0.25">
      <c r="A685" s="12">
        <f t="shared" si="10"/>
        <v>684</v>
      </c>
      <c r="B685" s="12">
        <v>1.0236000000000001</v>
      </c>
      <c r="C685" s="12">
        <v>3.9057699999999998E-3</v>
      </c>
      <c r="D685" s="12">
        <v>0.67142800000000002</v>
      </c>
      <c r="E685" s="12">
        <v>4.9146323994096601</v>
      </c>
      <c r="F685" s="12">
        <v>64</v>
      </c>
      <c r="G685" s="12">
        <v>262.82183741790197</v>
      </c>
      <c r="H685" s="12" t="s">
        <v>0</v>
      </c>
      <c r="I685" s="12">
        <v>1.1188</v>
      </c>
      <c r="J685" s="12">
        <v>101.95288499999999</v>
      </c>
      <c r="K685" s="12">
        <v>406.14251999999999</v>
      </c>
      <c r="L685" s="12" t="s">
        <v>1</v>
      </c>
      <c r="M685" s="12" t="s">
        <v>0</v>
      </c>
      <c r="N685" s="12">
        <v>12.2168970204792</v>
      </c>
      <c r="O685" s="12">
        <v>16</v>
      </c>
      <c r="P685" s="12">
        <v>1382.7</v>
      </c>
      <c r="Q685" s="12" t="s">
        <v>1</v>
      </c>
    </row>
    <row r="686" spans="1:17" x14ac:dyDescent="0.25">
      <c r="A686" s="12">
        <f t="shared" si="10"/>
        <v>685</v>
      </c>
      <c r="B686" s="12">
        <v>0.94421500000000003</v>
      </c>
      <c r="C686" s="12">
        <v>8.1825899999999993E-2</v>
      </c>
      <c r="D686" s="12">
        <v>0.67437199999999997</v>
      </c>
      <c r="E686" s="12">
        <v>47.409240299153801</v>
      </c>
      <c r="F686" s="12">
        <v>56.25</v>
      </c>
      <c r="G686" s="12">
        <v>191.67605946631599</v>
      </c>
      <c r="H686" s="12" t="s">
        <v>0</v>
      </c>
      <c r="I686" s="12">
        <v>1.055372</v>
      </c>
      <c r="J686" s="12">
        <v>140.91295</v>
      </c>
      <c r="K686" s="12">
        <v>407.87948</v>
      </c>
      <c r="L686" s="12" t="s">
        <v>1</v>
      </c>
      <c r="M686" s="12" t="s">
        <v>0</v>
      </c>
      <c r="N686" s="12">
        <v>16.885436827039602</v>
      </c>
      <c r="O686" s="12">
        <v>15.5</v>
      </c>
      <c r="P686" s="12">
        <v>2246.6799999999998</v>
      </c>
      <c r="Q686" s="12" t="s">
        <v>1</v>
      </c>
    </row>
    <row r="687" spans="1:17" x14ac:dyDescent="0.25">
      <c r="A687" s="12">
        <f t="shared" si="10"/>
        <v>686</v>
      </c>
      <c r="B687" s="12">
        <v>0.91920599999999997</v>
      </c>
      <c r="C687" s="12">
        <v>0.27345000000000003</v>
      </c>
      <c r="D687" s="12">
        <v>0.600221</v>
      </c>
      <c r="E687" s="12">
        <v>337.327758325628</v>
      </c>
      <c r="F687" s="12">
        <v>42.25</v>
      </c>
      <c r="G687" s="12">
        <v>43.681597069619002</v>
      </c>
      <c r="H687" s="12" t="s">
        <v>0</v>
      </c>
      <c r="I687" s="12">
        <v>1.035364</v>
      </c>
      <c r="J687" s="12">
        <v>236.72499999999999</v>
      </c>
      <c r="K687" s="12">
        <v>364.13038999999998</v>
      </c>
      <c r="L687" s="12" t="s">
        <v>1</v>
      </c>
      <c r="M687" s="12" t="s">
        <v>0</v>
      </c>
      <c r="N687" s="12">
        <v>28.366484648011099</v>
      </c>
      <c r="O687" s="12">
        <v>14.5</v>
      </c>
      <c r="P687" s="12">
        <v>4887.6400000000003</v>
      </c>
      <c r="Q687" s="12" t="s">
        <v>1</v>
      </c>
    </row>
    <row r="688" spans="1:17" x14ac:dyDescent="0.25">
      <c r="A688" s="12">
        <f t="shared" si="10"/>
        <v>687</v>
      </c>
      <c r="B688" s="12">
        <v>0.29283399999999998</v>
      </c>
      <c r="C688" s="12">
        <v>-9.8668100000000002E-3</v>
      </c>
      <c r="D688" s="12">
        <v>0.43083100000000002</v>
      </c>
      <c r="E688" s="12">
        <v>1.93688679957035</v>
      </c>
      <c r="F688" s="12">
        <v>144</v>
      </c>
      <c r="G688" s="12">
        <v>176.16998350234499</v>
      </c>
      <c r="H688" s="12" t="s">
        <v>0</v>
      </c>
      <c r="I688" s="12">
        <v>0.53426700000000005</v>
      </c>
      <c r="J688" s="12">
        <v>95.066595000000007</v>
      </c>
      <c r="K688" s="12">
        <v>264.19029</v>
      </c>
      <c r="L688" s="12" t="s">
        <v>1</v>
      </c>
      <c r="M688" s="12" t="s">
        <v>0</v>
      </c>
      <c r="N688" s="12">
        <v>11.3917208051798</v>
      </c>
      <c r="O688" s="12">
        <v>20</v>
      </c>
      <c r="P688" s="12">
        <v>2455.39</v>
      </c>
      <c r="Q688" s="12" t="s">
        <v>1</v>
      </c>
    </row>
    <row r="689" spans="1:17" x14ac:dyDescent="0.25">
      <c r="A689" s="12">
        <f t="shared" si="10"/>
        <v>688</v>
      </c>
      <c r="B689" s="12">
        <v>0.87267399999999995</v>
      </c>
      <c r="C689" s="12">
        <v>-4.03083E-3</v>
      </c>
      <c r="D689" s="12">
        <v>0.70748699999999998</v>
      </c>
      <c r="E689" s="12">
        <v>3.03240497593004</v>
      </c>
      <c r="F689" s="12">
        <v>81</v>
      </c>
      <c r="G689" s="12">
        <v>266.11977914130199</v>
      </c>
      <c r="H689" s="12" t="s">
        <v>0</v>
      </c>
      <c r="I689" s="12">
        <v>0.998139</v>
      </c>
      <c r="J689" s="12">
        <v>97.984584999999996</v>
      </c>
      <c r="K689" s="12">
        <v>427.41732999999999</v>
      </c>
      <c r="L689" s="12" t="s">
        <v>1</v>
      </c>
      <c r="M689" s="12" t="s">
        <v>0</v>
      </c>
      <c r="N689" s="12">
        <v>11.7413801928154</v>
      </c>
      <c r="O689" s="12">
        <v>17</v>
      </c>
      <c r="P689" s="12">
        <v>1345.69</v>
      </c>
      <c r="Q689" s="12" t="s">
        <v>1</v>
      </c>
    </row>
    <row r="690" spans="1:17" x14ac:dyDescent="0.25">
      <c r="A690" s="12">
        <f t="shared" si="10"/>
        <v>689</v>
      </c>
      <c r="B690" s="12">
        <v>0.93423500000000004</v>
      </c>
      <c r="C690" s="12">
        <v>0.25782100000000002</v>
      </c>
      <c r="D690" s="12">
        <v>0.54573099999999997</v>
      </c>
      <c r="E690" s="12">
        <v>303.80776185017203</v>
      </c>
      <c r="F690" s="12">
        <v>42.25</v>
      </c>
      <c r="G690" s="12">
        <v>35.494825869018499</v>
      </c>
      <c r="H690" s="12" t="s">
        <v>0</v>
      </c>
      <c r="I690" s="12">
        <v>1.047388</v>
      </c>
      <c r="J690" s="12">
        <v>228.91050000000001</v>
      </c>
      <c r="K690" s="12">
        <v>331.98129</v>
      </c>
      <c r="L690" s="12" t="s">
        <v>1</v>
      </c>
      <c r="M690" s="12" t="s">
        <v>0</v>
      </c>
      <c r="N690" s="12">
        <v>27.430082095336498</v>
      </c>
      <c r="O690" s="12">
        <v>14.5</v>
      </c>
      <c r="P690" s="12">
        <v>5125.42</v>
      </c>
      <c r="Q690" s="12" t="s">
        <v>1</v>
      </c>
    </row>
    <row r="691" spans="1:17" x14ac:dyDescent="0.25">
      <c r="A691" s="12">
        <f t="shared" si="10"/>
        <v>690</v>
      </c>
      <c r="B691" s="12">
        <v>1.0214399999999999</v>
      </c>
      <c r="C691" s="12">
        <v>0.34372599999999998</v>
      </c>
      <c r="D691" s="12">
        <v>0.56267800000000001</v>
      </c>
      <c r="E691" s="12">
        <v>509.72231969307597</v>
      </c>
      <c r="F691" s="12">
        <v>36</v>
      </c>
      <c r="G691" s="12">
        <v>19.126603596171801</v>
      </c>
      <c r="H691" s="12" t="s">
        <v>0</v>
      </c>
      <c r="I691" s="12">
        <v>1.1171500000000001</v>
      </c>
      <c r="J691" s="12">
        <v>271.863</v>
      </c>
      <c r="K691" s="12">
        <v>341.98002000000002</v>
      </c>
      <c r="L691" s="12" t="s">
        <v>1</v>
      </c>
      <c r="M691" s="12" t="s">
        <v>0</v>
      </c>
      <c r="N691" s="12">
        <v>32.577030798868897</v>
      </c>
      <c r="O691" s="12">
        <v>14</v>
      </c>
      <c r="P691" s="12">
        <v>5703.71</v>
      </c>
      <c r="Q691" s="12" t="s">
        <v>1</v>
      </c>
    </row>
    <row r="692" spans="1:17" x14ac:dyDescent="0.25">
      <c r="A692" s="12">
        <f t="shared" si="10"/>
        <v>691</v>
      </c>
      <c r="B692" s="12">
        <v>0.73435099999999998</v>
      </c>
      <c r="C692" s="12">
        <v>0.14380999999999999</v>
      </c>
      <c r="D692" s="12">
        <v>0.41298699999999999</v>
      </c>
      <c r="E692" s="12">
        <v>112.34258603933699</v>
      </c>
      <c r="F692" s="12">
        <v>64</v>
      </c>
      <c r="G692" s="12">
        <v>33.853268455620103</v>
      </c>
      <c r="H692" s="12" t="s">
        <v>0</v>
      </c>
      <c r="I692" s="12">
        <v>0.88748000000000005</v>
      </c>
      <c r="J692" s="12">
        <v>171.905</v>
      </c>
      <c r="K692" s="12">
        <v>253.66233</v>
      </c>
      <c r="L692" s="12" t="s">
        <v>1</v>
      </c>
      <c r="M692" s="12" t="s">
        <v>0</v>
      </c>
      <c r="N692" s="12">
        <v>20.599178554932301</v>
      </c>
      <c r="O692" s="12">
        <v>16</v>
      </c>
      <c r="P692" s="12">
        <v>5176.3</v>
      </c>
      <c r="Q692" s="12" t="s">
        <v>1</v>
      </c>
    </row>
    <row r="693" spans="1:17" x14ac:dyDescent="0.25">
      <c r="A693" s="12">
        <f t="shared" si="10"/>
        <v>692</v>
      </c>
      <c r="B693" s="12">
        <v>1.03434</v>
      </c>
      <c r="C693" s="12">
        <v>8.8683100000000001E-2</v>
      </c>
      <c r="D693" s="12">
        <v>0.60510699999999995</v>
      </c>
      <c r="E693" s="12">
        <v>53.235731374592</v>
      </c>
      <c r="F693" s="12">
        <v>49</v>
      </c>
      <c r="G693" s="12">
        <v>171.74353829686601</v>
      </c>
      <c r="H693" s="12" t="s">
        <v>0</v>
      </c>
      <c r="I693" s="12">
        <v>1.12747</v>
      </c>
      <c r="J693" s="12">
        <v>144.34155000000001</v>
      </c>
      <c r="K693" s="12">
        <v>367.01312999999999</v>
      </c>
      <c r="L693" s="12" t="s">
        <v>1</v>
      </c>
      <c r="M693" s="12" t="s">
        <v>0</v>
      </c>
      <c r="N693" s="12">
        <v>17.296282024058002</v>
      </c>
      <c r="O693" s="12">
        <v>15</v>
      </c>
      <c r="P693" s="12">
        <v>2516.64</v>
      </c>
      <c r="Q693" s="12" t="s">
        <v>1</v>
      </c>
    </row>
    <row r="694" spans="1:17" x14ac:dyDescent="0.25">
      <c r="A694" s="12">
        <f t="shared" si="10"/>
        <v>693</v>
      </c>
      <c r="B694" s="12">
        <v>1.0167299999999999</v>
      </c>
      <c r="C694" s="12">
        <v>0.320409</v>
      </c>
      <c r="D694" s="12">
        <v>0.58523099999999995</v>
      </c>
      <c r="E694" s="12">
        <v>448.59266028761601</v>
      </c>
      <c r="F694" s="12">
        <v>36</v>
      </c>
      <c r="G694" s="12">
        <v>29.780194576843598</v>
      </c>
      <c r="H694" s="12" t="s">
        <v>0</v>
      </c>
      <c r="I694" s="12">
        <v>1.11338</v>
      </c>
      <c r="J694" s="12">
        <v>260.2045</v>
      </c>
      <c r="K694" s="12">
        <v>355.28629000000001</v>
      </c>
      <c r="L694" s="12" t="s">
        <v>1</v>
      </c>
      <c r="M694" s="12" t="s">
        <v>0</v>
      </c>
      <c r="N694" s="12">
        <v>31.180006144654801</v>
      </c>
      <c r="O694" s="12">
        <v>14</v>
      </c>
      <c r="P694" s="12">
        <v>5308.15</v>
      </c>
      <c r="Q694" s="12" t="s">
        <v>1</v>
      </c>
    </row>
    <row r="695" spans="1:17" x14ac:dyDescent="0.25">
      <c r="A695" s="12">
        <f t="shared" si="10"/>
        <v>694</v>
      </c>
      <c r="B695" s="12">
        <v>1.03352</v>
      </c>
      <c r="C695" s="12">
        <v>0.217555</v>
      </c>
      <c r="D695" s="12">
        <v>0.99392999999999998</v>
      </c>
      <c r="E695" s="12">
        <v>225.52734404166699</v>
      </c>
      <c r="F695" s="12">
        <v>36</v>
      </c>
      <c r="G695" s="12">
        <v>154.24891406342601</v>
      </c>
      <c r="H695" s="12" t="s">
        <v>0</v>
      </c>
      <c r="I695" s="12">
        <v>1.1268100000000001</v>
      </c>
      <c r="J695" s="12">
        <v>208.7775</v>
      </c>
      <c r="K695" s="12">
        <v>596.41869999999994</v>
      </c>
      <c r="L695" s="12" t="s">
        <v>1</v>
      </c>
      <c r="M695" s="12" t="s">
        <v>0</v>
      </c>
      <c r="N695" s="12">
        <v>25.0175678470805</v>
      </c>
      <c r="O695" s="12">
        <v>14</v>
      </c>
      <c r="P695" s="12">
        <v>2766.81</v>
      </c>
      <c r="Q695" s="12" t="s">
        <v>1</v>
      </c>
    </row>
    <row r="696" spans="1:17" x14ac:dyDescent="0.25">
      <c r="A696" s="12">
        <f t="shared" si="10"/>
        <v>695</v>
      </c>
      <c r="B696" s="12">
        <v>0.174428</v>
      </c>
      <c r="C696" s="12">
        <v>1.9637100000000001E-2</v>
      </c>
      <c r="D696" s="12">
        <v>0.14161099999999999</v>
      </c>
      <c r="E696" s="12">
        <v>9.9820018191664293</v>
      </c>
      <c r="F696" s="12">
        <v>132.25</v>
      </c>
      <c r="G696" s="12">
        <v>19.020113234002601</v>
      </c>
      <c r="H696" s="12" t="s">
        <v>0</v>
      </c>
      <c r="I696" s="12">
        <v>0.43954199999999999</v>
      </c>
      <c r="J696" s="12">
        <v>109.81855</v>
      </c>
      <c r="K696" s="12">
        <v>93.550489999999996</v>
      </c>
      <c r="L696" s="12" t="s">
        <v>1</v>
      </c>
      <c r="M696" s="12" t="s">
        <v>0</v>
      </c>
      <c r="N696" s="12">
        <v>13.1594306162925</v>
      </c>
      <c r="O696" s="12">
        <v>19.5</v>
      </c>
      <c r="P696" s="12">
        <v>5708.16</v>
      </c>
      <c r="Q696" s="12" t="s">
        <v>1</v>
      </c>
    </row>
    <row r="697" spans="1:17" x14ac:dyDescent="0.25">
      <c r="A697" s="12">
        <f t="shared" si="10"/>
        <v>696</v>
      </c>
      <c r="B697" s="12">
        <v>0.55617000000000005</v>
      </c>
      <c r="C697" s="12">
        <v>6.4415700000000006E-2</v>
      </c>
      <c r="D697" s="12">
        <v>0.207145</v>
      </c>
      <c r="E697" s="12">
        <v>34.132641054529998</v>
      </c>
      <c r="F697" s="12">
        <v>90.25</v>
      </c>
      <c r="G697" s="12">
        <v>2.1404090823794301E-2</v>
      </c>
      <c r="H697" s="12" t="s">
        <v>0</v>
      </c>
      <c r="I697" s="12">
        <v>0.74492999999999998</v>
      </c>
      <c r="J697" s="12">
        <v>132.20785000000001</v>
      </c>
      <c r="K697" s="12">
        <v>132.21555000000001</v>
      </c>
      <c r="L697" s="12" t="s">
        <v>1</v>
      </c>
      <c r="M697" s="12" t="s">
        <v>0</v>
      </c>
      <c r="N697" s="12">
        <v>15.842314700059299</v>
      </c>
      <c r="O697" s="12">
        <v>17.5</v>
      </c>
      <c r="P697" s="12">
        <v>7246.6</v>
      </c>
      <c r="Q697" s="12" t="s">
        <v>1</v>
      </c>
    </row>
    <row r="698" spans="1:17" x14ac:dyDescent="0.25">
      <c r="A698" s="12">
        <f t="shared" si="10"/>
        <v>697</v>
      </c>
      <c r="B698" s="12">
        <v>0.166459</v>
      </c>
      <c r="C698" s="12">
        <v>-2.5226700000000001E-2</v>
      </c>
      <c r="D698" s="12">
        <v>0.205125</v>
      </c>
      <c r="E698" s="12">
        <v>0.22225739293737601</v>
      </c>
      <c r="F698" s="12">
        <v>144</v>
      </c>
      <c r="G698" s="12">
        <v>110.74073665152901</v>
      </c>
      <c r="H698" s="12" t="s">
        <v>0</v>
      </c>
      <c r="I698" s="12">
        <v>0.43316700000000002</v>
      </c>
      <c r="J698" s="12">
        <v>87.386650000000003</v>
      </c>
      <c r="K698" s="12">
        <v>131.02375000000001</v>
      </c>
      <c r="L698" s="12" t="s">
        <v>1</v>
      </c>
      <c r="M698" s="12" t="s">
        <v>0</v>
      </c>
      <c r="N698" s="12">
        <v>10.471441823491899</v>
      </c>
      <c r="O698" s="12">
        <v>20</v>
      </c>
      <c r="P698" s="12">
        <v>3458.98</v>
      </c>
      <c r="Q698" s="12" t="s">
        <v>1</v>
      </c>
    </row>
    <row r="699" spans="1:17" x14ac:dyDescent="0.25">
      <c r="A699" s="12">
        <f t="shared" si="10"/>
        <v>698</v>
      </c>
      <c r="B699" s="12">
        <v>0.94835899999999995</v>
      </c>
      <c r="C699" s="12">
        <v>0.30813200000000002</v>
      </c>
      <c r="D699" s="12">
        <v>0.60924400000000001</v>
      </c>
      <c r="E699" s="12">
        <v>417.97499384128702</v>
      </c>
      <c r="F699" s="12">
        <v>42.25</v>
      </c>
      <c r="G699" s="12">
        <v>35.924094847813798</v>
      </c>
      <c r="H699" s="12" t="s">
        <v>0</v>
      </c>
      <c r="I699" s="12">
        <v>1.0586869999999999</v>
      </c>
      <c r="J699" s="12">
        <v>254.066</v>
      </c>
      <c r="K699" s="12">
        <v>369.45396</v>
      </c>
      <c r="L699" s="12" t="s">
        <v>1</v>
      </c>
      <c r="M699" s="12" t="s">
        <v>0</v>
      </c>
      <c r="N699" s="12">
        <v>30.444436745513102</v>
      </c>
      <c r="O699" s="12">
        <v>14.5</v>
      </c>
      <c r="P699" s="12">
        <v>5112.3100000000004</v>
      </c>
      <c r="Q699" s="12" t="s">
        <v>1</v>
      </c>
    </row>
    <row r="700" spans="1:17" x14ac:dyDescent="0.25">
      <c r="A700" s="12">
        <f t="shared" si="10"/>
        <v>699</v>
      </c>
      <c r="B700" s="12">
        <v>0.51890199999999997</v>
      </c>
      <c r="C700" s="12">
        <v>6.7089899999999994E-2</v>
      </c>
      <c r="D700" s="12">
        <v>0.21753400000000001</v>
      </c>
      <c r="E700" s="12">
        <v>36.030460714377199</v>
      </c>
      <c r="F700" s="12">
        <v>100</v>
      </c>
      <c r="G700" s="12">
        <v>1.6487263569149899</v>
      </c>
      <c r="H700" s="12" t="s">
        <v>0</v>
      </c>
      <c r="I700" s="12">
        <v>0.71512100000000001</v>
      </c>
      <c r="J700" s="12">
        <v>133.54495</v>
      </c>
      <c r="K700" s="12">
        <v>138.34505999999999</v>
      </c>
      <c r="L700" s="12" t="s">
        <v>1</v>
      </c>
      <c r="M700" s="12" t="s">
        <v>0</v>
      </c>
      <c r="N700" s="12">
        <v>16.002537856138598</v>
      </c>
      <c r="O700" s="12">
        <v>18</v>
      </c>
      <c r="P700" s="12">
        <v>6831.33</v>
      </c>
      <c r="Q700" s="12" t="s">
        <v>1</v>
      </c>
    </row>
    <row r="701" spans="1:17" x14ac:dyDescent="0.25">
      <c r="A701" s="12">
        <f t="shared" si="10"/>
        <v>700</v>
      </c>
      <c r="B701" s="12">
        <v>0.439888</v>
      </c>
      <c r="C701" s="12">
        <v>5.7790300000000003E-2</v>
      </c>
      <c r="D701" s="12">
        <v>0.151945</v>
      </c>
      <c r="E701" s="12">
        <v>29.651920119601201</v>
      </c>
      <c r="F701" s="12">
        <v>100</v>
      </c>
      <c r="G701" s="12">
        <v>27.622944060799298</v>
      </c>
      <c r="H701" s="12" t="s">
        <v>0</v>
      </c>
      <c r="I701" s="12">
        <v>0.65190999999999999</v>
      </c>
      <c r="J701" s="12">
        <v>128.89515</v>
      </c>
      <c r="K701" s="12">
        <v>99.647549999999995</v>
      </c>
      <c r="L701" s="12" t="s">
        <v>1</v>
      </c>
      <c r="M701" s="12" t="s">
        <v>0</v>
      </c>
      <c r="N701" s="12">
        <v>15.445357666820501</v>
      </c>
      <c r="O701" s="12">
        <v>18</v>
      </c>
      <c r="P701" s="12">
        <v>9218.35</v>
      </c>
      <c r="Q701" s="12" t="s">
        <v>1</v>
      </c>
    </row>
    <row r="702" spans="1:17" x14ac:dyDescent="0.25">
      <c r="A702" s="12">
        <f t="shared" si="10"/>
        <v>701</v>
      </c>
      <c r="B702" s="12">
        <v>1.01031</v>
      </c>
      <c r="C702" s="12">
        <v>5.0360299999999997E-2</v>
      </c>
      <c r="D702" s="12">
        <v>0.74844999999999995</v>
      </c>
      <c r="E702" s="12">
        <v>25.0019349074649</v>
      </c>
      <c r="F702" s="12">
        <v>49</v>
      </c>
      <c r="G702" s="12">
        <v>230.262747949709</v>
      </c>
      <c r="H702" s="12" t="s">
        <v>0</v>
      </c>
      <c r="I702" s="12">
        <v>1.1082399999999999</v>
      </c>
      <c r="J702" s="12">
        <v>125.18015</v>
      </c>
      <c r="K702" s="12">
        <v>451.58550000000002</v>
      </c>
      <c r="L702" s="12" t="s">
        <v>1</v>
      </c>
      <c r="M702" s="12" t="s">
        <v>0</v>
      </c>
      <c r="N702" s="12">
        <v>15.000193487002701</v>
      </c>
      <c r="O702" s="12">
        <v>15</v>
      </c>
      <c r="P702" s="12">
        <v>1761.34</v>
      </c>
      <c r="Q702" s="12" t="s">
        <v>1</v>
      </c>
    </row>
    <row r="703" spans="1:17" x14ac:dyDescent="0.25">
      <c r="A703" s="12">
        <f t="shared" si="10"/>
        <v>702</v>
      </c>
      <c r="B703" s="12">
        <v>1.1285700000000001</v>
      </c>
      <c r="C703" s="12">
        <v>-1.9632199999999999E-2</v>
      </c>
      <c r="D703" s="12">
        <v>0.63214899999999996</v>
      </c>
      <c r="E703" s="12">
        <v>0.65065691883156596</v>
      </c>
      <c r="F703" s="12">
        <v>72.25</v>
      </c>
      <c r="G703" s="12">
        <v>285.18881292925499</v>
      </c>
      <c r="H703" s="12" t="s">
        <v>0</v>
      </c>
      <c r="I703" s="12">
        <v>1.20285</v>
      </c>
      <c r="J703" s="12">
        <v>90.183899999999994</v>
      </c>
      <c r="K703" s="12">
        <v>382.96791000000002</v>
      </c>
      <c r="L703" s="12" t="s">
        <v>1</v>
      </c>
      <c r="M703" s="12" t="s">
        <v>0</v>
      </c>
      <c r="N703" s="12">
        <v>10.8066330757113</v>
      </c>
      <c r="O703" s="12">
        <v>16.5</v>
      </c>
      <c r="P703" s="12">
        <v>1136.05</v>
      </c>
      <c r="Q703" s="12" t="s">
        <v>1</v>
      </c>
    </row>
    <row r="704" spans="1:17" x14ac:dyDescent="0.25">
      <c r="A704" s="12">
        <f t="shared" si="10"/>
        <v>703</v>
      </c>
      <c r="B704" s="12">
        <v>1.04542</v>
      </c>
      <c r="C704" s="12">
        <v>3.0425399999999998E-2</v>
      </c>
      <c r="D704" s="12">
        <v>0.71115600000000001</v>
      </c>
      <c r="E704" s="12">
        <v>14.484154822761401</v>
      </c>
      <c r="F704" s="12">
        <v>64</v>
      </c>
      <c r="G704" s="12">
        <v>256.36133289097302</v>
      </c>
      <c r="H704" s="12" t="s">
        <v>0</v>
      </c>
      <c r="I704" s="12">
        <v>1.1363300000000001</v>
      </c>
      <c r="J704" s="12">
        <v>115.2127</v>
      </c>
      <c r="K704" s="12">
        <v>429.58204000000001</v>
      </c>
      <c r="L704" s="12" t="s">
        <v>1</v>
      </c>
      <c r="M704" s="12" t="s">
        <v>0</v>
      </c>
      <c r="N704" s="12">
        <v>13.8058054105223</v>
      </c>
      <c r="O704" s="12">
        <v>16</v>
      </c>
      <c r="P704" s="12">
        <v>1455.88</v>
      </c>
      <c r="Q704" s="12" t="s">
        <v>1</v>
      </c>
    </row>
    <row r="705" spans="1:17" x14ac:dyDescent="0.25">
      <c r="A705" s="12">
        <f t="shared" si="10"/>
        <v>704</v>
      </c>
      <c r="B705" s="12">
        <v>0.13652700000000001</v>
      </c>
      <c r="C705" s="12">
        <v>-2.9571900000000002E-3</v>
      </c>
      <c r="D705" s="12">
        <v>0.23477999999999999</v>
      </c>
      <c r="E705" s="12">
        <v>3.2605767455482901</v>
      </c>
      <c r="F705" s="12">
        <v>132.25</v>
      </c>
      <c r="G705" s="12">
        <v>121.32026643723</v>
      </c>
      <c r="H705" s="12" t="s">
        <v>0</v>
      </c>
      <c r="I705" s="12">
        <v>0.409221</v>
      </c>
      <c r="J705" s="12">
        <v>98.521405000000001</v>
      </c>
      <c r="K705" s="12">
        <v>148.52019999999999</v>
      </c>
      <c r="L705" s="12" t="s">
        <v>1</v>
      </c>
      <c r="M705" s="12" t="s">
        <v>0</v>
      </c>
      <c r="N705" s="12">
        <v>11.8057067163712</v>
      </c>
      <c r="O705" s="12">
        <v>19.5</v>
      </c>
      <c r="P705" s="12">
        <v>3279.69</v>
      </c>
      <c r="Q705" s="12" t="s">
        <v>1</v>
      </c>
    </row>
    <row r="706" spans="1:17" x14ac:dyDescent="0.25">
      <c r="A706" s="12">
        <f t="shared" si="10"/>
        <v>705</v>
      </c>
      <c r="B706" s="12">
        <v>1.10314</v>
      </c>
      <c r="C706" s="12">
        <v>-9.4074399999999996E-3</v>
      </c>
      <c r="D706" s="12">
        <v>0.65935200000000005</v>
      </c>
      <c r="E706" s="12">
        <v>2.0142526650022101</v>
      </c>
      <c r="F706" s="12">
        <v>72.25</v>
      </c>
      <c r="G706" s="12">
        <v>284.54606117470399</v>
      </c>
      <c r="H706" s="12" t="s">
        <v>0</v>
      </c>
      <c r="I706" s="12">
        <v>1.18251</v>
      </c>
      <c r="J706" s="12">
        <v>95.296279999999996</v>
      </c>
      <c r="K706" s="12">
        <v>399.01767999999998</v>
      </c>
      <c r="L706" s="12" t="s">
        <v>1</v>
      </c>
      <c r="M706" s="12" t="s">
        <v>0</v>
      </c>
      <c r="N706" s="12">
        <v>11.419243694719899</v>
      </c>
      <c r="O706" s="12">
        <v>16.5</v>
      </c>
      <c r="P706" s="12">
        <v>1143</v>
      </c>
      <c r="Q706" s="12" t="s">
        <v>1</v>
      </c>
    </row>
    <row r="707" spans="1:17" x14ac:dyDescent="0.25">
      <c r="A707" s="12">
        <f t="shared" si="10"/>
        <v>706</v>
      </c>
      <c r="B707" s="12">
        <v>0.90609600000000001</v>
      </c>
      <c r="C707" s="12">
        <v>0.245009</v>
      </c>
      <c r="D707" s="12">
        <v>0.55937199999999998</v>
      </c>
      <c r="E707" s="12">
        <v>277.63752255343502</v>
      </c>
      <c r="F707" s="12">
        <v>42.25</v>
      </c>
      <c r="G707" s="12">
        <v>42.434694557327802</v>
      </c>
      <c r="H707" s="12" t="s">
        <v>0</v>
      </c>
      <c r="I707" s="12">
        <v>1.0248759999999999</v>
      </c>
      <c r="J707" s="12">
        <v>222.50450000000001</v>
      </c>
      <c r="K707" s="12">
        <v>340.02947999999998</v>
      </c>
      <c r="L707" s="12" t="s">
        <v>1</v>
      </c>
      <c r="M707" s="12" t="s">
        <v>0</v>
      </c>
      <c r="N707" s="12">
        <v>26.662458478670999</v>
      </c>
      <c r="O707" s="12">
        <v>14.5</v>
      </c>
      <c r="P707" s="12">
        <v>4922.32</v>
      </c>
      <c r="Q707" s="12" t="s">
        <v>1</v>
      </c>
    </row>
    <row r="708" spans="1:17" x14ac:dyDescent="0.25">
      <c r="A708" s="12">
        <f t="shared" ref="A708:A771" si="11">A707+1</f>
        <v>707</v>
      </c>
      <c r="B708" s="12">
        <v>0.96013700000000002</v>
      </c>
      <c r="C708" s="12">
        <v>-9.9163600000000005E-2</v>
      </c>
      <c r="D708" s="12">
        <v>0.587086</v>
      </c>
      <c r="E708" s="12">
        <v>15.669287189067701</v>
      </c>
      <c r="F708" s="12">
        <v>156.25</v>
      </c>
      <c r="G708" s="12">
        <v>339.81993165865998</v>
      </c>
      <c r="H708" s="12" t="s">
        <v>0</v>
      </c>
      <c r="I708" s="12">
        <v>1.068109</v>
      </c>
      <c r="J708" s="12">
        <v>50.418199999999999</v>
      </c>
      <c r="K708" s="12">
        <v>356.38074</v>
      </c>
      <c r="L708" s="12" t="s">
        <v>1</v>
      </c>
      <c r="M708" s="12" t="s">
        <v>0</v>
      </c>
      <c r="N708" s="12">
        <v>6.0415549531327697</v>
      </c>
      <c r="O708" s="12">
        <v>20.5</v>
      </c>
      <c r="P708" s="12">
        <v>571.51499999999999</v>
      </c>
      <c r="Q708" s="12" t="s">
        <v>1</v>
      </c>
    </row>
    <row r="709" spans="1:17" x14ac:dyDescent="0.25">
      <c r="A709" s="12">
        <f t="shared" si="11"/>
        <v>708</v>
      </c>
      <c r="B709" s="12">
        <v>1.0308200000000001</v>
      </c>
      <c r="C709" s="12">
        <v>3.6142800000000003E-2</v>
      </c>
      <c r="D709" s="12">
        <v>0.603491</v>
      </c>
      <c r="E709" s="12">
        <v>17.208891897673301</v>
      </c>
      <c r="F709" s="12">
        <v>56.25</v>
      </c>
      <c r="G709" s="12">
        <v>201.75906414636799</v>
      </c>
      <c r="H709" s="12" t="s">
        <v>0</v>
      </c>
      <c r="I709" s="12">
        <v>1.1246499999999999</v>
      </c>
      <c r="J709" s="12">
        <v>118.0714</v>
      </c>
      <c r="K709" s="12">
        <v>366.05968999999999</v>
      </c>
      <c r="L709" s="12" t="s">
        <v>1</v>
      </c>
      <c r="M709" s="12" t="s">
        <v>0</v>
      </c>
      <c r="N709" s="12">
        <v>14.1483601456085</v>
      </c>
      <c r="O709" s="12">
        <v>15.5</v>
      </c>
      <c r="P709" s="12">
        <v>2115.4699999999998</v>
      </c>
      <c r="Q709" s="12" t="s">
        <v>1</v>
      </c>
    </row>
    <row r="710" spans="1:17" x14ac:dyDescent="0.25">
      <c r="A710" s="12">
        <f t="shared" si="11"/>
        <v>709</v>
      </c>
      <c r="B710" s="12">
        <v>0.16286500000000001</v>
      </c>
      <c r="C710" s="12">
        <v>-3.2410000000000001E-2</v>
      </c>
      <c r="D710" s="12">
        <v>0.184448</v>
      </c>
      <c r="E710" s="12">
        <v>1.68580308204506E-3</v>
      </c>
      <c r="F710" s="12">
        <v>144</v>
      </c>
      <c r="G710" s="12">
        <v>101.541787809345</v>
      </c>
      <c r="H710" s="12" t="s">
        <v>0</v>
      </c>
      <c r="I710" s="12">
        <v>0.43029200000000001</v>
      </c>
      <c r="J710" s="12">
        <v>83.795000000000002</v>
      </c>
      <c r="K710" s="12">
        <v>118.82432</v>
      </c>
      <c r="L710" s="12" t="s">
        <v>1</v>
      </c>
      <c r="M710" s="12" t="s">
        <v>0</v>
      </c>
      <c r="N710" s="12">
        <v>10.041058532390201</v>
      </c>
      <c r="O710" s="12">
        <v>20</v>
      </c>
      <c r="P710" s="12">
        <v>3621.97</v>
      </c>
      <c r="Q710" s="12" t="s">
        <v>1</v>
      </c>
    </row>
    <row r="711" spans="1:17" x14ac:dyDescent="0.25">
      <c r="A711" s="12">
        <f t="shared" si="11"/>
        <v>710</v>
      </c>
      <c r="B711" s="12">
        <v>0.82191800000000004</v>
      </c>
      <c r="C711" s="12">
        <v>-1.35099E-2</v>
      </c>
      <c r="D711" s="12">
        <v>0.75566500000000003</v>
      </c>
      <c r="E711" s="12">
        <v>1.37697824104995</v>
      </c>
      <c r="F711" s="12">
        <v>100</v>
      </c>
      <c r="G711" s="12">
        <v>291.12586773053101</v>
      </c>
      <c r="H711" s="12" t="s">
        <v>0</v>
      </c>
      <c r="I711" s="12">
        <v>0.957534</v>
      </c>
      <c r="J711" s="12">
        <v>93.245050000000006</v>
      </c>
      <c r="K711" s="12">
        <v>455.84235000000001</v>
      </c>
      <c r="L711" s="12" t="s">
        <v>1</v>
      </c>
      <c r="M711" s="12" t="s">
        <v>0</v>
      </c>
      <c r="N711" s="12">
        <v>11.1734471615926</v>
      </c>
      <c r="O711" s="12">
        <v>18</v>
      </c>
      <c r="P711" s="12">
        <v>1072.22</v>
      </c>
      <c r="Q711" s="12" t="s">
        <v>1</v>
      </c>
    </row>
    <row r="712" spans="1:17" x14ac:dyDescent="0.25">
      <c r="A712" s="12">
        <f t="shared" si="11"/>
        <v>711</v>
      </c>
      <c r="B712" s="12">
        <v>0.16533600000000001</v>
      </c>
      <c r="C712" s="12">
        <v>0.118323</v>
      </c>
      <c r="D712" s="12">
        <v>0.265735</v>
      </c>
      <c r="E712" s="12">
        <v>82.303716883137199</v>
      </c>
      <c r="F712" s="12">
        <v>81</v>
      </c>
      <c r="G712" s="12">
        <v>27.389020409832899</v>
      </c>
      <c r="H712" s="12" t="s">
        <v>0</v>
      </c>
      <c r="I712" s="12">
        <v>0.43226799999999999</v>
      </c>
      <c r="J712" s="12">
        <v>159.16149999999999</v>
      </c>
      <c r="K712" s="12">
        <v>166.78364999999999</v>
      </c>
      <c r="L712" s="12" t="s">
        <v>1</v>
      </c>
      <c r="M712" s="12" t="s">
        <v>0</v>
      </c>
      <c r="N712" s="12">
        <v>19.072139597864201</v>
      </c>
      <c r="O712" s="12">
        <v>17</v>
      </c>
      <c r="P712" s="12">
        <v>5389.79</v>
      </c>
      <c r="Q712" s="12" t="s">
        <v>1</v>
      </c>
    </row>
    <row r="713" spans="1:17" x14ac:dyDescent="0.25">
      <c r="A713" s="12">
        <f t="shared" si="11"/>
        <v>712</v>
      </c>
      <c r="B713" s="12">
        <v>1.0549500000000001</v>
      </c>
      <c r="C713" s="12">
        <v>5.68018E-2</v>
      </c>
      <c r="D713" s="12">
        <v>0.70760599999999996</v>
      </c>
      <c r="E713" s="12">
        <v>29.010420694559599</v>
      </c>
      <c r="F713" s="12">
        <v>49</v>
      </c>
      <c r="G713" s="12">
        <v>219.13083681290999</v>
      </c>
      <c r="H713" s="12" t="s">
        <v>0</v>
      </c>
      <c r="I713" s="12">
        <v>1.1439600000000001</v>
      </c>
      <c r="J713" s="12">
        <v>128.40090000000001</v>
      </c>
      <c r="K713" s="12">
        <v>427.48754000000002</v>
      </c>
      <c r="L713" s="12" t="s">
        <v>1</v>
      </c>
      <c r="M713" s="12" t="s">
        <v>0</v>
      </c>
      <c r="N713" s="12">
        <v>15.3861322574329</v>
      </c>
      <c r="O713" s="12">
        <v>15</v>
      </c>
      <c r="P713" s="12">
        <v>1896.88</v>
      </c>
      <c r="Q713" s="12" t="s">
        <v>1</v>
      </c>
    </row>
    <row r="714" spans="1:17" x14ac:dyDescent="0.25">
      <c r="A714" s="12">
        <f t="shared" si="11"/>
        <v>713</v>
      </c>
      <c r="B714" s="12">
        <v>0.85245300000000002</v>
      </c>
      <c r="C714" s="12">
        <v>0.31267600000000001</v>
      </c>
      <c r="D714" s="12">
        <v>0.58623599999999998</v>
      </c>
      <c r="E714" s="12">
        <v>429.18115729648298</v>
      </c>
      <c r="F714" s="12">
        <v>49</v>
      </c>
      <c r="G714" s="12">
        <v>28.683507816851101</v>
      </c>
      <c r="H714" s="12" t="s">
        <v>0</v>
      </c>
      <c r="I714" s="12">
        <v>0.981962</v>
      </c>
      <c r="J714" s="12">
        <v>256.33800000000002</v>
      </c>
      <c r="K714" s="12">
        <v>355.87923999999998</v>
      </c>
      <c r="L714" s="12" t="s">
        <v>1</v>
      </c>
      <c r="M714" s="12" t="s">
        <v>0</v>
      </c>
      <c r="N714" s="12">
        <v>30.716687893977699</v>
      </c>
      <c r="O714" s="12">
        <v>15</v>
      </c>
      <c r="P714" s="12">
        <v>5345.17</v>
      </c>
      <c r="Q714" s="12" t="s">
        <v>1</v>
      </c>
    </row>
    <row r="715" spans="1:17" x14ac:dyDescent="0.25">
      <c r="A715" s="12">
        <f t="shared" si="11"/>
        <v>714</v>
      </c>
      <c r="B715" s="12">
        <v>4.4190199999999999E-2</v>
      </c>
      <c r="C715" s="12">
        <v>5.3758300000000002E-2</v>
      </c>
      <c r="D715" s="12">
        <v>0.140983</v>
      </c>
      <c r="E715" s="12">
        <v>27.079354431473998</v>
      </c>
      <c r="F715" s="12">
        <v>90.25</v>
      </c>
      <c r="G715" s="12">
        <v>15.7415453976355</v>
      </c>
      <c r="H715" s="12" t="s">
        <v>0</v>
      </c>
      <c r="I715" s="12">
        <v>0.33535209999999999</v>
      </c>
      <c r="J715" s="12">
        <v>126.87915</v>
      </c>
      <c r="K715" s="12">
        <v>93.179969999999997</v>
      </c>
      <c r="L715" s="12" t="s">
        <v>1</v>
      </c>
      <c r="M715" s="12" t="s">
        <v>0</v>
      </c>
      <c r="N715" s="12">
        <v>15.203782704098399</v>
      </c>
      <c r="O715" s="12">
        <v>17.5</v>
      </c>
      <c r="P715" s="12">
        <v>5851.84</v>
      </c>
      <c r="Q715" s="12" t="s">
        <v>1</v>
      </c>
    </row>
    <row r="716" spans="1:17" x14ac:dyDescent="0.25">
      <c r="A716" s="12">
        <f t="shared" si="11"/>
        <v>715</v>
      </c>
      <c r="B716" s="12">
        <v>1.04169</v>
      </c>
      <c r="C716" s="12">
        <v>4.0283100000000002E-2</v>
      </c>
      <c r="D716" s="12">
        <v>0.60659399999999997</v>
      </c>
      <c r="E716" s="12">
        <v>19.328542586093</v>
      </c>
      <c r="F716" s="12">
        <v>49</v>
      </c>
      <c r="G716" s="12">
        <v>204.89843936273201</v>
      </c>
      <c r="H716" s="12" t="s">
        <v>0</v>
      </c>
      <c r="I716" s="12">
        <v>1.1333500000000001</v>
      </c>
      <c r="J716" s="12">
        <v>120.14155</v>
      </c>
      <c r="K716" s="12">
        <v>367.89046000000002</v>
      </c>
      <c r="L716" s="12" t="s">
        <v>1</v>
      </c>
      <c r="M716" s="12" t="s">
        <v>0</v>
      </c>
      <c r="N716" s="12">
        <v>14.3964238405882</v>
      </c>
      <c r="O716" s="12">
        <v>15</v>
      </c>
      <c r="P716" s="12">
        <v>2075.29</v>
      </c>
      <c r="Q716" s="12" t="s">
        <v>1</v>
      </c>
    </row>
    <row r="717" spans="1:17" x14ac:dyDescent="0.25">
      <c r="A717" s="12">
        <f t="shared" si="11"/>
        <v>716</v>
      </c>
      <c r="B717" s="12">
        <v>1.02677</v>
      </c>
      <c r="C717" s="12">
        <v>2.7180900000000001E-2</v>
      </c>
      <c r="D717" s="12">
        <v>0.61802299999999999</v>
      </c>
      <c r="E717" s="12">
        <v>13.0423042733762</v>
      </c>
      <c r="F717" s="12">
        <v>64</v>
      </c>
      <c r="G717" s="12">
        <v>242.78420947719999</v>
      </c>
      <c r="H717" s="12" t="s">
        <v>0</v>
      </c>
      <c r="I717" s="12">
        <v>1.12141</v>
      </c>
      <c r="J717" s="12">
        <v>113.59045</v>
      </c>
      <c r="K717" s="12">
        <v>374.63357000000002</v>
      </c>
      <c r="L717" s="12" t="s">
        <v>1</v>
      </c>
      <c r="M717" s="12" t="s">
        <v>0</v>
      </c>
      <c r="N717" s="12">
        <v>13.611413057706899</v>
      </c>
      <c r="O717" s="12">
        <v>16</v>
      </c>
      <c r="P717" s="12">
        <v>1612.74</v>
      </c>
      <c r="Q717" s="12" t="s">
        <v>1</v>
      </c>
    </row>
    <row r="718" spans="1:17" x14ac:dyDescent="0.25">
      <c r="A718" s="12">
        <f t="shared" si="11"/>
        <v>717</v>
      </c>
      <c r="B718" s="12">
        <v>1.0403899999999999</v>
      </c>
      <c r="C718" s="12">
        <v>0.11265799999999999</v>
      </c>
      <c r="D718" s="12">
        <v>0.65028200000000003</v>
      </c>
      <c r="E718" s="12">
        <v>76.260475073690202</v>
      </c>
      <c r="F718" s="12">
        <v>42.25</v>
      </c>
      <c r="G718" s="12">
        <v>125.72430337324001</v>
      </c>
      <c r="H718" s="12" t="s">
        <v>0</v>
      </c>
      <c r="I718" s="12">
        <v>1.1323099999999999</v>
      </c>
      <c r="J718" s="12">
        <v>156.32900000000001</v>
      </c>
      <c r="K718" s="12">
        <v>393.66638</v>
      </c>
      <c r="L718" s="12" t="s">
        <v>1</v>
      </c>
      <c r="M718" s="12" t="s">
        <v>0</v>
      </c>
      <c r="N718" s="12">
        <v>18.732724378662699</v>
      </c>
      <c r="O718" s="12">
        <v>14.5</v>
      </c>
      <c r="P718" s="12">
        <v>3207.37</v>
      </c>
      <c r="Q718" s="12" t="s">
        <v>1</v>
      </c>
    </row>
    <row r="719" spans="1:17" x14ac:dyDescent="0.25">
      <c r="A719" s="12">
        <f t="shared" si="11"/>
        <v>718</v>
      </c>
      <c r="B719" s="12">
        <v>1.0422800000000001</v>
      </c>
      <c r="C719" s="12">
        <v>8.2272899999999996E-2</v>
      </c>
      <c r="D719" s="12">
        <v>0.653111</v>
      </c>
      <c r="E719" s="12">
        <v>47.778765630497197</v>
      </c>
      <c r="F719" s="12">
        <v>49</v>
      </c>
      <c r="G719" s="12">
        <v>189.83328399999999</v>
      </c>
      <c r="H719" s="12" t="s">
        <v>0</v>
      </c>
      <c r="I719" s="12">
        <v>1.1338200000000001</v>
      </c>
      <c r="J719" s="12">
        <v>141.13645</v>
      </c>
      <c r="K719" s="12">
        <v>395.33548999999999</v>
      </c>
      <c r="L719" s="12" t="s">
        <v>1</v>
      </c>
      <c r="M719" s="12" t="s">
        <v>0</v>
      </c>
      <c r="N719" s="12">
        <v>16.912218575139001</v>
      </c>
      <c r="O719" s="12">
        <v>15</v>
      </c>
      <c r="P719" s="12">
        <v>2271.0300000000002</v>
      </c>
      <c r="Q719" s="12" t="s">
        <v>1</v>
      </c>
    </row>
    <row r="720" spans="1:17" x14ac:dyDescent="0.25">
      <c r="A720" s="12">
        <f t="shared" si="11"/>
        <v>719</v>
      </c>
      <c r="B720" s="12">
        <v>0.85799599999999998</v>
      </c>
      <c r="C720" s="12">
        <v>9.0993099999999993E-2</v>
      </c>
      <c r="D720" s="12">
        <v>0.73071200000000003</v>
      </c>
      <c r="E720" s="12">
        <v>55.2745313313617</v>
      </c>
      <c r="F720" s="12">
        <v>64</v>
      </c>
      <c r="G720" s="12">
        <v>192.668850681929</v>
      </c>
      <c r="H720" s="12" t="s">
        <v>0</v>
      </c>
      <c r="I720" s="12">
        <v>0.98639600000000005</v>
      </c>
      <c r="J720" s="12">
        <v>145.49655000000001</v>
      </c>
      <c r="K720" s="12">
        <v>441.12007999999997</v>
      </c>
      <c r="L720" s="12" t="s">
        <v>1</v>
      </c>
      <c r="M720" s="12" t="s">
        <v>0</v>
      </c>
      <c r="N720" s="12">
        <v>17.434684346450801</v>
      </c>
      <c r="O720" s="12">
        <v>16</v>
      </c>
      <c r="P720" s="12">
        <v>2233.61</v>
      </c>
      <c r="Q720" s="12" t="s">
        <v>1</v>
      </c>
    </row>
    <row r="721" spans="1:17" x14ac:dyDescent="0.25">
      <c r="A721" s="12">
        <f t="shared" si="11"/>
        <v>720</v>
      </c>
      <c r="B721" s="12">
        <v>1.0246200000000001</v>
      </c>
      <c r="C721" s="12">
        <v>-9.0521599999999994E-2</v>
      </c>
      <c r="D721" s="12">
        <v>0.62405699999999997</v>
      </c>
      <c r="E721" s="12">
        <v>11.838172776923001</v>
      </c>
      <c r="F721" s="12">
        <v>144</v>
      </c>
      <c r="G721" s="12">
        <v>340.58712612329498</v>
      </c>
      <c r="H721" s="12" t="s">
        <v>0</v>
      </c>
      <c r="I721" s="12">
        <v>1.1196900000000001</v>
      </c>
      <c r="J721" s="12">
        <v>54.739199999999997</v>
      </c>
      <c r="K721" s="12">
        <v>378.19362999999998</v>
      </c>
      <c r="L721" s="12" t="s">
        <v>1</v>
      </c>
      <c r="M721" s="12" t="s">
        <v>0</v>
      </c>
      <c r="N721" s="12">
        <v>6.5593354163878299</v>
      </c>
      <c r="O721" s="12">
        <v>20</v>
      </c>
      <c r="P721" s="12">
        <v>563.92399999999998</v>
      </c>
      <c r="Q721" s="12" t="s">
        <v>1</v>
      </c>
    </row>
    <row r="722" spans="1:17" x14ac:dyDescent="0.25">
      <c r="A722" s="12">
        <f t="shared" si="11"/>
        <v>721</v>
      </c>
      <c r="B722" s="12">
        <v>0.99209700000000001</v>
      </c>
      <c r="C722" s="12">
        <v>7.2487399999999994E-2</v>
      </c>
      <c r="D722" s="12">
        <v>0.63242500000000001</v>
      </c>
      <c r="E722" s="12">
        <v>40.017339334628801</v>
      </c>
      <c r="F722" s="12">
        <v>56.25</v>
      </c>
      <c r="G722" s="12">
        <v>185.91061007768801</v>
      </c>
      <c r="H722" s="12" t="s">
        <v>0</v>
      </c>
      <c r="I722" s="12">
        <v>1.093677</v>
      </c>
      <c r="J722" s="12">
        <v>136.24369999999999</v>
      </c>
      <c r="K722" s="12">
        <v>383.13074999999998</v>
      </c>
      <c r="L722" s="12" t="s">
        <v>1</v>
      </c>
      <c r="M722" s="12" t="s">
        <v>0</v>
      </c>
      <c r="N722" s="12">
        <v>16.3259259665782</v>
      </c>
      <c r="O722" s="12">
        <v>15.5</v>
      </c>
      <c r="P722" s="12">
        <v>2323.2600000000002</v>
      </c>
      <c r="Q722" s="12" t="s">
        <v>1</v>
      </c>
    </row>
    <row r="723" spans="1:17" x14ac:dyDescent="0.25">
      <c r="A723" s="12">
        <f t="shared" si="11"/>
        <v>722</v>
      </c>
      <c r="B723" s="12">
        <v>1.0343500000000001</v>
      </c>
      <c r="C723" s="12">
        <v>0.267619</v>
      </c>
      <c r="D723" s="12">
        <v>0.57423999999999997</v>
      </c>
      <c r="E723" s="12">
        <v>324.61674405052901</v>
      </c>
      <c r="F723" s="12">
        <v>36</v>
      </c>
      <c r="G723" s="12">
        <v>41.929705236254399</v>
      </c>
      <c r="H723" s="12" t="s">
        <v>0</v>
      </c>
      <c r="I723" s="12">
        <v>1.12748</v>
      </c>
      <c r="J723" s="12">
        <v>233.80950000000001</v>
      </c>
      <c r="K723" s="12">
        <v>348.80160000000001</v>
      </c>
      <c r="L723" s="12" t="s">
        <v>1</v>
      </c>
      <c r="M723" s="12" t="s">
        <v>0</v>
      </c>
      <c r="N723" s="12">
        <v>28.017123634213299</v>
      </c>
      <c r="O723" s="12">
        <v>14</v>
      </c>
      <c r="P723" s="12">
        <v>4936.51</v>
      </c>
      <c r="Q723" s="12" t="s">
        <v>1</v>
      </c>
    </row>
    <row r="724" spans="1:17" x14ac:dyDescent="0.25">
      <c r="A724" s="12">
        <f t="shared" si="11"/>
        <v>723</v>
      </c>
      <c r="B724" s="12">
        <v>1.04467</v>
      </c>
      <c r="C724" s="12">
        <v>4.5121000000000001E-2</v>
      </c>
      <c r="D724" s="12">
        <v>0.57565</v>
      </c>
      <c r="E724" s="12">
        <v>21.961256216318802</v>
      </c>
      <c r="F724" s="12">
        <v>49</v>
      </c>
      <c r="G724" s="12">
        <v>190.822811361231</v>
      </c>
      <c r="H724" s="12" t="s">
        <v>0</v>
      </c>
      <c r="I724" s="12">
        <v>1.1357299999999999</v>
      </c>
      <c r="J724" s="12">
        <v>122.5605</v>
      </c>
      <c r="K724" s="12">
        <v>349.63350000000003</v>
      </c>
      <c r="L724" s="12" t="s">
        <v>1</v>
      </c>
      <c r="M724" s="12" t="s">
        <v>0</v>
      </c>
      <c r="N724" s="12">
        <v>14.686283838642099</v>
      </c>
      <c r="O724" s="12">
        <v>15</v>
      </c>
      <c r="P724" s="12">
        <v>2257.94</v>
      </c>
      <c r="Q724" s="12" t="s">
        <v>1</v>
      </c>
    </row>
    <row r="725" spans="1:17" x14ac:dyDescent="0.25">
      <c r="A725" s="12">
        <f t="shared" si="11"/>
        <v>724</v>
      </c>
      <c r="B725" s="12">
        <v>1.0003299999999999</v>
      </c>
      <c r="C725" s="12">
        <v>9.3006099999999994E-2</v>
      </c>
      <c r="D725" s="12">
        <v>0.60478500000000002</v>
      </c>
      <c r="E725" s="12">
        <v>57.082438482653799</v>
      </c>
      <c r="F725" s="12">
        <v>49</v>
      </c>
      <c r="G725" s="12">
        <v>169.40341854456699</v>
      </c>
      <c r="H725" s="12" t="s">
        <v>0</v>
      </c>
      <c r="I725" s="12">
        <v>1.10026</v>
      </c>
      <c r="J725" s="12">
        <v>146.50305</v>
      </c>
      <c r="K725" s="12">
        <v>366.82315</v>
      </c>
      <c r="L725" s="12" t="s">
        <v>1</v>
      </c>
      <c r="M725" s="12" t="s">
        <v>0</v>
      </c>
      <c r="N725" s="12">
        <v>17.555292084535999</v>
      </c>
      <c r="O725" s="12">
        <v>15</v>
      </c>
      <c r="P725" s="12">
        <v>2549.34</v>
      </c>
      <c r="Q725" s="12" t="s">
        <v>1</v>
      </c>
    </row>
    <row r="726" spans="1:17" x14ac:dyDescent="0.25">
      <c r="A726" s="12">
        <f t="shared" si="11"/>
        <v>725</v>
      </c>
      <c r="B726" s="12">
        <v>0.89129000000000003</v>
      </c>
      <c r="C726" s="12">
        <v>0.316884</v>
      </c>
      <c r="D726" s="12">
        <v>0.56539700000000004</v>
      </c>
      <c r="E726" s="12">
        <v>439.69090036666802</v>
      </c>
      <c r="F726" s="12">
        <v>36</v>
      </c>
      <c r="G726" s="12">
        <v>0.105402514543066</v>
      </c>
      <c r="H726" s="12" t="s">
        <v>0</v>
      </c>
      <c r="I726" s="12">
        <v>1.0130300000000001</v>
      </c>
      <c r="J726" s="12">
        <v>258.44200000000001</v>
      </c>
      <c r="K726" s="12">
        <v>343.58422999999999</v>
      </c>
      <c r="L726" s="12" t="s">
        <v>1</v>
      </c>
      <c r="M726" s="12" t="s">
        <v>0</v>
      </c>
      <c r="N726" s="12">
        <v>30.968807795548798</v>
      </c>
      <c r="O726" s="12">
        <v>14</v>
      </c>
      <c r="P726" s="12">
        <v>7181.5</v>
      </c>
      <c r="Q726" s="12" t="s">
        <v>1</v>
      </c>
    </row>
    <row r="727" spans="1:17" x14ac:dyDescent="0.25">
      <c r="A727" s="12">
        <f t="shared" si="11"/>
        <v>726</v>
      </c>
      <c r="B727" s="12">
        <v>0.55276599999999998</v>
      </c>
      <c r="C727" s="12">
        <v>5.1762599999999999E-2</v>
      </c>
      <c r="D727" s="12">
        <v>0.31570399999999998</v>
      </c>
      <c r="E727" s="12">
        <v>25.8492064300073</v>
      </c>
      <c r="F727" s="12">
        <v>100</v>
      </c>
      <c r="G727" s="12">
        <v>45.5022322717207</v>
      </c>
      <c r="H727" s="12" t="s">
        <v>0</v>
      </c>
      <c r="I727" s="12">
        <v>0.74221199999999998</v>
      </c>
      <c r="J727" s="12">
        <v>125.8813</v>
      </c>
      <c r="K727" s="12">
        <v>196.26535999999999</v>
      </c>
      <c r="L727" s="12" t="s">
        <v>1</v>
      </c>
      <c r="M727" s="12" t="s">
        <v>0</v>
      </c>
      <c r="N727" s="12">
        <v>15.084211485570499</v>
      </c>
      <c r="O727" s="12">
        <v>18</v>
      </c>
      <c r="P727" s="12">
        <v>4837.88</v>
      </c>
      <c r="Q727" s="12" t="s">
        <v>1</v>
      </c>
    </row>
    <row r="728" spans="1:17" x14ac:dyDescent="0.25">
      <c r="A728" s="12">
        <f t="shared" si="11"/>
        <v>727</v>
      </c>
      <c r="B728" s="12">
        <v>0.50121000000000004</v>
      </c>
      <c r="C728" s="12">
        <v>5.5448999999999998E-2</v>
      </c>
      <c r="D728" s="12">
        <v>0.155555</v>
      </c>
      <c r="E728" s="12">
        <v>28.1438740495472</v>
      </c>
      <c r="F728" s="12">
        <v>100</v>
      </c>
      <c r="G728" s="12">
        <v>12.771713540251399</v>
      </c>
      <c r="H728" s="12" t="s">
        <v>0</v>
      </c>
      <c r="I728" s="12">
        <v>0.70096000000000003</v>
      </c>
      <c r="J728" s="12">
        <v>127.72450000000001</v>
      </c>
      <c r="K728" s="12">
        <v>101.77745</v>
      </c>
      <c r="L728" s="12" t="s">
        <v>1</v>
      </c>
      <c r="M728" s="12" t="s">
        <v>0</v>
      </c>
      <c r="N728" s="12">
        <v>15.3050800229164</v>
      </c>
      <c r="O728" s="12">
        <v>18</v>
      </c>
      <c r="P728" s="12">
        <v>8604.42</v>
      </c>
      <c r="Q728" s="12" t="s">
        <v>1</v>
      </c>
    </row>
    <row r="729" spans="1:17" x14ac:dyDescent="0.25">
      <c r="A729" s="12">
        <f t="shared" si="11"/>
        <v>728</v>
      </c>
      <c r="B729" s="12">
        <v>0.90329800000000005</v>
      </c>
      <c r="C729" s="12">
        <v>4.7653599999999997E-2</v>
      </c>
      <c r="D729" s="12">
        <v>0.69816800000000001</v>
      </c>
      <c r="E729" s="12">
        <v>23.406467633233</v>
      </c>
      <c r="F729" s="12">
        <v>64</v>
      </c>
      <c r="G729" s="12">
        <v>213.58741404090799</v>
      </c>
      <c r="H729" s="12" t="s">
        <v>0</v>
      </c>
      <c r="I729" s="12">
        <v>1.0226379999999999</v>
      </c>
      <c r="J729" s="12">
        <v>123.82680000000001</v>
      </c>
      <c r="K729" s="12">
        <v>421.91912000000002</v>
      </c>
      <c r="L729" s="12" t="s">
        <v>1</v>
      </c>
      <c r="M729" s="12" t="s">
        <v>0</v>
      </c>
      <c r="N729" s="12">
        <v>14.838023112101901</v>
      </c>
      <c r="O729" s="12">
        <v>16</v>
      </c>
      <c r="P729" s="12">
        <v>1965.66</v>
      </c>
      <c r="Q729" s="12" t="s">
        <v>1</v>
      </c>
    </row>
    <row r="730" spans="1:17" x14ac:dyDescent="0.25">
      <c r="A730" s="12">
        <f t="shared" si="11"/>
        <v>729</v>
      </c>
      <c r="B730" s="12">
        <v>0.52180800000000005</v>
      </c>
      <c r="C730" s="12">
        <v>0.212344</v>
      </c>
      <c r="D730" s="12">
        <v>0.34601500000000002</v>
      </c>
      <c r="E730" s="12">
        <v>216.24742970541399</v>
      </c>
      <c r="F730" s="12">
        <v>64</v>
      </c>
      <c r="G730" s="12">
        <v>31.230337045599502</v>
      </c>
      <c r="H730" s="12" t="s">
        <v>0</v>
      </c>
      <c r="I730" s="12">
        <v>0.71744600000000003</v>
      </c>
      <c r="J730" s="12">
        <v>206.172</v>
      </c>
      <c r="K730" s="12">
        <v>214.14885000000001</v>
      </c>
      <c r="L730" s="12" t="s">
        <v>1</v>
      </c>
      <c r="M730" s="12" t="s">
        <v>0</v>
      </c>
      <c r="N730" s="12">
        <v>24.705353776955299</v>
      </c>
      <c r="O730" s="12">
        <v>16</v>
      </c>
      <c r="P730" s="12">
        <v>9339.77</v>
      </c>
      <c r="Q730" s="12" t="s">
        <v>1</v>
      </c>
    </row>
    <row r="731" spans="1:17" x14ac:dyDescent="0.25">
      <c r="A731" s="12">
        <f t="shared" si="11"/>
        <v>730</v>
      </c>
      <c r="B731" s="12">
        <v>0.463557</v>
      </c>
      <c r="C731" s="12">
        <v>2.3786999999999999E-2</v>
      </c>
      <c r="D731" s="12">
        <v>0.257156</v>
      </c>
      <c r="E731" s="12">
        <v>11.6149376469983</v>
      </c>
      <c r="F731" s="12">
        <v>121</v>
      </c>
      <c r="G731" s="12">
        <v>43.799011897166402</v>
      </c>
      <c r="H731" s="12" t="s">
        <v>0</v>
      </c>
      <c r="I731" s="12">
        <v>0.67084500000000002</v>
      </c>
      <c r="J731" s="12">
        <v>111.8935</v>
      </c>
      <c r="K731" s="12">
        <v>161.72203999999999</v>
      </c>
      <c r="L731" s="12" t="s">
        <v>1</v>
      </c>
      <c r="M731" s="12" t="s">
        <v>0</v>
      </c>
      <c r="N731" s="12">
        <v>13.408069489754901</v>
      </c>
      <c r="O731" s="12">
        <v>19</v>
      </c>
      <c r="P731" s="12">
        <v>4884.3999999999996</v>
      </c>
      <c r="Q731" s="12" t="s">
        <v>1</v>
      </c>
    </row>
    <row r="732" spans="1:17" x14ac:dyDescent="0.25">
      <c r="A732" s="12">
        <f t="shared" si="11"/>
        <v>731</v>
      </c>
      <c r="B732" s="12">
        <v>0.85363299999999998</v>
      </c>
      <c r="C732" s="12">
        <v>0.22942499999999999</v>
      </c>
      <c r="D732" s="12">
        <v>0.43080099999999999</v>
      </c>
      <c r="E732" s="12">
        <v>247.39364184103101</v>
      </c>
      <c r="F732" s="12">
        <v>49</v>
      </c>
      <c r="G732" s="12">
        <v>13.027353035091</v>
      </c>
      <c r="H732" s="12" t="s">
        <v>0</v>
      </c>
      <c r="I732" s="12">
        <v>0.98290599999999995</v>
      </c>
      <c r="J732" s="12">
        <v>214.71250000000001</v>
      </c>
      <c r="K732" s="12">
        <v>264.17259000000001</v>
      </c>
      <c r="L732" s="12" t="s">
        <v>1</v>
      </c>
      <c r="M732" s="12" t="s">
        <v>0</v>
      </c>
      <c r="N732" s="12">
        <v>25.728752075133901</v>
      </c>
      <c r="O732" s="12">
        <v>15</v>
      </c>
      <c r="P732" s="12">
        <v>5982.59</v>
      </c>
      <c r="Q732" s="12" t="s">
        <v>1</v>
      </c>
    </row>
    <row r="733" spans="1:17" x14ac:dyDescent="0.25">
      <c r="A733" s="12">
        <f t="shared" si="11"/>
        <v>732</v>
      </c>
      <c r="B733" s="12">
        <v>1.1464399999999999</v>
      </c>
      <c r="C733" s="12">
        <v>3.8861199999999999E-3</v>
      </c>
      <c r="D733" s="12">
        <v>0.66831600000000002</v>
      </c>
      <c r="E733" s="12">
        <v>4.9094137979307</v>
      </c>
      <c r="F733" s="12">
        <v>56.25</v>
      </c>
      <c r="G733" s="12">
        <v>265.53372161756403</v>
      </c>
      <c r="H733" s="12" t="s">
        <v>0</v>
      </c>
      <c r="I733" s="12">
        <v>1.21715</v>
      </c>
      <c r="J733" s="12">
        <v>101.94306</v>
      </c>
      <c r="K733" s="12">
        <v>404.30644000000001</v>
      </c>
      <c r="L733" s="12" t="s">
        <v>1</v>
      </c>
      <c r="M733" s="12" t="s">
        <v>0</v>
      </c>
      <c r="N733" s="12">
        <v>12.215719702022501</v>
      </c>
      <c r="O733" s="12">
        <v>15.5</v>
      </c>
      <c r="P733" s="12">
        <v>1352.25</v>
      </c>
      <c r="Q733" s="12" t="s">
        <v>1</v>
      </c>
    </row>
    <row r="734" spans="1:17" x14ac:dyDescent="0.25">
      <c r="A734" s="12">
        <f t="shared" si="11"/>
        <v>733</v>
      </c>
      <c r="B734" s="12">
        <v>1.0805899999999999</v>
      </c>
      <c r="C734" s="12">
        <v>7.6608099999999998E-2</v>
      </c>
      <c r="D734" s="12">
        <v>0.62779799999999997</v>
      </c>
      <c r="E734" s="12">
        <v>43.201901478260702</v>
      </c>
      <c r="F734" s="12">
        <v>49</v>
      </c>
      <c r="G734" s="12">
        <v>186.46463668605699</v>
      </c>
      <c r="H734" s="12" t="s">
        <v>0</v>
      </c>
      <c r="I734" s="12">
        <v>1.1644699999999999</v>
      </c>
      <c r="J734" s="12">
        <v>138.30404999999999</v>
      </c>
      <c r="K734" s="12">
        <v>380.40082000000001</v>
      </c>
      <c r="L734" s="12" t="s">
        <v>1</v>
      </c>
      <c r="M734" s="12" t="s">
        <v>0</v>
      </c>
      <c r="N734" s="12">
        <v>16.572815338822501</v>
      </c>
      <c r="O734" s="12">
        <v>15</v>
      </c>
      <c r="P734" s="12">
        <v>2315.85</v>
      </c>
      <c r="Q734" s="12" t="s">
        <v>1</v>
      </c>
    </row>
    <row r="735" spans="1:17" x14ac:dyDescent="0.25">
      <c r="A735" s="12">
        <f t="shared" si="11"/>
        <v>734</v>
      </c>
      <c r="B735" s="12">
        <v>0.94161499999999998</v>
      </c>
      <c r="C735" s="12">
        <v>0.244591</v>
      </c>
      <c r="D735" s="12">
        <v>0.98949399999999998</v>
      </c>
      <c r="E735" s="12">
        <v>276.80355288965598</v>
      </c>
      <c r="F735" s="12">
        <v>42.25</v>
      </c>
      <c r="G735" s="12">
        <v>137.41813032764099</v>
      </c>
      <c r="H735" s="12" t="s">
        <v>0</v>
      </c>
      <c r="I735" s="12">
        <v>1.0532919999999999</v>
      </c>
      <c r="J735" s="12">
        <v>222.2955</v>
      </c>
      <c r="K735" s="12">
        <v>593.80146000000002</v>
      </c>
      <c r="L735" s="12" t="s">
        <v>1</v>
      </c>
      <c r="M735" s="12" t="s">
        <v>0</v>
      </c>
      <c r="N735" s="12">
        <v>26.637414248904602</v>
      </c>
      <c r="O735" s="12">
        <v>14.5</v>
      </c>
      <c r="P735" s="12">
        <v>3021.27</v>
      </c>
      <c r="Q735" s="12" t="s">
        <v>1</v>
      </c>
    </row>
    <row r="736" spans="1:17" x14ac:dyDescent="0.25">
      <c r="A736" s="12">
        <f t="shared" si="11"/>
        <v>735</v>
      </c>
      <c r="B736" s="12">
        <v>0.82132499999999997</v>
      </c>
      <c r="C736" s="12">
        <v>0.16823099999999999</v>
      </c>
      <c r="D736" s="12">
        <v>0.41516799999999998</v>
      </c>
      <c r="E736" s="12">
        <v>145.50025699640099</v>
      </c>
      <c r="F736" s="12">
        <v>56.25</v>
      </c>
      <c r="G736" s="12">
        <v>26.495980604991502</v>
      </c>
      <c r="H736" s="12" t="s">
        <v>0</v>
      </c>
      <c r="I736" s="12">
        <v>0.95706000000000002</v>
      </c>
      <c r="J736" s="12">
        <v>184.1155</v>
      </c>
      <c r="K736" s="12">
        <v>254.94911999999999</v>
      </c>
      <c r="L736" s="12" t="s">
        <v>1</v>
      </c>
      <c r="M736" s="12" t="s">
        <v>0</v>
      </c>
      <c r="N736" s="12">
        <v>22.0623487346536</v>
      </c>
      <c r="O736" s="12">
        <v>15.5</v>
      </c>
      <c r="P736" s="12">
        <v>5421.19</v>
      </c>
      <c r="Q736" s="12" t="s">
        <v>1</v>
      </c>
    </row>
    <row r="737" spans="1:17" x14ac:dyDescent="0.25">
      <c r="A737" s="12">
        <f t="shared" si="11"/>
        <v>736</v>
      </c>
      <c r="B737" s="12">
        <v>0.95921000000000001</v>
      </c>
      <c r="C737" s="12">
        <v>0.34667100000000001</v>
      </c>
      <c r="D737" s="12">
        <v>0.59077299999999999</v>
      </c>
      <c r="E737" s="12">
        <v>517.72079665168496</v>
      </c>
      <c r="F737" s="12">
        <v>30.25</v>
      </c>
      <c r="G737" s="12">
        <v>5.1367656220679299E-3</v>
      </c>
      <c r="H737" s="12" t="s">
        <v>0</v>
      </c>
      <c r="I737" s="12">
        <v>1.0673600000000001</v>
      </c>
      <c r="J737" s="12">
        <v>273.33550000000002</v>
      </c>
      <c r="K737" s="12">
        <v>358.55606999999998</v>
      </c>
      <c r="L737" s="12" t="s">
        <v>1</v>
      </c>
      <c r="M737" s="12" t="s">
        <v>0</v>
      </c>
      <c r="N737" s="12">
        <v>32.753478781313497</v>
      </c>
      <c r="O737" s="12">
        <v>13.5</v>
      </c>
      <c r="P737" s="12">
        <v>7273.84</v>
      </c>
      <c r="Q737" s="12" t="s">
        <v>1</v>
      </c>
    </row>
    <row r="738" spans="1:17" x14ac:dyDescent="0.25">
      <c r="A738" s="12">
        <f t="shared" si="11"/>
        <v>737</v>
      </c>
      <c r="B738" s="12">
        <v>1.03688</v>
      </c>
      <c r="C738" s="12">
        <v>-1.9765399999999999E-2</v>
      </c>
      <c r="D738" s="12">
        <v>0.61463400000000001</v>
      </c>
      <c r="E738" s="12">
        <v>0.63784577464847103</v>
      </c>
      <c r="F738" s="12">
        <v>81</v>
      </c>
      <c r="G738" s="12">
        <v>279.12979947006897</v>
      </c>
      <c r="H738" s="12" t="s">
        <v>0</v>
      </c>
      <c r="I738" s="12">
        <v>1.1294999999999999</v>
      </c>
      <c r="J738" s="12">
        <v>90.1173</v>
      </c>
      <c r="K738" s="12">
        <v>372.63405999999998</v>
      </c>
      <c r="L738" s="12" t="s">
        <v>1</v>
      </c>
      <c r="M738" s="12" t="s">
        <v>0</v>
      </c>
      <c r="N738" s="12">
        <v>10.7986524742642</v>
      </c>
      <c r="O738" s="12">
        <v>17</v>
      </c>
      <c r="P738" s="12">
        <v>1201.8800000000001</v>
      </c>
      <c r="Q738" s="12" t="s">
        <v>1</v>
      </c>
    </row>
    <row r="739" spans="1:17" x14ac:dyDescent="0.25">
      <c r="A739" s="12">
        <f t="shared" si="11"/>
        <v>738</v>
      </c>
      <c r="B739" s="12">
        <v>0.54614799999999997</v>
      </c>
      <c r="C739" s="12">
        <v>9.0539500000000003E-4</v>
      </c>
      <c r="D739" s="12">
        <v>0.20699000000000001</v>
      </c>
      <c r="E739" s="12">
        <v>4.1499038386513396</v>
      </c>
      <c r="F739" s="12">
        <v>132.25</v>
      </c>
      <c r="G739" s="12">
        <v>40.521421441921497</v>
      </c>
      <c r="H739" s="12" t="s">
        <v>0</v>
      </c>
      <c r="I739" s="12">
        <v>0.73691799999999996</v>
      </c>
      <c r="J739" s="12">
        <v>100.4526975</v>
      </c>
      <c r="K739" s="12">
        <v>132.1241</v>
      </c>
      <c r="L739" s="12" t="s">
        <v>1</v>
      </c>
      <c r="M739" s="12" t="s">
        <v>0</v>
      </c>
      <c r="N739" s="12">
        <v>12.037131276734801</v>
      </c>
      <c r="O739" s="12">
        <v>19.5</v>
      </c>
      <c r="P739" s="12">
        <v>4976.54</v>
      </c>
      <c r="Q739" s="12" t="s">
        <v>1</v>
      </c>
    </row>
    <row r="740" spans="1:17" x14ac:dyDescent="0.25">
      <c r="A740" s="12">
        <f t="shared" si="11"/>
        <v>739</v>
      </c>
      <c r="B740" s="12">
        <v>0.530219</v>
      </c>
      <c r="C740" s="12">
        <v>-9.6120899999999995E-2</v>
      </c>
      <c r="D740" s="12">
        <v>0.119182</v>
      </c>
      <c r="E740" s="12">
        <v>14.2592591667216</v>
      </c>
      <c r="F740" s="12">
        <v>210.25</v>
      </c>
      <c r="G740" s="12">
        <v>84.918497206980604</v>
      </c>
      <c r="H740" s="12" t="s">
        <v>0</v>
      </c>
      <c r="I740" s="12">
        <v>0.72417500000000001</v>
      </c>
      <c r="J740" s="12">
        <v>51.939549999999997</v>
      </c>
      <c r="K740" s="12">
        <v>80.31738</v>
      </c>
      <c r="L740" s="12" t="s">
        <v>1</v>
      </c>
      <c r="M740" s="12" t="s">
        <v>0</v>
      </c>
      <c r="N740" s="12">
        <v>6.2238565749270496</v>
      </c>
      <c r="O740" s="12">
        <v>22.5</v>
      </c>
      <c r="P740" s="12">
        <v>3936.48</v>
      </c>
      <c r="Q740" s="12" t="s">
        <v>1</v>
      </c>
    </row>
    <row r="741" spans="1:17" x14ac:dyDescent="0.25">
      <c r="A741" s="12">
        <f t="shared" si="11"/>
        <v>740</v>
      </c>
      <c r="B741" s="12">
        <v>0.98527699999999996</v>
      </c>
      <c r="C741" s="12">
        <v>5.6956800000000002E-2</v>
      </c>
      <c r="D741" s="12">
        <v>0.68458600000000003</v>
      </c>
      <c r="E741" s="12">
        <v>29.110546113813498</v>
      </c>
      <c r="F741" s="12">
        <v>56.25</v>
      </c>
      <c r="G741" s="12">
        <v>209.026634088196</v>
      </c>
      <c r="H741" s="12" t="s">
        <v>0</v>
      </c>
      <c r="I741" s="12">
        <v>1.0882210000000001</v>
      </c>
      <c r="J741" s="12">
        <v>128.47839999999999</v>
      </c>
      <c r="K741" s="12">
        <v>413.90573999999998</v>
      </c>
      <c r="L741" s="12" t="s">
        <v>1</v>
      </c>
      <c r="M741" s="12" t="s">
        <v>0</v>
      </c>
      <c r="N741" s="12">
        <v>15.395418993351001</v>
      </c>
      <c r="O741" s="12">
        <v>15.5</v>
      </c>
      <c r="P741" s="12">
        <v>2022.92</v>
      </c>
      <c r="Q741" s="12" t="s">
        <v>1</v>
      </c>
    </row>
    <row r="742" spans="1:17" x14ac:dyDescent="0.25">
      <c r="A742" s="12">
        <f t="shared" si="11"/>
        <v>741</v>
      </c>
      <c r="B742" s="12">
        <v>1.03034</v>
      </c>
      <c r="C742" s="12">
        <v>0.106253</v>
      </c>
      <c r="D742" s="12">
        <v>0.646791</v>
      </c>
      <c r="E742" s="12">
        <v>69.705341551199496</v>
      </c>
      <c r="F742" s="12">
        <v>49</v>
      </c>
      <c r="G742" s="12">
        <v>174.216855563145</v>
      </c>
      <c r="H742" s="12" t="s">
        <v>0</v>
      </c>
      <c r="I742" s="12">
        <v>1.1242700000000001</v>
      </c>
      <c r="J742" s="12">
        <v>153.12649999999999</v>
      </c>
      <c r="K742" s="12">
        <v>391.60669000000001</v>
      </c>
      <c r="L742" s="12" t="s">
        <v>1</v>
      </c>
      <c r="M742" s="12" t="s">
        <v>0</v>
      </c>
      <c r="N742" s="12">
        <v>18.348972484755201</v>
      </c>
      <c r="O742" s="12">
        <v>15</v>
      </c>
      <c r="P742" s="12">
        <v>2482.3200000000002</v>
      </c>
      <c r="Q742" s="12" t="s">
        <v>1</v>
      </c>
    </row>
    <row r="743" spans="1:17" x14ac:dyDescent="0.25">
      <c r="A743" s="12">
        <f t="shared" si="11"/>
        <v>742</v>
      </c>
      <c r="B743" s="12">
        <v>0.99056900000000003</v>
      </c>
      <c r="C743" s="12">
        <v>7.1348499999999995E-2</v>
      </c>
      <c r="D743" s="12">
        <v>0.52140600000000004</v>
      </c>
      <c r="E743" s="12">
        <v>39.158676972657098</v>
      </c>
      <c r="F743" s="12">
        <v>56.25</v>
      </c>
      <c r="G743" s="12">
        <v>151.25765104447299</v>
      </c>
      <c r="H743" s="12" t="s">
        <v>0</v>
      </c>
      <c r="I743" s="12">
        <v>1.092455</v>
      </c>
      <c r="J743" s="12">
        <v>135.67425</v>
      </c>
      <c r="K743" s="12">
        <v>317.62954000000002</v>
      </c>
      <c r="L743" s="12" t="s">
        <v>1</v>
      </c>
      <c r="M743" s="12" t="s">
        <v>0</v>
      </c>
      <c r="N743" s="12">
        <v>16.257689427628701</v>
      </c>
      <c r="O743" s="12">
        <v>15.5</v>
      </c>
      <c r="P743" s="12">
        <v>2810.98</v>
      </c>
      <c r="Q743" s="12" t="s">
        <v>1</v>
      </c>
    </row>
    <row r="744" spans="1:17" x14ac:dyDescent="0.25">
      <c r="A744" s="12">
        <f t="shared" si="11"/>
        <v>743</v>
      </c>
      <c r="B744" s="12">
        <v>0.81504699999999997</v>
      </c>
      <c r="C744" s="12">
        <v>3.6529300000000001E-2</v>
      </c>
      <c r="D744" s="12">
        <v>0.67632700000000001</v>
      </c>
      <c r="E744" s="12">
        <v>17.401554673465899</v>
      </c>
      <c r="F744" s="12">
        <v>72.25</v>
      </c>
      <c r="G744" s="12">
        <v>213.034418501782</v>
      </c>
      <c r="H744" s="12" t="s">
        <v>0</v>
      </c>
      <c r="I744" s="12">
        <v>0.95203700000000002</v>
      </c>
      <c r="J744" s="12">
        <v>118.26465</v>
      </c>
      <c r="K744" s="12">
        <v>409.03293000000002</v>
      </c>
      <c r="L744" s="12" t="s">
        <v>1</v>
      </c>
      <c r="M744" s="12" t="s">
        <v>0</v>
      </c>
      <c r="N744" s="12">
        <v>14.1715170709786</v>
      </c>
      <c r="O744" s="12">
        <v>16.5</v>
      </c>
      <c r="P744" s="12">
        <v>1972.57</v>
      </c>
      <c r="Q744" s="12" t="s">
        <v>1</v>
      </c>
    </row>
    <row r="745" spans="1:17" x14ac:dyDescent="0.25">
      <c r="A745" s="12">
        <f t="shared" si="11"/>
        <v>744</v>
      </c>
      <c r="B745" s="12">
        <v>3.8540499999999998E-2</v>
      </c>
      <c r="C745" s="12">
        <v>4.3412499999999996E-3</v>
      </c>
      <c r="D745" s="12">
        <v>8.6211499999999996E-2</v>
      </c>
      <c r="E745" s="12">
        <v>5.0309976551667903</v>
      </c>
      <c r="F745" s="12">
        <v>110.25</v>
      </c>
      <c r="G745" s="12">
        <v>23.547487454306602</v>
      </c>
      <c r="H745" s="12" t="s">
        <v>0</v>
      </c>
      <c r="I745" s="12">
        <v>0.33083240000000003</v>
      </c>
      <c r="J745" s="12">
        <v>102.170625</v>
      </c>
      <c r="K745" s="12">
        <v>60.864784999999998</v>
      </c>
      <c r="L745" s="12" t="s">
        <v>1</v>
      </c>
      <c r="M745" s="12" t="s">
        <v>0</v>
      </c>
      <c r="N745" s="12">
        <v>12.2429885543994</v>
      </c>
      <c r="O745" s="12">
        <v>18.5</v>
      </c>
      <c r="P745" s="12">
        <v>5528.81</v>
      </c>
      <c r="Q745" s="12" t="s">
        <v>1</v>
      </c>
    </row>
    <row r="746" spans="1:17" x14ac:dyDescent="0.25">
      <c r="A746" s="12">
        <f t="shared" si="11"/>
        <v>745</v>
      </c>
      <c r="B746" s="12">
        <v>1.1032299999999999</v>
      </c>
      <c r="C746" s="12">
        <v>0.136321</v>
      </c>
      <c r="D746" s="12">
        <v>0.77661100000000005</v>
      </c>
      <c r="E746" s="12">
        <v>103.032232537517</v>
      </c>
      <c r="F746" s="12">
        <v>36</v>
      </c>
      <c r="G746" s="12">
        <v>149.163726519797</v>
      </c>
      <c r="H746" s="12" t="s">
        <v>0</v>
      </c>
      <c r="I746" s="12">
        <v>1.18258</v>
      </c>
      <c r="J746" s="12">
        <v>168.16050000000001</v>
      </c>
      <c r="K746" s="12">
        <v>468.20049</v>
      </c>
      <c r="L746" s="12" t="s">
        <v>1</v>
      </c>
      <c r="M746" s="12" t="s">
        <v>0</v>
      </c>
      <c r="N746" s="12">
        <v>20.1504794240231</v>
      </c>
      <c r="O746" s="12">
        <v>14</v>
      </c>
      <c r="P746" s="12">
        <v>2842.16</v>
      </c>
      <c r="Q746" s="12" t="s">
        <v>1</v>
      </c>
    </row>
    <row r="747" spans="1:17" x14ac:dyDescent="0.25">
      <c r="A747" s="12">
        <f t="shared" si="11"/>
        <v>746</v>
      </c>
      <c r="B747" s="12">
        <v>1.03633</v>
      </c>
      <c r="C747" s="12">
        <v>9.1675199999999998E-2</v>
      </c>
      <c r="D747" s="12">
        <v>0.62748199999999998</v>
      </c>
      <c r="E747" s="12">
        <v>55.883877344878798</v>
      </c>
      <c r="F747" s="12">
        <v>49</v>
      </c>
      <c r="G747" s="12">
        <v>177.47130419140501</v>
      </c>
      <c r="H747" s="12" t="s">
        <v>0</v>
      </c>
      <c r="I747" s="12">
        <v>1.12906</v>
      </c>
      <c r="J747" s="12">
        <v>145.83760000000001</v>
      </c>
      <c r="K747" s="12">
        <v>380.21438000000001</v>
      </c>
      <c r="L747" s="12" t="s">
        <v>1</v>
      </c>
      <c r="M747" s="12" t="s">
        <v>0</v>
      </c>
      <c r="N747" s="12">
        <v>17.4755519759332</v>
      </c>
      <c r="O747" s="12">
        <v>15</v>
      </c>
      <c r="P747" s="12">
        <v>2437.5300000000002</v>
      </c>
      <c r="Q747" s="12" t="s">
        <v>1</v>
      </c>
    </row>
    <row r="748" spans="1:17" x14ac:dyDescent="0.25">
      <c r="A748" s="12">
        <f t="shared" si="11"/>
        <v>747</v>
      </c>
      <c r="B748" s="12">
        <v>1.2302</v>
      </c>
      <c r="C748" s="12">
        <v>0.69090600000000002</v>
      </c>
      <c r="D748" s="12">
        <v>0.88719700000000001</v>
      </c>
      <c r="E748" s="12">
        <v>1881.6613786267401</v>
      </c>
      <c r="F748" s="12">
        <v>20.25</v>
      </c>
      <c r="G748" s="12">
        <v>3.1974338817789398</v>
      </c>
      <c r="H748" s="12" t="s">
        <v>0</v>
      </c>
      <c r="I748" s="12">
        <v>1.2841</v>
      </c>
      <c r="J748" s="12">
        <v>445.45299999999997</v>
      </c>
      <c r="K748" s="12">
        <v>533.44623000000001</v>
      </c>
      <c r="L748" s="12" t="s">
        <v>1</v>
      </c>
      <c r="M748" s="12" t="s">
        <v>0</v>
      </c>
      <c r="N748" s="12">
        <v>53.378120966989101</v>
      </c>
      <c r="O748" s="12">
        <v>12.5</v>
      </c>
      <c r="P748" s="12">
        <v>7952.67</v>
      </c>
      <c r="Q748" s="12" t="s">
        <v>1</v>
      </c>
    </row>
    <row r="749" spans="1:17" x14ac:dyDescent="0.25">
      <c r="A749" s="12">
        <f t="shared" si="11"/>
        <v>748</v>
      </c>
      <c r="B749" s="12">
        <v>0.50305299999999997</v>
      </c>
      <c r="C749" s="12">
        <v>-2.0377300000000001E-2</v>
      </c>
      <c r="D749" s="12">
        <v>0.13814499999999999</v>
      </c>
      <c r="E749" s="12">
        <v>0.58063003633717403</v>
      </c>
      <c r="F749" s="12">
        <v>132.25</v>
      </c>
      <c r="G749" s="12">
        <v>6.5738150167010598</v>
      </c>
      <c r="H749" s="12" t="s">
        <v>0</v>
      </c>
      <c r="I749" s="12">
        <v>0.70244200000000001</v>
      </c>
      <c r="J749" s="12">
        <v>89.811350000000004</v>
      </c>
      <c r="K749" s="12">
        <v>91.505549999999999</v>
      </c>
      <c r="L749" s="12" t="s">
        <v>1</v>
      </c>
      <c r="M749" s="12" t="s">
        <v>0</v>
      </c>
      <c r="N749" s="12">
        <v>10.7619908374364</v>
      </c>
      <c r="O749" s="12">
        <v>19.5</v>
      </c>
      <c r="P749" s="12">
        <v>6364.16</v>
      </c>
      <c r="Q749" s="12" t="s">
        <v>1</v>
      </c>
    </row>
    <row r="750" spans="1:17" x14ac:dyDescent="0.25">
      <c r="A750" s="12">
        <f t="shared" si="11"/>
        <v>749</v>
      </c>
      <c r="B750" s="12">
        <v>1.0296000000000001</v>
      </c>
      <c r="C750" s="12">
        <v>7.5649300000000003E-2</v>
      </c>
      <c r="D750" s="12">
        <v>0.61594400000000005</v>
      </c>
      <c r="E750" s="12">
        <v>42.450038260337401</v>
      </c>
      <c r="F750" s="12">
        <v>49</v>
      </c>
      <c r="G750" s="12">
        <v>183.77627808669499</v>
      </c>
      <c r="H750" s="12" t="s">
        <v>0</v>
      </c>
      <c r="I750" s="12">
        <v>1.1235999999999999</v>
      </c>
      <c r="J750" s="12">
        <v>137.82464999999999</v>
      </c>
      <c r="K750" s="12">
        <v>373.40696000000003</v>
      </c>
      <c r="L750" s="12" t="s">
        <v>1</v>
      </c>
      <c r="M750" s="12" t="s">
        <v>0</v>
      </c>
      <c r="N750" s="12">
        <v>16.5153693878657</v>
      </c>
      <c r="O750" s="12">
        <v>15</v>
      </c>
      <c r="P750" s="12">
        <v>2351.91</v>
      </c>
      <c r="Q750" s="12" t="s">
        <v>1</v>
      </c>
    </row>
    <row r="751" spans="1:17" x14ac:dyDescent="0.25">
      <c r="A751" s="12">
        <f t="shared" si="11"/>
        <v>750</v>
      </c>
      <c r="B751" s="12">
        <v>0.98693500000000001</v>
      </c>
      <c r="C751" s="12">
        <v>-4.13532E-2</v>
      </c>
      <c r="D751" s="12">
        <v>0.662547</v>
      </c>
      <c r="E751" s="12">
        <v>0.24479552795276099</v>
      </c>
      <c r="F751" s="12">
        <v>100</v>
      </c>
      <c r="G751" s="12">
        <v>306.80449734208997</v>
      </c>
      <c r="H751" s="12" t="s">
        <v>0</v>
      </c>
      <c r="I751" s="12">
        <v>1.089548</v>
      </c>
      <c r="J751" s="12">
        <v>79.323400000000007</v>
      </c>
      <c r="K751" s="12">
        <v>400.90273000000002</v>
      </c>
      <c r="L751" s="12" t="s">
        <v>1</v>
      </c>
      <c r="M751" s="12" t="s">
        <v>0</v>
      </c>
      <c r="N751" s="12">
        <v>9.5052318442414006</v>
      </c>
      <c r="O751" s="12">
        <v>18</v>
      </c>
      <c r="P751" s="12">
        <v>906.72</v>
      </c>
      <c r="Q751" s="12" t="s">
        <v>1</v>
      </c>
    </row>
    <row r="752" spans="1:17" x14ac:dyDescent="0.25">
      <c r="A752" s="12">
        <f t="shared" si="11"/>
        <v>751</v>
      </c>
      <c r="B752" s="12">
        <v>1.1077399999999999</v>
      </c>
      <c r="C752" s="12">
        <v>0.34747499999999998</v>
      </c>
      <c r="D752" s="12">
        <v>0.56643699999999997</v>
      </c>
      <c r="E752" s="12">
        <v>519.91524177565202</v>
      </c>
      <c r="F752" s="12">
        <v>30.25</v>
      </c>
      <c r="G752" s="12">
        <v>21.447556666541502</v>
      </c>
      <c r="H752" s="12" t="s">
        <v>0</v>
      </c>
      <c r="I752" s="12">
        <v>1.1861900000000001</v>
      </c>
      <c r="J752" s="12">
        <v>273.73750000000001</v>
      </c>
      <c r="K752" s="12">
        <v>344.19783000000001</v>
      </c>
      <c r="L752" s="12" t="s">
        <v>1</v>
      </c>
      <c r="M752" s="12" t="s">
        <v>0</v>
      </c>
      <c r="N752" s="12">
        <v>32.801649979237197</v>
      </c>
      <c r="O752" s="12">
        <v>13.5</v>
      </c>
      <c r="P752" s="12">
        <v>5609.63</v>
      </c>
      <c r="Q752" s="12" t="s">
        <v>1</v>
      </c>
    </row>
    <row r="753" spans="1:17" x14ac:dyDescent="0.25">
      <c r="A753" s="12">
        <f t="shared" si="11"/>
        <v>752</v>
      </c>
      <c r="B753" s="12">
        <v>0.97041500000000003</v>
      </c>
      <c r="C753" s="12">
        <v>0.105874</v>
      </c>
      <c r="D753" s="12">
        <v>0.58579700000000001</v>
      </c>
      <c r="E753" s="12">
        <v>69.326687477635701</v>
      </c>
      <c r="F753" s="12">
        <v>42.25</v>
      </c>
      <c r="G753" s="12">
        <v>111.711579301182</v>
      </c>
      <c r="H753" s="12" t="s">
        <v>0</v>
      </c>
      <c r="I753" s="12">
        <v>1.0763320000000001</v>
      </c>
      <c r="J753" s="12">
        <v>152.93700000000001</v>
      </c>
      <c r="K753" s="12">
        <v>355.62022999999999</v>
      </c>
      <c r="L753" s="12" t="s">
        <v>1</v>
      </c>
      <c r="M753" s="12" t="s">
        <v>0</v>
      </c>
      <c r="N753" s="12">
        <v>18.326264917574701</v>
      </c>
      <c r="O753" s="12">
        <v>14.5</v>
      </c>
      <c r="P753" s="12">
        <v>3442.18</v>
      </c>
      <c r="Q753" s="12" t="s">
        <v>1</v>
      </c>
    </row>
    <row r="754" spans="1:17" x14ac:dyDescent="0.25">
      <c r="A754" s="12">
        <f t="shared" si="11"/>
        <v>753</v>
      </c>
      <c r="B754" s="12">
        <v>0.137846</v>
      </c>
      <c r="C754" s="12">
        <v>-2.7607199999999998E-2</v>
      </c>
      <c r="D754" s="12">
        <v>0.208874</v>
      </c>
      <c r="E754" s="12">
        <v>0.108119655476592</v>
      </c>
      <c r="F754" s="12">
        <v>132.25</v>
      </c>
      <c r="G754" s="12">
        <v>126.051373259523</v>
      </c>
      <c r="H754" s="12" t="s">
        <v>0</v>
      </c>
      <c r="I754" s="12">
        <v>0.41027599999999997</v>
      </c>
      <c r="J754" s="12">
        <v>86.196399999999997</v>
      </c>
      <c r="K754" s="12">
        <v>133.23566</v>
      </c>
      <c r="L754" s="12" t="s">
        <v>1</v>
      </c>
      <c r="M754" s="12" t="s">
        <v>0</v>
      </c>
      <c r="N754" s="12">
        <v>10.328815534116901</v>
      </c>
      <c r="O754" s="12">
        <v>19.5</v>
      </c>
      <c r="P754" s="12">
        <v>3202.05</v>
      </c>
      <c r="Q754" s="12" t="s">
        <v>1</v>
      </c>
    </row>
    <row r="755" spans="1:17" x14ac:dyDescent="0.25">
      <c r="A755" s="12">
        <f t="shared" si="11"/>
        <v>754</v>
      </c>
      <c r="B755" s="12">
        <v>1.0345299999999999</v>
      </c>
      <c r="C755" s="12">
        <v>-1.3486400000000001E-2</v>
      </c>
      <c r="D755" s="12">
        <v>0.79533399999999999</v>
      </c>
      <c r="E755" s="12">
        <v>1.3802846248601699</v>
      </c>
      <c r="F755" s="12">
        <v>81</v>
      </c>
      <c r="G755" s="12">
        <v>301.52819137916299</v>
      </c>
      <c r="H755" s="12" t="s">
        <v>0</v>
      </c>
      <c r="I755" s="12">
        <v>1.1276200000000001</v>
      </c>
      <c r="J755" s="12">
        <v>93.256799999999998</v>
      </c>
      <c r="K755" s="12">
        <v>479.24705999999998</v>
      </c>
      <c r="L755" s="12" t="s">
        <v>1</v>
      </c>
      <c r="M755" s="12" t="s">
        <v>0</v>
      </c>
      <c r="N755" s="12">
        <v>11.1748551505867</v>
      </c>
      <c r="O755" s="12">
        <v>17</v>
      </c>
      <c r="P755" s="12">
        <v>961.93299999999999</v>
      </c>
      <c r="Q755" s="12" t="s">
        <v>1</v>
      </c>
    </row>
    <row r="756" spans="1:17" x14ac:dyDescent="0.25">
      <c r="A756" s="12">
        <f t="shared" si="11"/>
        <v>755</v>
      </c>
      <c r="B756" s="12">
        <v>0.89550600000000002</v>
      </c>
      <c r="C756" s="12">
        <v>0.190191</v>
      </c>
      <c r="D756" s="12">
        <v>0.36501499999999998</v>
      </c>
      <c r="E756" s="12">
        <v>178.97274391513201</v>
      </c>
      <c r="F756" s="12">
        <v>42.25</v>
      </c>
      <c r="G756" s="12">
        <v>7.9836437785700802</v>
      </c>
      <c r="H756" s="12" t="s">
        <v>0</v>
      </c>
      <c r="I756" s="12">
        <v>1.0164040000000001</v>
      </c>
      <c r="J756" s="12">
        <v>195.09549999999999</v>
      </c>
      <c r="K756" s="12">
        <v>225.35884999999999</v>
      </c>
      <c r="L756" s="12" t="s">
        <v>1</v>
      </c>
      <c r="M756" s="12" t="s">
        <v>0</v>
      </c>
      <c r="N756" s="12">
        <v>23.378069513765102</v>
      </c>
      <c r="O756" s="12">
        <v>14.5</v>
      </c>
      <c r="P756" s="12">
        <v>6268.68</v>
      </c>
      <c r="Q756" s="12" t="s">
        <v>1</v>
      </c>
    </row>
    <row r="757" spans="1:17" x14ac:dyDescent="0.25">
      <c r="A757" s="12">
        <f t="shared" si="11"/>
        <v>756</v>
      </c>
      <c r="B757" s="12">
        <v>1.07283</v>
      </c>
      <c r="C757" s="12">
        <v>1.17109E-2</v>
      </c>
      <c r="D757" s="12">
        <v>0.697349</v>
      </c>
      <c r="E757" s="12">
        <v>7.2067383602221797</v>
      </c>
      <c r="F757" s="12">
        <v>56.25</v>
      </c>
      <c r="G757" s="12">
        <v>265.33018217977099</v>
      </c>
      <c r="H757" s="12" t="s">
        <v>0</v>
      </c>
      <c r="I757" s="12">
        <v>1.1582600000000001</v>
      </c>
      <c r="J757" s="12">
        <v>105.85545</v>
      </c>
      <c r="K757" s="12">
        <v>421.43590999999998</v>
      </c>
      <c r="L757" s="12" t="s">
        <v>1</v>
      </c>
      <c r="M757" s="12" t="s">
        <v>0</v>
      </c>
      <c r="N757" s="12">
        <v>12.684536898651601</v>
      </c>
      <c r="O757" s="12">
        <v>15.5</v>
      </c>
      <c r="P757" s="12">
        <v>1354.53</v>
      </c>
      <c r="Q757" s="12" t="s">
        <v>1</v>
      </c>
    </row>
    <row r="758" spans="1:17" x14ac:dyDescent="0.25">
      <c r="A758" s="12">
        <f t="shared" si="11"/>
        <v>757</v>
      </c>
      <c r="B758" s="12">
        <v>0.98134500000000002</v>
      </c>
      <c r="C758" s="12">
        <v>0.114952</v>
      </c>
      <c r="D758" s="12">
        <v>0.73236800000000002</v>
      </c>
      <c r="E758" s="12">
        <v>78.679881594502802</v>
      </c>
      <c r="F758" s="12">
        <v>42.25</v>
      </c>
      <c r="G758" s="12">
        <v>147.658452873709</v>
      </c>
      <c r="H758" s="12" t="s">
        <v>0</v>
      </c>
      <c r="I758" s="12">
        <v>1.0850759999999999</v>
      </c>
      <c r="J758" s="12">
        <v>157.476</v>
      </c>
      <c r="K758" s="12">
        <v>442.09712000000002</v>
      </c>
      <c r="L758" s="12" t="s">
        <v>1</v>
      </c>
      <c r="M758" s="12" t="s">
        <v>0</v>
      </c>
      <c r="N758" s="12">
        <v>18.870168070251101</v>
      </c>
      <c r="O758" s="12">
        <v>14.5</v>
      </c>
      <c r="P758" s="12">
        <v>2864.71</v>
      </c>
      <c r="Q758" s="12" t="s">
        <v>1</v>
      </c>
    </row>
    <row r="759" spans="1:17" x14ac:dyDescent="0.25">
      <c r="A759" s="12">
        <f t="shared" si="11"/>
        <v>758</v>
      </c>
      <c r="B759" s="12">
        <v>1.0171600000000001</v>
      </c>
      <c r="C759" s="12">
        <v>8.37701E-2</v>
      </c>
      <c r="D759" s="12">
        <v>0.64730100000000002</v>
      </c>
      <c r="E759" s="12">
        <v>49.026918033144298</v>
      </c>
      <c r="F759" s="12">
        <v>49</v>
      </c>
      <c r="G759" s="12">
        <v>188.089576824169</v>
      </c>
      <c r="H759" s="12" t="s">
        <v>0</v>
      </c>
      <c r="I759" s="12">
        <v>1.11372</v>
      </c>
      <c r="J759" s="12">
        <v>141.88505000000001</v>
      </c>
      <c r="K759" s="12">
        <v>391.90759000000003</v>
      </c>
      <c r="L759" s="12" t="s">
        <v>1</v>
      </c>
      <c r="M759" s="12" t="s">
        <v>0</v>
      </c>
      <c r="N759" s="12">
        <v>17.001922452665699</v>
      </c>
      <c r="O759" s="12">
        <v>15</v>
      </c>
      <c r="P759" s="12">
        <v>2294.1799999999998</v>
      </c>
      <c r="Q759" s="12" t="s">
        <v>1</v>
      </c>
    </row>
    <row r="760" spans="1:17" x14ac:dyDescent="0.25">
      <c r="A760" s="12">
        <f t="shared" si="11"/>
        <v>759</v>
      </c>
      <c r="B760" s="12">
        <v>0.57511599999999996</v>
      </c>
      <c r="C760" s="12">
        <v>1.4263400000000001E-2</v>
      </c>
      <c r="D760" s="12">
        <v>0.225634</v>
      </c>
      <c r="E760" s="12">
        <v>8.0512273135594992</v>
      </c>
      <c r="F760" s="12">
        <v>110.25</v>
      </c>
      <c r="G760" s="12">
        <v>40.408836576468303</v>
      </c>
      <c r="H760" s="12" t="s">
        <v>0</v>
      </c>
      <c r="I760" s="12">
        <v>0.76009199999999999</v>
      </c>
      <c r="J760" s="12">
        <v>107.1317</v>
      </c>
      <c r="K760" s="12">
        <v>143.12405999999999</v>
      </c>
      <c r="L760" s="12" t="s">
        <v>1</v>
      </c>
      <c r="M760" s="12" t="s">
        <v>0</v>
      </c>
      <c r="N760" s="12">
        <v>12.8374684691745</v>
      </c>
      <c r="O760" s="12">
        <v>18.5</v>
      </c>
      <c r="P760" s="12">
        <v>4979.7700000000004</v>
      </c>
      <c r="Q760" s="12" t="s">
        <v>1</v>
      </c>
    </row>
    <row r="761" spans="1:17" x14ac:dyDescent="0.25">
      <c r="A761" s="12">
        <f t="shared" si="11"/>
        <v>760</v>
      </c>
      <c r="B761" s="12">
        <v>1.0660799999999999</v>
      </c>
      <c r="C761" s="12">
        <v>-1.1938600000000001E-2</v>
      </c>
      <c r="D761" s="12">
        <v>0.62314700000000001</v>
      </c>
      <c r="E761" s="12">
        <v>1.60678617773848</v>
      </c>
      <c r="F761" s="12">
        <v>72.25</v>
      </c>
      <c r="G761" s="12">
        <v>282.41953539125501</v>
      </c>
      <c r="H761" s="12" t="s">
        <v>0</v>
      </c>
      <c r="I761" s="12">
        <v>1.15286</v>
      </c>
      <c r="J761" s="12">
        <v>94.030699999999996</v>
      </c>
      <c r="K761" s="12">
        <v>377.65672999999998</v>
      </c>
      <c r="L761" s="12" t="s">
        <v>1</v>
      </c>
      <c r="M761" s="12" t="s">
        <v>0</v>
      </c>
      <c r="N761" s="12">
        <v>11.2675906980324</v>
      </c>
      <c r="O761" s="12">
        <v>16.5</v>
      </c>
      <c r="P761" s="12">
        <v>1166.05</v>
      </c>
      <c r="Q761" s="12" t="s">
        <v>1</v>
      </c>
    </row>
    <row r="762" spans="1:17" x14ac:dyDescent="0.25">
      <c r="A762" s="12">
        <f t="shared" si="11"/>
        <v>761</v>
      </c>
      <c r="B762" s="12">
        <v>1.05769</v>
      </c>
      <c r="C762" s="12">
        <v>0.15696199999999999</v>
      </c>
      <c r="D762" s="12">
        <v>0.66093900000000005</v>
      </c>
      <c r="E762" s="12">
        <v>129.66771066716299</v>
      </c>
      <c r="F762" s="12">
        <v>36</v>
      </c>
      <c r="G762" s="12">
        <v>110.022856839932</v>
      </c>
      <c r="H762" s="12" t="s">
        <v>0</v>
      </c>
      <c r="I762" s="12">
        <v>1.14615</v>
      </c>
      <c r="J762" s="12">
        <v>178.48099999999999</v>
      </c>
      <c r="K762" s="12">
        <v>399.95400999999998</v>
      </c>
      <c r="L762" s="12" t="s">
        <v>1</v>
      </c>
      <c r="M762" s="12" t="s">
        <v>0</v>
      </c>
      <c r="N762" s="12">
        <v>21.3871730761925</v>
      </c>
      <c r="O762" s="12">
        <v>14</v>
      </c>
      <c r="P762" s="12">
        <v>3471.45</v>
      </c>
      <c r="Q762" s="12" t="s">
        <v>1</v>
      </c>
    </row>
    <row r="763" spans="1:17" x14ac:dyDescent="0.25">
      <c r="A763" s="12">
        <f t="shared" si="11"/>
        <v>762</v>
      </c>
      <c r="B763" s="12">
        <v>0.93249700000000002</v>
      </c>
      <c r="C763" s="12">
        <v>0.288524</v>
      </c>
      <c r="D763" s="12">
        <v>0.62505500000000003</v>
      </c>
      <c r="E763" s="12">
        <v>371.31882126549903</v>
      </c>
      <c r="F763" s="12">
        <v>42.25</v>
      </c>
      <c r="G763" s="12">
        <v>44.395021357853203</v>
      </c>
      <c r="H763" s="12" t="s">
        <v>0</v>
      </c>
      <c r="I763" s="12">
        <v>1.0459970000000001</v>
      </c>
      <c r="J763" s="12">
        <v>244.262</v>
      </c>
      <c r="K763" s="12">
        <v>378.78244999999998</v>
      </c>
      <c r="L763" s="12" t="s">
        <v>1</v>
      </c>
      <c r="M763" s="12" t="s">
        <v>0</v>
      </c>
      <c r="N763" s="12">
        <v>29.269634694656201</v>
      </c>
      <c r="O763" s="12">
        <v>14.5</v>
      </c>
      <c r="P763" s="12">
        <v>4868.0200000000004</v>
      </c>
      <c r="Q763" s="12" t="s">
        <v>1</v>
      </c>
    </row>
    <row r="764" spans="1:17" x14ac:dyDescent="0.25">
      <c r="A764" s="12">
        <f t="shared" si="11"/>
        <v>763</v>
      </c>
      <c r="B764" s="12">
        <v>0.210565</v>
      </c>
      <c r="C764" s="12">
        <v>6.5054400000000004E-3</v>
      </c>
      <c r="D764" s="12">
        <v>9.6895899999999993E-2</v>
      </c>
      <c r="E764" s="12">
        <v>5.6294905837784199</v>
      </c>
      <c r="F764" s="12">
        <v>132.25</v>
      </c>
      <c r="G764" s="12">
        <v>2.2465002814787001E-5</v>
      </c>
      <c r="H764" s="12" t="s">
        <v>0</v>
      </c>
      <c r="I764" s="12">
        <v>0.46845199999999998</v>
      </c>
      <c r="J764" s="12">
        <v>103.25272</v>
      </c>
      <c r="K764" s="12">
        <v>67.168581000000003</v>
      </c>
      <c r="L764" s="12" t="s">
        <v>1</v>
      </c>
      <c r="M764" s="12" t="s">
        <v>0</v>
      </c>
      <c r="N764" s="12">
        <v>12.372654754442401</v>
      </c>
      <c r="O764" s="12">
        <v>19.5</v>
      </c>
      <c r="P764" s="12">
        <v>7301.73</v>
      </c>
      <c r="Q764" s="12" t="s">
        <v>1</v>
      </c>
    </row>
    <row r="765" spans="1:17" x14ac:dyDescent="0.25">
      <c r="A765" s="12">
        <f t="shared" si="11"/>
        <v>764</v>
      </c>
      <c r="B765" s="12">
        <v>0.54718199999999995</v>
      </c>
      <c r="C765" s="12">
        <v>0.10179199999999999</v>
      </c>
      <c r="D765" s="12">
        <v>0.270702</v>
      </c>
      <c r="E765" s="12">
        <v>65.313781685221002</v>
      </c>
      <c r="F765" s="12">
        <v>81</v>
      </c>
      <c r="G765" s="12">
        <v>6.8744529930568496E-2</v>
      </c>
      <c r="H765" s="12" t="s">
        <v>0</v>
      </c>
      <c r="I765" s="12">
        <v>0.73774499999999998</v>
      </c>
      <c r="J765" s="12">
        <v>150.89599999999999</v>
      </c>
      <c r="K765" s="12">
        <v>169.71418</v>
      </c>
      <c r="L765" s="12" t="s">
        <v>1</v>
      </c>
      <c r="M765" s="12" t="s">
        <v>0</v>
      </c>
      <c r="N765" s="12">
        <v>18.081694233588699</v>
      </c>
      <c r="O765" s="12">
        <v>17</v>
      </c>
      <c r="P765" s="12">
        <v>7395.7</v>
      </c>
      <c r="Q765" s="12" t="s">
        <v>1</v>
      </c>
    </row>
    <row r="766" spans="1:17" x14ac:dyDescent="0.25">
      <c r="A766" s="12">
        <f t="shared" si="11"/>
        <v>765</v>
      </c>
      <c r="B766" s="12">
        <v>0.445828</v>
      </c>
      <c r="C766" s="12">
        <v>7.2952299999999998E-2</v>
      </c>
      <c r="D766" s="12">
        <v>0.202153</v>
      </c>
      <c r="E766" s="12">
        <v>40.3705226124872</v>
      </c>
      <c r="F766" s="12">
        <v>90.25</v>
      </c>
      <c r="G766" s="12">
        <v>6.6374699163069897</v>
      </c>
      <c r="H766" s="12" t="s">
        <v>0</v>
      </c>
      <c r="I766" s="12">
        <v>0.65666199999999997</v>
      </c>
      <c r="J766" s="12">
        <v>136.47614999999999</v>
      </c>
      <c r="K766" s="12">
        <v>129.27027000000001</v>
      </c>
      <c r="L766" s="12" t="s">
        <v>1</v>
      </c>
      <c r="M766" s="12" t="s">
        <v>0</v>
      </c>
      <c r="N766" s="12">
        <v>16.353780182890102</v>
      </c>
      <c r="O766" s="12">
        <v>17.5</v>
      </c>
      <c r="P766" s="12">
        <v>8240.36</v>
      </c>
      <c r="Q766" s="12" t="s">
        <v>1</v>
      </c>
    </row>
    <row r="767" spans="1:17" x14ac:dyDescent="0.25">
      <c r="A767" s="12">
        <f t="shared" si="11"/>
        <v>766</v>
      </c>
      <c r="B767" s="12">
        <v>0.85218700000000003</v>
      </c>
      <c r="C767" s="12">
        <v>0.10212300000000001</v>
      </c>
      <c r="D767" s="12">
        <v>0.32392799999999999</v>
      </c>
      <c r="E767" s="12">
        <v>65.634722043760704</v>
      </c>
      <c r="F767" s="12">
        <v>64</v>
      </c>
      <c r="G767" s="12">
        <v>51.965533438919103</v>
      </c>
      <c r="H767" s="12" t="s">
        <v>0</v>
      </c>
      <c r="I767" s="12">
        <v>0.98174899999999998</v>
      </c>
      <c r="J767" s="12">
        <v>151.0615</v>
      </c>
      <c r="K767" s="12">
        <v>201.11752000000001</v>
      </c>
      <c r="L767" s="12" t="s">
        <v>1</v>
      </c>
      <c r="M767" s="12" t="s">
        <v>0</v>
      </c>
      <c r="N767" s="12">
        <v>18.1015259083558</v>
      </c>
      <c r="O767" s="12">
        <v>16</v>
      </c>
      <c r="P767" s="12">
        <v>4668.82</v>
      </c>
      <c r="Q767" s="12" t="s">
        <v>1</v>
      </c>
    </row>
    <row r="768" spans="1:17" x14ac:dyDescent="0.25">
      <c r="A768" s="12">
        <f t="shared" si="11"/>
        <v>767</v>
      </c>
      <c r="B768" s="12">
        <v>0.93539300000000003</v>
      </c>
      <c r="C768" s="12">
        <v>7.3979600000000006E-2</v>
      </c>
      <c r="D768" s="12">
        <v>0.54533100000000001</v>
      </c>
      <c r="E768" s="12">
        <v>41.156462498563997</v>
      </c>
      <c r="F768" s="12">
        <v>56.25</v>
      </c>
      <c r="G768" s="12">
        <v>157.82380616550901</v>
      </c>
      <c r="H768" s="12" t="s">
        <v>0</v>
      </c>
      <c r="I768" s="12">
        <v>1.048314</v>
      </c>
      <c r="J768" s="12">
        <v>136.9898</v>
      </c>
      <c r="K768" s="12">
        <v>331.74529000000001</v>
      </c>
      <c r="L768" s="12" t="s">
        <v>1</v>
      </c>
      <c r="M768" s="12" t="s">
        <v>0</v>
      </c>
      <c r="N768" s="12">
        <v>16.415330271978501</v>
      </c>
      <c r="O768" s="12">
        <v>15.5</v>
      </c>
      <c r="P768" s="12">
        <v>2714.58</v>
      </c>
      <c r="Q768" s="12" t="s">
        <v>1</v>
      </c>
    </row>
    <row r="769" spans="1:17" x14ac:dyDescent="0.25">
      <c r="A769" s="12">
        <f t="shared" si="11"/>
        <v>768</v>
      </c>
      <c r="B769" s="12">
        <v>0.82169099999999995</v>
      </c>
      <c r="C769" s="12">
        <v>7.8037800000000004E-2</v>
      </c>
      <c r="D769" s="12">
        <v>0.65423600000000004</v>
      </c>
      <c r="E769" s="12">
        <v>44.335289227651103</v>
      </c>
      <c r="F769" s="12">
        <v>56.25</v>
      </c>
      <c r="G769" s="12">
        <v>141.917937086883</v>
      </c>
      <c r="H769" s="12" t="s">
        <v>0</v>
      </c>
      <c r="I769" s="12">
        <v>0.95735199999999998</v>
      </c>
      <c r="J769" s="12">
        <v>139.0189</v>
      </c>
      <c r="K769" s="12">
        <v>395.99923999999999</v>
      </c>
      <c r="L769" s="12" t="s">
        <v>1</v>
      </c>
      <c r="M769" s="12" t="s">
        <v>0</v>
      </c>
      <c r="N769" s="12">
        <v>16.658474992642901</v>
      </c>
      <c r="O769" s="12">
        <v>15.5</v>
      </c>
      <c r="P769" s="12">
        <v>2951.78</v>
      </c>
      <c r="Q769" s="12" t="s">
        <v>1</v>
      </c>
    </row>
    <row r="770" spans="1:17" x14ac:dyDescent="0.25">
      <c r="A770" s="12">
        <f t="shared" si="11"/>
        <v>769</v>
      </c>
      <c r="B770" s="12">
        <v>1.1841200000000001</v>
      </c>
      <c r="C770" s="12">
        <v>-2.1138500000000001E-2</v>
      </c>
      <c r="D770" s="12">
        <v>0.58893799999999996</v>
      </c>
      <c r="E770" s="12">
        <v>0.51320600238005698</v>
      </c>
      <c r="F770" s="12">
        <v>64</v>
      </c>
      <c r="G770" s="12">
        <v>282.43887337661801</v>
      </c>
      <c r="H770" s="12" t="s">
        <v>0</v>
      </c>
      <c r="I770" s="12">
        <v>1.24729</v>
      </c>
      <c r="J770" s="12">
        <v>89.430750000000003</v>
      </c>
      <c r="K770" s="12">
        <v>357.47341999999998</v>
      </c>
      <c r="L770" s="12" t="s">
        <v>1</v>
      </c>
      <c r="M770" s="12" t="s">
        <v>0</v>
      </c>
      <c r="N770" s="12">
        <v>10.716383976914599</v>
      </c>
      <c r="O770" s="12">
        <v>16</v>
      </c>
      <c r="P770" s="12">
        <v>1165.8399999999999</v>
      </c>
      <c r="Q770" s="12" t="s">
        <v>1</v>
      </c>
    </row>
    <row r="771" spans="1:17" x14ac:dyDescent="0.25">
      <c r="A771" s="12">
        <f t="shared" si="11"/>
        <v>770</v>
      </c>
      <c r="B771" s="12">
        <v>0.94335599999999997</v>
      </c>
      <c r="C771" s="12">
        <v>0.36166900000000002</v>
      </c>
      <c r="D771" s="12">
        <v>0.57299100000000003</v>
      </c>
      <c r="E771" s="12">
        <v>559.42066749345395</v>
      </c>
      <c r="F771" s="12">
        <v>42.25</v>
      </c>
      <c r="G771" s="12">
        <v>15.5568649247513</v>
      </c>
      <c r="H771" s="12" t="s">
        <v>0</v>
      </c>
      <c r="I771" s="12">
        <v>1.054684</v>
      </c>
      <c r="J771" s="12">
        <v>280.83449999999999</v>
      </c>
      <c r="K771" s="12">
        <v>348.06468999999998</v>
      </c>
      <c r="L771" s="12" t="s">
        <v>1</v>
      </c>
      <c r="M771" s="12" t="s">
        <v>0</v>
      </c>
      <c r="N771" s="12">
        <v>33.652075331637398</v>
      </c>
      <c r="O771" s="12">
        <v>14.5</v>
      </c>
      <c r="P771" s="12">
        <v>5860.36</v>
      </c>
      <c r="Q771" s="12" t="s">
        <v>1</v>
      </c>
    </row>
    <row r="772" spans="1:17" x14ac:dyDescent="0.25">
      <c r="A772" s="12">
        <f t="shared" ref="A772:A835" si="12">A771+1</f>
        <v>771</v>
      </c>
      <c r="B772" s="12">
        <v>0.95099100000000003</v>
      </c>
      <c r="C772" s="12">
        <v>4.6025700000000003E-2</v>
      </c>
      <c r="D772" s="12">
        <v>0.53393000000000002</v>
      </c>
      <c r="E772" s="12">
        <v>22.472230452488201</v>
      </c>
      <c r="F772" s="12">
        <v>56.25</v>
      </c>
      <c r="G772" s="12">
        <v>173.703011633702</v>
      </c>
      <c r="H772" s="12" t="s">
        <v>0</v>
      </c>
      <c r="I772" s="12">
        <v>1.060792</v>
      </c>
      <c r="J772" s="12">
        <v>123.01285</v>
      </c>
      <c r="K772" s="12">
        <v>325.01870000000002</v>
      </c>
      <c r="L772" s="12" t="s">
        <v>1</v>
      </c>
      <c r="M772" s="12" t="s">
        <v>0</v>
      </c>
      <c r="N772" s="12">
        <v>14.740488419191401</v>
      </c>
      <c r="O772" s="12">
        <v>15.5</v>
      </c>
      <c r="P772" s="12">
        <v>2489.4299999999998</v>
      </c>
      <c r="Q772" s="12" t="s">
        <v>1</v>
      </c>
    </row>
    <row r="773" spans="1:17" x14ac:dyDescent="0.25">
      <c r="A773" s="12">
        <f t="shared" si="12"/>
        <v>772</v>
      </c>
      <c r="B773" s="12">
        <v>0.1799</v>
      </c>
      <c r="C773" s="12">
        <v>6.1147300000000002E-2</v>
      </c>
      <c r="D773" s="12">
        <v>0.148475</v>
      </c>
      <c r="E773" s="12">
        <v>31.8828537523666</v>
      </c>
      <c r="F773" s="12">
        <v>100</v>
      </c>
      <c r="G773" s="12">
        <v>0.34368504710076903</v>
      </c>
      <c r="H773" s="12" t="s">
        <v>0</v>
      </c>
      <c r="I773" s="12">
        <v>0.44390000000000002</v>
      </c>
      <c r="J773" s="12">
        <v>130.57364999999999</v>
      </c>
      <c r="K773" s="12">
        <v>97.600250000000003</v>
      </c>
      <c r="L773" s="12" t="s">
        <v>1</v>
      </c>
      <c r="M773" s="12" t="s">
        <v>0</v>
      </c>
      <c r="N773" s="12">
        <v>15.6464903924797</v>
      </c>
      <c r="O773" s="12">
        <v>18</v>
      </c>
      <c r="P773" s="12">
        <v>7086.02</v>
      </c>
      <c r="Q773" s="12" t="s">
        <v>1</v>
      </c>
    </row>
    <row r="774" spans="1:17" x14ac:dyDescent="0.25">
      <c r="A774" s="12">
        <f t="shared" si="12"/>
        <v>773</v>
      </c>
      <c r="B774" s="12">
        <v>0.90958000000000006</v>
      </c>
      <c r="C774" s="12">
        <v>7.2333200000000003E-4</v>
      </c>
      <c r="D774" s="12">
        <v>0.62061599999999995</v>
      </c>
      <c r="E774" s="12">
        <v>4.1055799566545499</v>
      </c>
      <c r="F774" s="12">
        <v>72.25</v>
      </c>
      <c r="G774" s="12">
        <v>252.547826910114</v>
      </c>
      <c r="H774" s="12" t="s">
        <v>0</v>
      </c>
      <c r="I774" s="12">
        <v>1.02766</v>
      </c>
      <c r="J774" s="12">
        <v>100.361666</v>
      </c>
      <c r="K774" s="12">
        <v>376.16343999999998</v>
      </c>
      <c r="L774" s="12" t="s">
        <v>1</v>
      </c>
      <c r="M774" s="12" t="s">
        <v>0</v>
      </c>
      <c r="N774" s="12">
        <v>12.026223076725399</v>
      </c>
      <c r="O774" s="12">
        <v>16.5</v>
      </c>
      <c r="P774" s="12">
        <v>1499.51</v>
      </c>
      <c r="Q774" s="12" t="s">
        <v>1</v>
      </c>
    </row>
    <row r="775" spans="1:17" x14ac:dyDescent="0.25">
      <c r="A775" s="12">
        <f t="shared" si="12"/>
        <v>774</v>
      </c>
      <c r="B775" s="12">
        <v>0.89823500000000001</v>
      </c>
      <c r="C775" s="12">
        <v>0.29504799999999998</v>
      </c>
      <c r="D775" s="12">
        <v>0.57559700000000003</v>
      </c>
      <c r="E775" s="12">
        <v>386.53590531803098</v>
      </c>
      <c r="F775" s="12">
        <v>36</v>
      </c>
      <c r="G775" s="12">
        <v>1.7406645419403199</v>
      </c>
      <c r="H775" s="12" t="s">
        <v>0</v>
      </c>
      <c r="I775" s="12">
        <v>1.018588</v>
      </c>
      <c r="J775" s="12">
        <v>247.524</v>
      </c>
      <c r="K775" s="12">
        <v>349.60223000000002</v>
      </c>
      <c r="L775" s="12" t="s">
        <v>1</v>
      </c>
      <c r="M775" s="12" t="s">
        <v>0</v>
      </c>
      <c r="N775" s="12">
        <v>29.660516405171801</v>
      </c>
      <c r="O775" s="12">
        <v>14</v>
      </c>
      <c r="P775" s="12">
        <v>6818.44</v>
      </c>
      <c r="Q775" s="12" t="s">
        <v>1</v>
      </c>
    </row>
    <row r="776" spans="1:17" x14ac:dyDescent="0.25">
      <c r="A776" s="12">
        <f t="shared" si="12"/>
        <v>775</v>
      </c>
      <c r="B776" s="12">
        <v>1.0422400000000001</v>
      </c>
      <c r="C776" s="12">
        <v>0.13772699999999999</v>
      </c>
      <c r="D776" s="12">
        <v>0.63768800000000003</v>
      </c>
      <c r="E776" s="12">
        <v>104.74947517799301</v>
      </c>
      <c r="F776" s="12">
        <v>36</v>
      </c>
      <c r="G776" s="12">
        <v>113.83837640758099</v>
      </c>
      <c r="H776" s="12" t="s">
        <v>0</v>
      </c>
      <c r="I776" s="12">
        <v>1.1337900000000001</v>
      </c>
      <c r="J776" s="12">
        <v>168.86349999999999</v>
      </c>
      <c r="K776" s="12">
        <v>386.23592000000002</v>
      </c>
      <c r="L776" s="12" t="s">
        <v>1</v>
      </c>
      <c r="M776" s="12" t="s">
        <v>0</v>
      </c>
      <c r="N776" s="12">
        <v>20.234719105964398</v>
      </c>
      <c r="O776" s="12">
        <v>14</v>
      </c>
      <c r="P776" s="12">
        <v>3405.63</v>
      </c>
      <c r="Q776" s="12" t="s">
        <v>1</v>
      </c>
    </row>
    <row r="777" spans="1:17" x14ac:dyDescent="0.25">
      <c r="A777" s="12">
        <f t="shared" si="12"/>
        <v>776</v>
      </c>
      <c r="B777" s="12">
        <v>1.07938</v>
      </c>
      <c r="C777" s="12">
        <v>0.27324399999999999</v>
      </c>
      <c r="D777" s="12">
        <v>0.60041</v>
      </c>
      <c r="E777" s="12">
        <v>336.87453870247299</v>
      </c>
      <c r="F777" s="12">
        <v>36</v>
      </c>
      <c r="G777" s="12">
        <v>45.992179512854101</v>
      </c>
      <c r="H777" s="12" t="s">
        <v>0</v>
      </c>
      <c r="I777" s="12">
        <v>1.1635</v>
      </c>
      <c r="J777" s="12">
        <v>236.62200000000001</v>
      </c>
      <c r="K777" s="12">
        <v>364.24189999999999</v>
      </c>
      <c r="L777" s="12" t="s">
        <v>1</v>
      </c>
      <c r="M777" s="12" t="s">
        <v>0</v>
      </c>
      <c r="N777" s="12">
        <v>28.354142276403799</v>
      </c>
      <c r="O777" s="12">
        <v>14</v>
      </c>
      <c r="P777" s="12">
        <v>4824.66</v>
      </c>
      <c r="Q777" s="12" t="s">
        <v>1</v>
      </c>
    </row>
    <row r="778" spans="1:17" x14ac:dyDescent="0.25">
      <c r="A778" s="12">
        <f t="shared" si="12"/>
        <v>777</v>
      </c>
      <c r="B778" s="12">
        <v>1.0946899999999999</v>
      </c>
      <c r="C778" s="12">
        <v>9.2437900000000003E-2</v>
      </c>
      <c r="D778" s="12">
        <v>0.57492900000000002</v>
      </c>
      <c r="E778" s="12">
        <v>56.5691821289901</v>
      </c>
      <c r="F778" s="12">
        <v>42.25</v>
      </c>
      <c r="G778" s="12">
        <v>165.70037457308999</v>
      </c>
      <c r="H778" s="12" t="s">
        <v>0</v>
      </c>
      <c r="I778" s="12">
        <v>1.1757500000000001</v>
      </c>
      <c r="J778" s="12">
        <v>146.21895000000001</v>
      </c>
      <c r="K778" s="12">
        <v>349.20810999999998</v>
      </c>
      <c r="L778" s="12" t="s">
        <v>1</v>
      </c>
      <c r="M778" s="12" t="s">
        <v>0</v>
      </c>
      <c r="N778" s="12">
        <v>17.521248708092902</v>
      </c>
      <c r="O778" s="12">
        <v>14.5</v>
      </c>
      <c r="P778" s="12">
        <v>2601.5500000000002</v>
      </c>
      <c r="Q778" s="12" t="s">
        <v>1</v>
      </c>
    </row>
    <row r="779" spans="1:17" x14ac:dyDescent="0.25">
      <c r="A779" s="12">
        <f t="shared" si="12"/>
        <v>778</v>
      </c>
      <c r="B779" s="12">
        <v>0.86912400000000001</v>
      </c>
      <c r="C779" s="12">
        <v>0.15381300000000001</v>
      </c>
      <c r="D779" s="12">
        <v>0.42841899999999999</v>
      </c>
      <c r="E779" s="12">
        <v>125.40645938455501</v>
      </c>
      <c r="F779" s="12">
        <v>49</v>
      </c>
      <c r="G779" s="12">
        <v>36.367508519422003</v>
      </c>
      <c r="H779" s="12" t="s">
        <v>0</v>
      </c>
      <c r="I779" s="12">
        <v>0.99529900000000004</v>
      </c>
      <c r="J779" s="12">
        <v>176.90649999999999</v>
      </c>
      <c r="K779" s="12">
        <v>262.76720999999998</v>
      </c>
      <c r="L779" s="12" t="s">
        <v>1</v>
      </c>
      <c r="M779" s="12" t="s">
        <v>0</v>
      </c>
      <c r="N779" s="12">
        <v>21.198502550991101</v>
      </c>
      <c r="O779" s="12">
        <v>15</v>
      </c>
      <c r="P779" s="12">
        <v>5098.8500000000004</v>
      </c>
      <c r="Q779" s="12" t="s">
        <v>1</v>
      </c>
    </row>
    <row r="780" spans="1:17" x14ac:dyDescent="0.25">
      <c r="A780" s="12">
        <f t="shared" si="12"/>
        <v>779</v>
      </c>
      <c r="B780" s="12">
        <v>1.0893699999999999</v>
      </c>
      <c r="C780" s="12">
        <v>2.0653700000000001E-2</v>
      </c>
      <c r="D780" s="12">
        <v>0.71210700000000005</v>
      </c>
      <c r="E780" s="12">
        <v>10.3705872747783</v>
      </c>
      <c r="F780" s="12">
        <v>56.25</v>
      </c>
      <c r="G780" s="12">
        <v>266.17520213848701</v>
      </c>
      <c r="H780" s="12" t="s">
        <v>0</v>
      </c>
      <c r="I780" s="12">
        <v>1.1714899999999999</v>
      </c>
      <c r="J780" s="12">
        <v>110.32684999999999</v>
      </c>
      <c r="K780" s="12">
        <v>430.14312999999999</v>
      </c>
      <c r="L780" s="12" t="s">
        <v>1</v>
      </c>
      <c r="M780" s="12" t="s">
        <v>0</v>
      </c>
      <c r="N780" s="12">
        <v>13.2203396210304</v>
      </c>
      <c r="O780" s="12">
        <v>15.5</v>
      </c>
      <c r="P780" s="12">
        <v>1345.07</v>
      </c>
      <c r="Q780" s="12" t="s">
        <v>1</v>
      </c>
    </row>
    <row r="781" spans="1:17" x14ac:dyDescent="0.25">
      <c r="A781" s="12">
        <f t="shared" si="12"/>
        <v>780</v>
      </c>
      <c r="B781" s="12">
        <v>1.10856</v>
      </c>
      <c r="C781" s="12">
        <v>-4.1120499999999997E-2</v>
      </c>
      <c r="D781" s="12">
        <v>0.69902699999999995</v>
      </c>
      <c r="E781" s="12">
        <v>0.23119370862646799</v>
      </c>
      <c r="F781" s="12">
        <v>72.25</v>
      </c>
      <c r="G781" s="12">
        <v>305.02545941143899</v>
      </c>
      <c r="H781" s="12" t="s">
        <v>0</v>
      </c>
      <c r="I781" s="12">
        <v>1.1868399999999999</v>
      </c>
      <c r="J781" s="12">
        <v>79.439750000000004</v>
      </c>
      <c r="K781" s="12">
        <v>422.42592999999999</v>
      </c>
      <c r="L781" s="12" t="s">
        <v>1</v>
      </c>
      <c r="M781" s="12" t="s">
        <v>0</v>
      </c>
      <c r="N781" s="12">
        <v>9.5191739310036603</v>
      </c>
      <c r="O781" s="12">
        <v>16.5</v>
      </c>
      <c r="P781" s="12">
        <v>925.28300000000002</v>
      </c>
      <c r="Q781" s="12" t="s">
        <v>1</v>
      </c>
    </row>
    <row r="782" spans="1:17" x14ac:dyDescent="0.25">
      <c r="A782" s="12">
        <f t="shared" si="12"/>
        <v>781</v>
      </c>
      <c r="B782" s="12">
        <v>0.78215699999999999</v>
      </c>
      <c r="C782" s="12">
        <v>0.16308600000000001</v>
      </c>
      <c r="D782" s="12">
        <v>0.38655600000000001</v>
      </c>
      <c r="E782" s="12">
        <v>138.15860861008201</v>
      </c>
      <c r="F782" s="12">
        <v>56.25</v>
      </c>
      <c r="G782" s="12">
        <v>19.246129577031301</v>
      </c>
      <c r="H782" s="12" t="s">
        <v>0</v>
      </c>
      <c r="I782" s="12">
        <v>0.92572500000000002</v>
      </c>
      <c r="J782" s="12">
        <v>181.54300000000001</v>
      </c>
      <c r="K782" s="12">
        <v>238.06804</v>
      </c>
      <c r="L782" s="12" t="s">
        <v>1</v>
      </c>
      <c r="M782" s="12" t="s">
        <v>0</v>
      </c>
      <c r="N782" s="12">
        <v>21.754089016596801</v>
      </c>
      <c r="O782" s="12">
        <v>15.5</v>
      </c>
      <c r="P782" s="12">
        <v>5698.73</v>
      </c>
      <c r="Q782" s="12" t="s">
        <v>1</v>
      </c>
    </row>
    <row r="783" spans="1:17" x14ac:dyDescent="0.25">
      <c r="A783" s="12">
        <f t="shared" si="12"/>
        <v>782</v>
      </c>
      <c r="B783" s="12">
        <v>0.52693199999999996</v>
      </c>
      <c r="C783" s="12">
        <v>3.2395199999999999E-2</v>
      </c>
      <c r="D783" s="12">
        <v>0.19800300000000001</v>
      </c>
      <c r="E783" s="12">
        <v>15.396401417657501</v>
      </c>
      <c r="F783" s="12">
        <v>100</v>
      </c>
      <c r="G783" s="12">
        <v>2.9428697504222101</v>
      </c>
      <c r="H783" s="12" t="s">
        <v>0</v>
      </c>
      <c r="I783" s="12">
        <v>0.72154499999999999</v>
      </c>
      <c r="J783" s="12">
        <v>116.19759999999999</v>
      </c>
      <c r="K783" s="12">
        <v>126.82177</v>
      </c>
      <c r="L783" s="12" t="s">
        <v>1</v>
      </c>
      <c r="M783" s="12" t="s">
        <v>0</v>
      </c>
      <c r="N783" s="12">
        <v>13.923824845435499</v>
      </c>
      <c r="O783" s="12">
        <v>18</v>
      </c>
      <c r="P783" s="12">
        <v>6673.85</v>
      </c>
      <c r="Q783" s="12" t="s">
        <v>1</v>
      </c>
    </row>
    <row r="784" spans="1:17" x14ac:dyDescent="0.25">
      <c r="A784" s="12">
        <f t="shared" si="12"/>
        <v>783</v>
      </c>
      <c r="B784" s="12">
        <v>0.60672899999999996</v>
      </c>
      <c r="C784" s="12">
        <v>-2.5474299999999998E-2</v>
      </c>
      <c r="D784" s="12">
        <v>0.170762</v>
      </c>
      <c r="E784" s="12">
        <v>0.208489963218534</v>
      </c>
      <c r="F784" s="12">
        <v>132.25</v>
      </c>
      <c r="G784" s="12">
        <v>47.471722466503998</v>
      </c>
      <c r="H784" s="12" t="s">
        <v>0</v>
      </c>
      <c r="I784" s="12">
        <v>0.78538300000000005</v>
      </c>
      <c r="J784" s="12">
        <v>87.26285</v>
      </c>
      <c r="K784" s="12">
        <v>110.74957999999999</v>
      </c>
      <c r="L784" s="12" t="s">
        <v>1</v>
      </c>
      <c r="M784" s="12" t="s">
        <v>0</v>
      </c>
      <c r="N784" s="12">
        <v>10.456607011793</v>
      </c>
      <c r="O784" s="12">
        <v>19.5</v>
      </c>
      <c r="P784" s="12">
        <v>4785.16</v>
      </c>
      <c r="Q784" s="12" t="s">
        <v>1</v>
      </c>
    </row>
    <row r="785" spans="1:17" x14ac:dyDescent="0.25">
      <c r="A785" s="12">
        <f t="shared" si="12"/>
        <v>784</v>
      </c>
      <c r="B785" s="12">
        <v>1.01834</v>
      </c>
      <c r="C785" s="12">
        <v>-3.8389600000000003E-2</v>
      </c>
      <c r="D785" s="12">
        <v>0.671593</v>
      </c>
      <c r="E785" s="12">
        <v>0.10061949735166199</v>
      </c>
      <c r="F785" s="12">
        <v>100</v>
      </c>
      <c r="G785" s="12">
        <v>310.20213464356499</v>
      </c>
      <c r="H785" s="12" t="s">
        <v>0</v>
      </c>
      <c r="I785" s="12">
        <v>1.11467</v>
      </c>
      <c r="J785" s="12">
        <v>80.805199999999999</v>
      </c>
      <c r="K785" s="12">
        <v>406.23987</v>
      </c>
      <c r="L785" s="12" t="s">
        <v>1</v>
      </c>
      <c r="M785" s="12" t="s">
        <v>0</v>
      </c>
      <c r="N785" s="12">
        <v>9.6827942349961695</v>
      </c>
      <c r="O785" s="12">
        <v>18</v>
      </c>
      <c r="P785" s="12">
        <v>871.41700000000003</v>
      </c>
      <c r="Q785" s="12" t="s">
        <v>1</v>
      </c>
    </row>
    <row r="786" spans="1:17" x14ac:dyDescent="0.25">
      <c r="A786" s="12">
        <f t="shared" si="12"/>
        <v>785</v>
      </c>
      <c r="B786" s="12">
        <v>1.0549999999999999</v>
      </c>
      <c r="C786" s="12">
        <v>5.4413299999999998E-2</v>
      </c>
      <c r="D786" s="12">
        <v>0.59352700000000003</v>
      </c>
      <c r="E786" s="12">
        <v>27.489328480458202</v>
      </c>
      <c r="F786" s="12">
        <v>49</v>
      </c>
      <c r="G786" s="12">
        <v>191.25753304559899</v>
      </c>
      <c r="H786" s="12" t="s">
        <v>0</v>
      </c>
      <c r="I786" s="12">
        <v>1.1439999999999999</v>
      </c>
      <c r="J786" s="12">
        <v>127.20665</v>
      </c>
      <c r="K786" s="12">
        <v>360.18092999999999</v>
      </c>
      <c r="L786" s="12" t="s">
        <v>1</v>
      </c>
      <c r="M786" s="12" t="s">
        <v>0</v>
      </c>
      <c r="N786" s="12">
        <v>15.243026652655701</v>
      </c>
      <c r="O786" s="12">
        <v>15</v>
      </c>
      <c r="P786" s="12">
        <v>2252.1999999999998</v>
      </c>
      <c r="Q786" s="12" t="s">
        <v>1</v>
      </c>
    </row>
    <row r="787" spans="1:17" x14ac:dyDescent="0.25">
      <c r="A787" s="12">
        <f t="shared" si="12"/>
        <v>786</v>
      </c>
      <c r="B787" s="12">
        <v>0.943577</v>
      </c>
      <c r="C787" s="12">
        <v>8.96116E-2</v>
      </c>
      <c r="D787" s="12">
        <v>0.56691899999999995</v>
      </c>
      <c r="E787" s="12">
        <v>54.050618406471003</v>
      </c>
      <c r="F787" s="12">
        <v>56.25</v>
      </c>
      <c r="G787" s="12">
        <v>155.350613041846</v>
      </c>
      <c r="H787" s="12" t="s">
        <v>0</v>
      </c>
      <c r="I787" s="12">
        <v>1.054861</v>
      </c>
      <c r="J787" s="12">
        <v>144.8058</v>
      </c>
      <c r="K787" s="12">
        <v>344.48221000000001</v>
      </c>
      <c r="L787" s="12" t="s">
        <v>1</v>
      </c>
      <c r="M787" s="12" t="s">
        <v>0</v>
      </c>
      <c r="N787" s="12">
        <v>17.351912567928899</v>
      </c>
      <c r="O787" s="12">
        <v>15.5</v>
      </c>
      <c r="P787" s="12">
        <v>2750.65</v>
      </c>
      <c r="Q787" s="12" t="s">
        <v>1</v>
      </c>
    </row>
    <row r="788" spans="1:17" x14ac:dyDescent="0.25">
      <c r="A788" s="12">
        <f t="shared" si="12"/>
        <v>787</v>
      </c>
      <c r="B788" s="12">
        <v>0.122446</v>
      </c>
      <c r="C788" s="12">
        <v>1.92512E-2</v>
      </c>
      <c r="D788" s="12">
        <v>0.114313</v>
      </c>
      <c r="E788" s="12">
        <v>9.8364381553074303</v>
      </c>
      <c r="F788" s="12">
        <v>132.25</v>
      </c>
      <c r="G788" s="12">
        <v>10.8208553116907</v>
      </c>
      <c r="H788" s="12" t="s">
        <v>0</v>
      </c>
      <c r="I788" s="12">
        <v>0.39795599999999998</v>
      </c>
      <c r="J788" s="12">
        <v>109.62560000000001</v>
      </c>
      <c r="K788" s="12">
        <v>77.444670000000002</v>
      </c>
      <c r="L788" s="12" t="s">
        <v>1</v>
      </c>
      <c r="M788" s="12" t="s">
        <v>0</v>
      </c>
      <c r="N788" s="12">
        <v>13.1363096395776</v>
      </c>
      <c r="O788" s="12">
        <v>19.5</v>
      </c>
      <c r="P788" s="12">
        <v>6099.33</v>
      </c>
      <c r="Q788" s="12" t="s">
        <v>1</v>
      </c>
    </row>
    <row r="789" spans="1:17" x14ac:dyDescent="0.25">
      <c r="A789" s="12">
        <f t="shared" si="12"/>
        <v>788</v>
      </c>
      <c r="B789" s="12">
        <v>1.0212600000000001</v>
      </c>
      <c r="C789" s="12">
        <v>4.0188300000000003E-2</v>
      </c>
      <c r="D789" s="12">
        <v>0.60040300000000002</v>
      </c>
      <c r="E789" s="12">
        <v>19.2786324614374</v>
      </c>
      <c r="F789" s="12">
        <v>56.25</v>
      </c>
      <c r="G789" s="12">
        <v>198.677134534809</v>
      </c>
      <c r="H789" s="12" t="s">
        <v>0</v>
      </c>
      <c r="I789" s="12">
        <v>1.117</v>
      </c>
      <c r="J789" s="12">
        <v>120.09415</v>
      </c>
      <c r="K789" s="12">
        <v>364.23777000000001</v>
      </c>
      <c r="L789" s="12" t="s">
        <v>1</v>
      </c>
      <c r="M789" s="12" t="s">
        <v>0</v>
      </c>
      <c r="N789" s="12">
        <v>14.390743953071899</v>
      </c>
      <c r="O789" s="12">
        <v>15.5</v>
      </c>
      <c r="P789" s="12">
        <v>2155.2199999999998</v>
      </c>
      <c r="Q789" s="12" t="s">
        <v>1</v>
      </c>
    </row>
    <row r="790" spans="1:17" x14ac:dyDescent="0.25">
      <c r="A790" s="12">
        <f t="shared" si="12"/>
        <v>789</v>
      </c>
      <c r="B790" s="12">
        <v>1.02532</v>
      </c>
      <c r="C790" s="12">
        <v>-1.5121500000000001E-3</v>
      </c>
      <c r="D790" s="12">
        <v>0.68779599999999996</v>
      </c>
      <c r="E790" s="12">
        <v>3.5807442525729498</v>
      </c>
      <c r="F790" s="12">
        <v>64</v>
      </c>
      <c r="G790" s="12">
        <v>269.56871662901102</v>
      </c>
      <c r="H790" s="12" t="s">
        <v>0</v>
      </c>
      <c r="I790" s="12">
        <v>1.12025</v>
      </c>
      <c r="J790" s="12">
        <v>99.243925000000004</v>
      </c>
      <c r="K790" s="12">
        <v>415.79964000000001</v>
      </c>
      <c r="L790" s="12" t="s">
        <v>1</v>
      </c>
      <c r="M790" s="12" t="s">
        <v>0</v>
      </c>
      <c r="N790" s="12">
        <v>11.892285457475399</v>
      </c>
      <c r="O790" s="12">
        <v>16</v>
      </c>
      <c r="P790" s="12">
        <v>1307.23</v>
      </c>
      <c r="Q790" s="12" t="s">
        <v>1</v>
      </c>
    </row>
    <row r="791" spans="1:17" x14ac:dyDescent="0.25">
      <c r="A791" s="12">
        <f t="shared" si="12"/>
        <v>790</v>
      </c>
      <c r="B791" s="12">
        <v>1.17605</v>
      </c>
      <c r="C791" s="12">
        <v>0.28706300000000001</v>
      </c>
      <c r="D791" s="12">
        <v>0.54840599999999995</v>
      </c>
      <c r="E791" s="12">
        <v>367.95294964211399</v>
      </c>
      <c r="F791" s="12">
        <v>30.25</v>
      </c>
      <c r="G791" s="12">
        <v>33.397949310564798</v>
      </c>
      <c r="H791" s="12" t="s">
        <v>0</v>
      </c>
      <c r="I791" s="12">
        <v>1.2408399999999999</v>
      </c>
      <c r="J791" s="12">
        <v>243.53149999999999</v>
      </c>
      <c r="K791" s="12">
        <v>333.55954000000003</v>
      </c>
      <c r="L791" s="12" t="s">
        <v>1</v>
      </c>
      <c r="M791" s="12" t="s">
        <v>0</v>
      </c>
      <c r="N791" s="12">
        <v>29.182099719324601</v>
      </c>
      <c r="O791" s="12">
        <v>13.5</v>
      </c>
      <c r="P791" s="12">
        <v>5190.63</v>
      </c>
      <c r="Q791" s="12" t="s">
        <v>1</v>
      </c>
    </row>
    <row r="792" spans="1:17" x14ac:dyDescent="0.25">
      <c r="A792" s="12">
        <f t="shared" si="12"/>
        <v>791</v>
      </c>
      <c r="B792" s="12">
        <v>1.00135</v>
      </c>
      <c r="C792" s="12">
        <v>9.9841300000000008E-3</v>
      </c>
      <c r="D792" s="12">
        <v>0.66356400000000004</v>
      </c>
      <c r="E792" s="12">
        <v>6.6619660503014</v>
      </c>
      <c r="F792" s="12">
        <v>64</v>
      </c>
      <c r="G792" s="12">
        <v>259.33528636817402</v>
      </c>
      <c r="H792" s="12" t="s">
        <v>0</v>
      </c>
      <c r="I792" s="12">
        <v>1.1010800000000001</v>
      </c>
      <c r="J792" s="12">
        <v>104.992065</v>
      </c>
      <c r="K792" s="12">
        <v>401.50276000000002</v>
      </c>
      <c r="L792" s="12" t="s">
        <v>1</v>
      </c>
      <c r="M792" s="12" t="s">
        <v>0</v>
      </c>
      <c r="N792" s="12">
        <v>12.5810784665138</v>
      </c>
      <c r="O792" s="12">
        <v>16</v>
      </c>
      <c r="P792" s="12">
        <v>1422.08</v>
      </c>
      <c r="Q792" s="12" t="s">
        <v>1</v>
      </c>
    </row>
    <row r="793" spans="1:17" x14ac:dyDescent="0.25">
      <c r="A793" s="12">
        <f t="shared" si="12"/>
        <v>792</v>
      </c>
      <c r="B793" s="12">
        <v>1.0856699999999999</v>
      </c>
      <c r="C793" s="12">
        <v>0.14449999999999999</v>
      </c>
      <c r="D793" s="12">
        <v>0.92674000000000001</v>
      </c>
      <c r="E793" s="12">
        <v>113.220655408095</v>
      </c>
      <c r="F793" s="12">
        <v>36</v>
      </c>
      <c r="G793" s="12">
        <v>173.986218503283</v>
      </c>
      <c r="H793" s="12" t="s">
        <v>0</v>
      </c>
      <c r="I793" s="12">
        <v>1.1685300000000001</v>
      </c>
      <c r="J793" s="12">
        <v>172.25</v>
      </c>
      <c r="K793" s="12">
        <v>556.77660000000003</v>
      </c>
      <c r="L793" s="12" t="s">
        <v>1</v>
      </c>
      <c r="M793" s="12" t="s">
        <v>0</v>
      </c>
      <c r="N793" s="12">
        <v>20.6405195083743</v>
      </c>
      <c r="O793" s="12">
        <v>14</v>
      </c>
      <c r="P793" s="12">
        <v>2485.5100000000002</v>
      </c>
      <c r="Q793" s="12" t="s">
        <v>1</v>
      </c>
    </row>
    <row r="794" spans="1:17" x14ac:dyDescent="0.25">
      <c r="A794" s="12">
        <f t="shared" si="12"/>
        <v>793</v>
      </c>
      <c r="B794" s="12">
        <v>0.35913</v>
      </c>
      <c r="C794" s="12">
        <v>-0.109733</v>
      </c>
      <c r="D794" s="12">
        <v>0.56536200000000003</v>
      </c>
      <c r="E794" s="12">
        <v>21.083750889416301</v>
      </c>
      <c r="F794" s="12">
        <v>225</v>
      </c>
      <c r="G794" s="12">
        <v>309.00476993729399</v>
      </c>
      <c r="H794" s="12" t="s">
        <v>0</v>
      </c>
      <c r="I794" s="12">
        <v>0.58730000000000004</v>
      </c>
      <c r="J794" s="12">
        <v>45.133499999999998</v>
      </c>
      <c r="K794" s="12">
        <v>343.56358</v>
      </c>
      <c r="L794" s="12" t="s">
        <v>1</v>
      </c>
      <c r="M794" s="12" t="s">
        <v>0</v>
      </c>
      <c r="N794" s="12">
        <v>5.4082954265963004</v>
      </c>
      <c r="O794" s="12">
        <v>23</v>
      </c>
      <c r="P794" s="12">
        <v>883.83600000000001</v>
      </c>
      <c r="Q794" s="12" t="s">
        <v>1</v>
      </c>
    </row>
    <row r="795" spans="1:17" x14ac:dyDescent="0.25">
      <c r="A795" s="12">
        <f t="shared" si="12"/>
        <v>794</v>
      </c>
      <c r="B795" s="12">
        <v>0.85123700000000002</v>
      </c>
      <c r="C795" s="12">
        <v>0.34456900000000001</v>
      </c>
      <c r="D795" s="12">
        <v>0.58035599999999998</v>
      </c>
      <c r="E795" s="12">
        <v>512.00550578166997</v>
      </c>
      <c r="F795" s="12">
        <v>42.25</v>
      </c>
      <c r="G795" s="12">
        <v>7.3567273409645298E-6</v>
      </c>
      <c r="H795" s="12" t="s">
        <v>0</v>
      </c>
      <c r="I795" s="12">
        <v>0.980989</v>
      </c>
      <c r="J795" s="12">
        <v>272.28449999999998</v>
      </c>
      <c r="K795" s="12">
        <v>352.41003999999998</v>
      </c>
      <c r="L795" s="12" t="s">
        <v>1</v>
      </c>
      <c r="M795" s="12" t="s">
        <v>0</v>
      </c>
      <c r="N795" s="12">
        <v>32.627538659378502</v>
      </c>
      <c r="O795" s="12">
        <v>14.5</v>
      </c>
      <c r="P795" s="12">
        <v>7299.01</v>
      </c>
      <c r="Q795" s="12" t="s">
        <v>1</v>
      </c>
    </row>
    <row r="796" spans="1:17" x14ac:dyDescent="0.25">
      <c r="A796" s="12">
        <f t="shared" si="12"/>
        <v>795</v>
      </c>
      <c r="B796" s="12">
        <v>0.22292000000000001</v>
      </c>
      <c r="C796" s="12">
        <v>9.0672000000000003E-2</v>
      </c>
      <c r="D796" s="12">
        <v>0.16366600000000001</v>
      </c>
      <c r="E796" s="12">
        <v>54.988836776005698</v>
      </c>
      <c r="F796" s="12">
        <v>90.25</v>
      </c>
      <c r="G796" s="12">
        <v>3.1051267584912701</v>
      </c>
      <c r="H796" s="12" t="s">
        <v>0</v>
      </c>
      <c r="I796" s="12">
        <v>0.47832999999999998</v>
      </c>
      <c r="J796" s="12">
        <v>145.33600000000001</v>
      </c>
      <c r="K796" s="12">
        <v>106.56294</v>
      </c>
      <c r="L796" s="12" t="s">
        <v>1</v>
      </c>
      <c r="M796" s="12" t="s">
        <v>0</v>
      </c>
      <c r="N796" s="12">
        <v>17.415445824494</v>
      </c>
      <c r="O796" s="12">
        <v>17.5</v>
      </c>
      <c r="P796" s="12">
        <v>7943.18</v>
      </c>
      <c r="Q796" s="12" t="s">
        <v>1</v>
      </c>
    </row>
    <row r="797" spans="1:17" x14ac:dyDescent="0.25">
      <c r="A797" s="12">
        <f t="shared" si="12"/>
        <v>796</v>
      </c>
      <c r="B797" s="12">
        <v>0.474632</v>
      </c>
      <c r="C797" s="12">
        <v>5.1809300000000003E-2</v>
      </c>
      <c r="D797" s="12">
        <v>0.28181600000000001</v>
      </c>
      <c r="E797" s="12">
        <v>25.877665543526501</v>
      </c>
      <c r="F797" s="12">
        <v>100</v>
      </c>
      <c r="G797" s="12">
        <v>23.693689790955101</v>
      </c>
      <c r="H797" s="12" t="s">
        <v>0</v>
      </c>
      <c r="I797" s="12">
        <v>0.679705</v>
      </c>
      <c r="J797" s="12">
        <v>125.90465</v>
      </c>
      <c r="K797" s="12">
        <v>176.27144000000001</v>
      </c>
      <c r="L797" s="12" t="s">
        <v>1</v>
      </c>
      <c r="M797" s="12" t="s">
        <v>0</v>
      </c>
      <c r="N797" s="12">
        <v>15.087009489231001</v>
      </c>
      <c r="O797" s="12">
        <v>18</v>
      </c>
      <c r="P797" s="12">
        <v>5523.32</v>
      </c>
      <c r="Q797" s="12" t="s">
        <v>1</v>
      </c>
    </row>
    <row r="798" spans="1:17" x14ac:dyDescent="0.25">
      <c r="A798" s="12">
        <f t="shared" si="12"/>
        <v>797</v>
      </c>
      <c r="B798" s="12">
        <v>0.92493700000000001</v>
      </c>
      <c r="C798" s="12">
        <v>0.734074</v>
      </c>
      <c r="D798" s="12">
        <v>1.0191300000000001</v>
      </c>
      <c r="E798" s="12">
        <v>2112.7358924828</v>
      </c>
      <c r="F798" s="12">
        <v>30.25</v>
      </c>
      <c r="G798" s="12">
        <v>0.16756125426909299</v>
      </c>
      <c r="H798" s="12" t="s">
        <v>0</v>
      </c>
      <c r="I798" s="12">
        <v>1.039949</v>
      </c>
      <c r="J798" s="12">
        <v>467.03699999999998</v>
      </c>
      <c r="K798" s="12">
        <v>611.2867</v>
      </c>
      <c r="L798" s="12" t="s">
        <v>1</v>
      </c>
      <c r="M798" s="12" t="s">
        <v>0</v>
      </c>
      <c r="N798" s="12">
        <v>55.964506877402698</v>
      </c>
      <c r="O798" s="12">
        <v>13.5</v>
      </c>
      <c r="P798" s="12">
        <v>7449.41</v>
      </c>
      <c r="Q798" s="12" t="s">
        <v>1</v>
      </c>
    </row>
    <row r="799" spans="1:17" x14ac:dyDescent="0.25">
      <c r="A799" s="12">
        <f t="shared" si="12"/>
        <v>798</v>
      </c>
      <c r="B799" s="12">
        <v>0.28924499999999997</v>
      </c>
      <c r="C799" s="12">
        <v>-4.1340300000000003E-2</v>
      </c>
      <c r="D799" s="12">
        <v>0.428394</v>
      </c>
      <c r="E799" s="12">
        <v>0.244031316578906</v>
      </c>
      <c r="F799" s="12">
        <v>144</v>
      </c>
      <c r="G799" s="12">
        <v>205.279022657909</v>
      </c>
      <c r="H799" s="12" t="s">
        <v>0</v>
      </c>
      <c r="I799" s="12">
        <v>0.53139599999999998</v>
      </c>
      <c r="J799" s="12">
        <v>79.329849999999993</v>
      </c>
      <c r="K799" s="12">
        <v>262.75245999999999</v>
      </c>
      <c r="L799" s="12" t="s">
        <v>1</v>
      </c>
      <c r="M799" s="12" t="s">
        <v>0</v>
      </c>
      <c r="N799" s="12">
        <v>9.5060047403274908</v>
      </c>
      <c r="O799" s="12">
        <v>20</v>
      </c>
      <c r="P799" s="12">
        <v>2070.44</v>
      </c>
      <c r="Q799" s="12" t="s">
        <v>1</v>
      </c>
    </row>
    <row r="800" spans="1:17" x14ac:dyDescent="0.25">
      <c r="A800" s="12">
        <f t="shared" si="12"/>
        <v>799</v>
      </c>
      <c r="B800" s="12">
        <v>0.164218</v>
      </c>
      <c r="C800" s="12">
        <v>-3.3487000000000003E-2</v>
      </c>
      <c r="D800" s="12">
        <v>0.167044</v>
      </c>
      <c r="E800" s="12">
        <v>5.5080821308516699E-4</v>
      </c>
      <c r="F800" s="12">
        <v>144</v>
      </c>
      <c r="G800" s="12">
        <v>88.5939958085944</v>
      </c>
      <c r="H800" s="12" t="s">
        <v>0</v>
      </c>
      <c r="I800" s="12">
        <v>0.43137399999999998</v>
      </c>
      <c r="J800" s="12">
        <v>83.256500000000003</v>
      </c>
      <c r="K800" s="12">
        <v>108.55596</v>
      </c>
      <c r="L800" s="12" t="s">
        <v>1</v>
      </c>
      <c r="M800" s="12" t="s">
        <v>0</v>
      </c>
      <c r="N800" s="12">
        <v>9.9765306963655593</v>
      </c>
      <c r="O800" s="12">
        <v>20</v>
      </c>
      <c r="P800" s="12">
        <v>3864.46</v>
      </c>
      <c r="Q800" s="12" t="s">
        <v>1</v>
      </c>
    </row>
    <row r="801" spans="1:17" x14ac:dyDescent="0.25">
      <c r="A801" s="12">
        <f t="shared" si="12"/>
        <v>800</v>
      </c>
      <c r="B801" s="12">
        <v>0.82033599999999995</v>
      </c>
      <c r="C801" s="12">
        <v>0.184478</v>
      </c>
      <c r="D801" s="12">
        <v>0.42235</v>
      </c>
      <c r="E801" s="12">
        <v>169.931518549966</v>
      </c>
      <c r="F801" s="12">
        <v>49</v>
      </c>
      <c r="G801" s="12">
        <v>24.277893807468502</v>
      </c>
      <c r="H801" s="12" t="s">
        <v>0</v>
      </c>
      <c r="I801" s="12">
        <v>0.95626800000000001</v>
      </c>
      <c r="J801" s="12">
        <v>192.239</v>
      </c>
      <c r="K801" s="12">
        <v>259.18650000000002</v>
      </c>
      <c r="L801" s="12" t="s">
        <v>1</v>
      </c>
      <c r="M801" s="12" t="s">
        <v>0</v>
      </c>
      <c r="N801" s="12">
        <v>23.0357784021502</v>
      </c>
      <c r="O801" s="12">
        <v>15</v>
      </c>
      <c r="P801" s="12">
        <v>5501.55</v>
      </c>
      <c r="Q801" s="12" t="s">
        <v>1</v>
      </c>
    </row>
    <row r="802" spans="1:17" x14ac:dyDescent="0.25">
      <c r="A802" s="12">
        <f t="shared" si="12"/>
        <v>801</v>
      </c>
      <c r="B802" s="12">
        <v>1.11694</v>
      </c>
      <c r="C802" s="12">
        <v>4.34755E-2</v>
      </c>
      <c r="D802" s="12">
        <v>0.80771700000000002</v>
      </c>
      <c r="E802" s="12">
        <v>21.046942218583101</v>
      </c>
      <c r="F802" s="12">
        <v>56.25</v>
      </c>
      <c r="G802" s="12">
        <v>267.90245530793698</v>
      </c>
      <c r="H802" s="12" t="s">
        <v>0</v>
      </c>
      <c r="I802" s="12">
        <v>1.1935500000000001</v>
      </c>
      <c r="J802" s="12">
        <v>121.73775000000001</v>
      </c>
      <c r="K802" s="12">
        <v>486.55302999999998</v>
      </c>
      <c r="L802" s="12" t="s">
        <v>1</v>
      </c>
      <c r="M802" s="12" t="s">
        <v>0</v>
      </c>
      <c r="N802" s="12">
        <v>14.5876946518467</v>
      </c>
      <c r="O802" s="12">
        <v>15.5</v>
      </c>
      <c r="P802" s="12">
        <v>1325.78</v>
      </c>
      <c r="Q802" s="12" t="s">
        <v>1</v>
      </c>
    </row>
    <row r="803" spans="1:17" x14ac:dyDescent="0.25">
      <c r="A803" s="12">
        <f t="shared" si="12"/>
        <v>802</v>
      </c>
      <c r="B803" s="12">
        <v>1.08653</v>
      </c>
      <c r="C803" s="12">
        <v>6.12928E-3</v>
      </c>
      <c r="D803" s="12">
        <v>0.63983100000000004</v>
      </c>
      <c r="E803" s="12">
        <v>5.52305153164962</v>
      </c>
      <c r="F803" s="12">
        <v>56.25</v>
      </c>
      <c r="G803" s="12">
        <v>261.25098268417997</v>
      </c>
      <c r="H803" s="12" t="s">
        <v>0</v>
      </c>
      <c r="I803" s="12">
        <v>1.1692199999999999</v>
      </c>
      <c r="J803" s="12">
        <v>103.06464</v>
      </c>
      <c r="K803" s="12">
        <v>387.50029000000001</v>
      </c>
      <c r="L803" s="12" t="s">
        <v>1</v>
      </c>
      <c r="M803" s="12" t="s">
        <v>0</v>
      </c>
      <c r="N803" s="12">
        <v>12.3501173442297</v>
      </c>
      <c r="O803" s="12">
        <v>15.5</v>
      </c>
      <c r="P803" s="12">
        <v>1400.41</v>
      </c>
      <c r="Q803" s="12" t="s">
        <v>1</v>
      </c>
    </row>
    <row r="804" spans="1:17" x14ac:dyDescent="0.25">
      <c r="A804" s="12">
        <f t="shared" si="12"/>
        <v>803</v>
      </c>
      <c r="B804" s="12">
        <v>0.95922700000000005</v>
      </c>
      <c r="C804" s="12">
        <v>6.6053700000000007E-2</v>
      </c>
      <c r="D804" s="12">
        <v>0.68337599999999998</v>
      </c>
      <c r="E804" s="12">
        <v>35.2890000071394</v>
      </c>
      <c r="F804" s="12">
        <v>56.25</v>
      </c>
      <c r="G804" s="12">
        <v>202.022219313942</v>
      </c>
      <c r="H804" s="12" t="s">
        <v>0</v>
      </c>
      <c r="I804" s="12">
        <v>1.0673809999999999</v>
      </c>
      <c r="J804" s="12">
        <v>133.02685</v>
      </c>
      <c r="K804" s="12">
        <v>413.19184000000001</v>
      </c>
      <c r="L804" s="12" t="s">
        <v>1</v>
      </c>
      <c r="M804" s="12" t="s">
        <v>0</v>
      </c>
      <c r="N804" s="12">
        <v>15.9404545286652</v>
      </c>
      <c r="O804" s="12">
        <v>15.5</v>
      </c>
      <c r="P804" s="12">
        <v>2112.09</v>
      </c>
      <c r="Q804" s="12" t="s">
        <v>1</v>
      </c>
    </row>
    <row r="805" spans="1:17" x14ac:dyDescent="0.25">
      <c r="A805" s="12">
        <f t="shared" si="12"/>
        <v>804</v>
      </c>
      <c r="B805" s="12">
        <v>0.88389300000000004</v>
      </c>
      <c r="C805" s="12">
        <v>0.25754199999999999</v>
      </c>
      <c r="D805" s="12">
        <v>0.53811100000000001</v>
      </c>
      <c r="E805" s="12">
        <v>303.22531442897298</v>
      </c>
      <c r="F805" s="12">
        <v>36</v>
      </c>
      <c r="G805" s="12">
        <v>2.48092706398949</v>
      </c>
      <c r="H805" s="12" t="s">
        <v>0</v>
      </c>
      <c r="I805" s="12">
        <v>1.0071140000000001</v>
      </c>
      <c r="J805" s="12">
        <v>228.77099999999999</v>
      </c>
      <c r="K805" s="12">
        <v>327.48549000000003</v>
      </c>
      <c r="L805" s="12" t="s">
        <v>1</v>
      </c>
      <c r="M805" s="12" t="s">
        <v>0</v>
      </c>
      <c r="N805" s="12">
        <v>27.413365970683898</v>
      </c>
      <c r="O805" s="12">
        <v>14</v>
      </c>
      <c r="P805" s="12">
        <v>6725.09</v>
      </c>
      <c r="Q805" s="12" t="s">
        <v>1</v>
      </c>
    </row>
    <row r="806" spans="1:17" x14ac:dyDescent="0.25">
      <c r="A806" s="12">
        <f t="shared" si="12"/>
        <v>805</v>
      </c>
      <c r="B806" s="12">
        <v>0.35492600000000002</v>
      </c>
      <c r="C806" s="12">
        <v>-4.9811399999999999E-2</v>
      </c>
      <c r="D806" s="12">
        <v>0.40213399999999999</v>
      </c>
      <c r="E806" s="12">
        <v>1.0030750556591099</v>
      </c>
      <c r="F806" s="12">
        <v>156.25</v>
      </c>
      <c r="G806" s="12">
        <v>197.944855575905</v>
      </c>
      <c r="H806" s="12" t="s">
        <v>0</v>
      </c>
      <c r="I806" s="12">
        <v>0.58394000000000001</v>
      </c>
      <c r="J806" s="12">
        <v>75.094300000000004</v>
      </c>
      <c r="K806" s="12">
        <v>247.25906000000001</v>
      </c>
      <c r="L806" s="12" t="s">
        <v>1</v>
      </c>
      <c r="M806" s="12" t="s">
        <v>0</v>
      </c>
      <c r="N806" s="12">
        <v>8.9984636523524806</v>
      </c>
      <c r="O806" s="12">
        <v>20.5</v>
      </c>
      <c r="P806" s="12">
        <v>2164.71</v>
      </c>
      <c r="Q806" s="12" t="s">
        <v>1</v>
      </c>
    </row>
    <row r="807" spans="1:17" x14ac:dyDescent="0.25">
      <c r="A807" s="12">
        <f t="shared" si="12"/>
        <v>806</v>
      </c>
      <c r="B807" s="12">
        <v>0.89850200000000002</v>
      </c>
      <c r="C807" s="12">
        <v>-3.8645100000000002E-2</v>
      </c>
      <c r="D807" s="12">
        <v>0.75192499999999995</v>
      </c>
      <c r="E807" s="12">
        <v>0.110565494133745</v>
      </c>
      <c r="F807" s="12">
        <v>100</v>
      </c>
      <c r="G807" s="12">
        <v>305.277102673792</v>
      </c>
      <c r="H807" s="12" t="s">
        <v>0</v>
      </c>
      <c r="I807" s="12">
        <v>1.0188010000000001</v>
      </c>
      <c r="J807" s="12">
        <v>80.677449999999993</v>
      </c>
      <c r="K807" s="12">
        <v>453.63574999999997</v>
      </c>
      <c r="L807" s="12" t="s">
        <v>1</v>
      </c>
      <c r="M807" s="12" t="s">
        <v>0</v>
      </c>
      <c r="N807" s="12">
        <v>9.6674860993375606</v>
      </c>
      <c r="O807" s="12">
        <v>18</v>
      </c>
      <c r="P807" s="12">
        <v>922.654</v>
      </c>
      <c r="Q807" s="12" t="s">
        <v>1</v>
      </c>
    </row>
    <row r="808" spans="1:17" x14ac:dyDescent="0.25">
      <c r="A808" s="12">
        <f t="shared" si="12"/>
        <v>807</v>
      </c>
      <c r="B808" s="12">
        <v>0.88066999999999995</v>
      </c>
      <c r="C808" s="12">
        <v>0.28547899999999998</v>
      </c>
      <c r="D808" s="12">
        <v>0.47890199999999999</v>
      </c>
      <c r="E808" s="12">
        <v>364.32102326303902</v>
      </c>
      <c r="F808" s="12">
        <v>36</v>
      </c>
      <c r="G808" s="12">
        <v>2.2680359999999999</v>
      </c>
      <c r="H808" s="12" t="s">
        <v>0</v>
      </c>
      <c r="I808" s="12">
        <v>1.0045299999999999</v>
      </c>
      <c r="J808" s="12">
        <v>242.73949999999999</v>
      </c>
      <c r="K808" s="12">
        <v>292.55218000000002</v>
      </c>
      <c r="L808" s="12" t="s">
        <v>1</v>
      </c>
      <c r="M808" s="12" t="s">
        <v>0</v>
      </c>
      <c r="N808" s="12">
        <v>29.0871952696838</v>
      </c>
      <c r="O808" s="12">
        <v>14</v>
      </c>
      <c r="P808" s="12">
        <v>7849.69</v>
      </c>
      <c r="Q808" s="12" t="s">
        <v>1</v>
      </c>
    </row>
    <row r="809" spans="1:17" x14ac:dyDescent="0.25">
      <c r="A809" s="12">
        <f t="shared" si="12"/>
        <v>808</v>
      </c>
      <c r="B809" s="12">
        <v>0.98280900000000004</v>
      </c>
      <c r="C809" s="12">
        <v>0.36623600000000001</v>
      </c>
      <c r="D809" s="12">
        <v>0.60247200000000001</v>
      </c>
      <c r="E809" s="12">
        <v>572.439336389961</v>
      </c>
      <c r="F809" s="12">
        <v>30.25</v>
      </c>
      <c r="G809" s="12">
        <v>4.8099099268155303E-2</v>
      </c>
      <c r="H809" s="12" t="s">
        <v>0</v>
      </c>
      <c r="I809" s="12">
        <v>1.086247</v>
      </c>
      <c r="J809" s="12">
        <v>283.11799999999999</v>
      </c>
      <c r="K809" s="12">
        <v>365.45848000000001</v>
      </c>
      <c r="L809" s="12" t="s">
        <v>1</v>
      </c>
      <c r="M809" s="12" t="s">
        <v>0</v>
      </c>
      <c r="N809" s="12">
        <v>33.925704511883403</v>
      </c>
      <c r="O809" s="12">
        <v>13.5</v>
      </c>
      <c r="P809" s="12">
        <v>7380.05</v>
      </c>
      <c r="Q809" s="12" t="s">
        <v>1</v>
      </c>
    </row>
    <row r="810" spans="1:17" x14ac:dyDescent="0.25">
      <c r="A810" s="12">
        <f t="shared" si="12"/>
        <v>809</v>
      </c>
      <c r="B810" s="12">
        <v>0.81798599999999999</v>
      </c>
      <c r="C810" s="12">
        <v>0.21520900000000001</v>
      </c>
      <c r="D810" s="12">
        <v>0.445463</v>
      </c>
      <c r="E810" s="12">
        <v>221.32538504448101</v>
      </c>
      <c r="F810" s="12">
        <v>42.25</v>
      </c>
      <c r="G810" s="12">
        <v>1.9676787389754102E-2</v>
      </c>
      <c r="H810" s="12" t="s">
        <v>0</v>
      </c>
      <c r="I810" s="12">
        <v>0.95438800000000001</v>
      </c>
      <c r="J810" s="12">
        <v>207.6045</v>
      </c>
      <c r="K810" s="12">
        <v>272.82317</v>
      </c>
      <c r="L810" s="12" t="s">
        <v>1</v>
      </c>
      <c r="M810" s="12" t="s">
        <v>0</v>
      </c>
      <c r="N810" s="12">
        <v>24.877008605377601</v>
      </c>
      <c r="O810" s="12">
        <v>14.5</v>
      </c>
      <c r="P810" s="12">
        <v>7248.8</v>
      </c>
      <c r="Q810" s="12" t="s">
        <v>1</v>
      </c>
    </row>
    <row r="811" spans="1:17" x14ac:dyDescent="0.25">
      <c r="A811" s="12">
        <f t="shared" si="12"/>
        <v>810</v>
      </c>
      <c r="B811" s="12">
        <v>1.0100800000000001</v>
      </c>
      <c r="C811" s="12">
        <v>0.317888</v>
      </c>
      <c r="D811" s="12">
        <v>0.58395300000000006</v>
      </c>
      <c r="E811" s="12">
        <v>442.217237688593</v>
      </c>
      <c r="F811" s="12">
        <v>36</v>
      </c>
      <c r="G811" s="12">
        <v>30.103410898104698</v>
      </c>
      <c r="H811" s="12" t="s">
        <v>0</v>
      </c>
      <c r="I811" s="12">
        <v>1.10806</v>
      </c>
      <c r="J811" s="12">
        <v>258.94400000000002</v>
      </c>
      <c r="K811" s="12">
        <v>354.53226999999998</v>
      </c>
      <c r="L811" s="12" t="s">
        <v>1</v>
      </c>
      <c r="M811" s="12" t="s">
        <v>0</v>
      </c>
      <c r="N811" s="12">
        <v>31.0289618785282</v>
      </c>
      <c r="O811" s="12">
        <v>14</v>
      </c>
      <c r="P811" s="12">
        <v>5297.37</v>
      </c>
      <c r="Q811" s="12" t="s">
        <v>1</v>
      </c>
    </row>
    <row r="812" spans="1:17" x14ac:dyDescent="0.25">
      <c r="A812" s="12">
        <f t="shared" si="12"/>
        <v>811</v>
      </c>
      <c r="B812" s="12">
        <v>0.96493399999999996</v>
      </c>
      <c r="C812" s="12">
        <v>0.28747099999999998</v>
      </c>
      <c r="D812" s="12">
        <v>1.03694</v>
      </c>
      <c r="E812" s="12">
        <v>368.89136334025602</v>
      </c>
      <c r="F812" s="12">
        <v>42.25</v>
      </c>
      <c r="G812" s="12">
        <v>128.437199493338</v>
      </c>
      <c r="H812" s="12" t="s">
        <v>0</v>
      </c>
      <c r="I812" s="12">
        <v>1.071947</v>
      </c>
      <c r="J812" s="12">
        <v>243.7355</v>
      </c>
      <c r="K812" s="12">
        <v>621.79459999999995</v>
      </c>
      <c r="L812" s="12" t="s">
        <v>1</v>
      </c>
      <c r="M812" s="12" t="s">
        <v>0</v>
      </c>
      <c r="N812" s="12">
        <v>29.206544804838099</v>
      </c>
      <c r="O812" s="12">
        <v>14.5</v>
      </c>
      <c r="P812" s="12">
        <v>3163.45</v>
      </c>
      <c r="Q812" s="12" t="s">
        <v>1</v>
      </c>
    </row>
    <row r="813" spans="1:17" x14ac:dyDescent="0.25">
      <c r="A813" s="12">
        <f t="shared" si="12"/>
        <v>812</v>
      </c>
      <c r="B813" s="12">
        <v>0.156524</v>
      </c>
      <c r="C813" s="12">
        <v>1.87878E-2</v>
      </c>
      <c r="D813" s="12">
        <v>0.14623800000000001</v>
      </c>
      <c r="E813" s="12">
        <v>9.6630538504675805</v>
      </c>
      <c r="F813" s="12">
        <v>110.25</v>
      </c>
      <c r="G813" s="12">
        <v>23.292656006004801</v>
      </c>
      <c r="H813" s="12" t="s">
        <v>0</v>
      </c>
      <c r="I813" s="12">
        <v>0.42521900000000001</v>
      </c>
      <c r="J813" s="12">
        <v>109.3939</v>
      </c>
      <c r="K813" s="12">
        <v>96.280420000000007</v>
      </c>
      <c r="L813" s="12" t="s">
        <v>1</v>
      </c>
      <c r="M813" s="12" t="s">
        <v>0</v>
      </c>
      <c r="N813" s="12">
        <v>13.1085452949036</v>
      </c>
      <c r="O813" s="12">
        <v>18.5</v>
      </c>
      <c r="P813" s="12">
        <v>5538.42</v>
      </c>
      <c r="Q813" s="12" t="s">
        <v>1</v>
      </c>
    </row>
    <row r="814" spans="1:17" x14ac:dyDescent="0.25">
      <c r="A814" s="12">
        <f t="shared" si="12"/>
        <v>813</v>
      </c>
      <c r="B814" s="12">
        <v>0.55351799999999995</v>
      </c>
      <c r="C814" s="12">
        <v>4.9002200000000003E-2</v>
      </c>
      <c r="D814" s="12">
        <v>0.26129200000000002</v>
      </c>
      <c r="E814" s="12">
        <v>24.194826651025402</v>
      </c>
      <c r="F814" s="12">
        <v>90.25</v>
      </c>
      <c r="G814" s="12">
        <v>400</v>
      </c>
      <c r="H814" s="12" t="s">
        <v>0</v>
      </c>
      <c r="I814" s="12">
        <v>0.74281399999999997</v>
      </c>
      <c r="J814" s="12">
        <v>124.50109999999999</v>
      </c>
      <c r="K814" s="12">
        <v>164.16228000000001</v>
      </c>
      <c r="L814" s="12" t="s">
        <v>1</v>
      </c>
      <c r="M814" s="12" t="s">
        <v>0</v>
      </c>
      <c r="N814" s="12">
        <v>14.918823706032301</v>
      </c>
      <c r="O814" s="12">
        <v>17.5</v>
      </c>
      <c r="P814" s="12">
        <v>0</v>
      </c>
      <c r="Q814" s="12" t="s">
        <v>1</v>
      </c>
    </row>
    <row r="815" spans="1:17" x14ac:dyDescent="0.25">
      <c r="A815" s="12">
        <f t="shared" si="12"/>
        <v>814</v>
      </c>
      <c r="B815" s="12">
        <v>0.20674699999999999</v>
      </c>
      <c r="C815" s="12">
        <v>-0.107054</v>
      </c>
      <c r="D815" s="12">
        <v>0.25698199999999999</v>
      </c>
      <c r="E815" s="12">
        <v>19.635478742042</v>
      </c>
      <c r="F815" s="12">
        <v>196</v>
      </c>
      <c r="G815" s="12">
        <v>252.33975312441299</v>
      </c>
      <c r="H815" s="12" t="s">
        <v>0</v>
      </c>
      <c r="I815" s="12">
        <v>0.46539700000000001</v>
      </c>
      <c r="J815" s="12">
        <v>46.472999999999999</v>
      </c>
      <c r="K815" s="12">
        <v>161.61938000000001</v>
      </c>
      <c r="L815" s="12" t="s">
        <v>1</v>
      </c>
      <c r="M815" s="12" t="s">
        <v>0</v>
      </c>
      <c r="N815" s="12">
        <v>5.5688061719168704</v>
      </c>
      <c r="O815" s="12">
        <v>22</v>
      </c>
      <c r="P815" s="12">
        <v>1501.9</v>
      </c>
      <c r="Q815" s="12" t="s">
        <v>1</v>
      </c>
    </row>
    <row r="816" spans="1:17" x14ac:dyDescent="0.25">
      <c r="A816" s="12">
        <f t="shared" si="12"/>
        <v>815</v>
      </c>
      <c r="B816" s="12">
        <v>0.88565899999999997</v>
      </c>
      <c r="C816" s="12">
        <v>0.27458300000000002</v>
      </c>
      <c r="D816" s="12">
        <v>0.55247900000000005</v>
      </c>
      <c r="E816" s="12">
        <v>339.82591219837599</v>
      </c>
      <c r="F816" s="12">
        <v>36</v>
      </c>
      <c r="G816" s="12">
        <v>1.9561662600863201</v>
      </c>
      <c r="H816" s="12" t="s">
        <v>0</v>
      </c>
      <c r="I816" s="12">
        <v>1.008527</v>
      </c>
      <c r="J816" s="12">
        <v>237.29150000000001</v>
      </c>
      <c r="K816" s="12">
        <v>335.96260999999998</v>
      </c>
      <c r="L816" s="12" t="s">
        <v>1</v>
      </c>
      <c r="M816" s="12" t="s">
        <v>0</v>
      </c>
      <c r="N816" s="12">
        <v>28.434367691851399</v>
      </c>
      <c r="O816" s="12">
        <v>14</v>
      </c>
      <c r="P816" s="12">
        <v>6789.5</v>
      </c>
      <c r="Q816" s="12" t="s">
        <v>1</v>
      </c>
    </row>
    <row r="817" spans="1:17" x14ac:dyDescent="0.25">
      <c r="A817" s="12">
        <f t="shared" si="12"/>
        <v>816</v>
      </c>
      <c r="B817" s="12">
        <v>0.51037699999999997</v>
      </c>
      <c r="C817" s="12">
        <v>9.31342E-2</v>
      </c>
      <c r="D817" s="12">
        <v>0.26405000000000001</v>
      </c>
      <c r="E817" s="12">
        <v>57.198471694718798</v>
      </c>
      <c r="F817" s="12">
        <v>81</v>
      </c>
      <c r="G817" s="12">
        <v>6.9667071495590094E-2</v>
      </c>
      <c r="H817" s="12" t="s">
        <v>0</v>
      </c>
      <c r="I817" s="12">
        <v>0.70830099999999996</v>
      </c>
      <c r="J817" s="12">
        <v>146.56710000000001</v>
      </c>
      <c r="K817" s="12">
        <v>165.7895</v>
      </c>
      <c r="L817" s="12" t="s">
        <v>1</v>
      </c>
      <c r="M817" s="12" t="s">
        <v>0</v>
      </c>
      <c r="N817" s="12">
        <v>17.5629671224142</v>
      </c>
      <c r="O817" s="12">
        <v>17</v>
      </c>
      <c r="P817" s="12">
        <v>7396.34</v>
      </c>
      <c r="Q817" s="12" t="s">
        <v>1</v>
      </c>
    </row>
    <row r="818" spans="1:17" x14ac:dyDescent="0.25">
      <c r="A818" s="12">
        <f t="shared" si="12"/>
        <v>817</v>
      </c>
      <c r="B818" s="12">
        <v>0.45673200000000003</v>
      </c>
      <c r="C818" s="12">
        <v>4.9859599999999997E-2</v>
      </c>
      <c r="D818" s="12">
        <v>0.18312700000000001</v>
      </c>
      <c r="E818" s="12">
        <v>24.702831720369101</v>
      </c>
      <c r="F818" s="12">
        <v>100</v>
      </c>
      <c r="G818" s="12">
        <v>2.47799350647401</v>
      </c>
      <c r="H818" s="12" t="s">
        <v>0</v>
      </c>
      <c r="I818" s="12">
        <v>0.665385</v>
      </c>
      <c r="J818" s="12">
        <v>124.9298</v>
      </c>
      <c r="K818" s="12">
        <v>118.04492999999999</v>
      </c>
      <c r="L818" s="12" t="s">
        <v>1</v>
      </c>
      <c r="M818" s="12" t="s">
        <v>0</v>
      </c>
      <c r="N818" s="12">
        <v>14.9701943342659</v>
      </c>
      <c r="O818" s="12">
        <v>18</v>
      </c>
      <c r="P818" s="12">
        <v>7874.57</v>
      </c>
      <c r="Q818" s="12" t="s">
        <v>1</v>
      </c>
    </row>
    <row r="819" spans="1:17" x14ac:dyDescent="0.25">
      <c r="A819" s="12">
        <f t="shared" si="12"/>
        <v>818</v>
      </c>
      <c r="B819" s="12">
        <v>1.05772</v>
      </c>
      <c r="C819" s="12">
        <v>5.7438400000000001E-2</v>
      </c>
      <c r="D819" s="12">
        <v>0.71320700000000004</v>
      </c>
      <c r="E819" s="12">
        <v>29.422746046526001</v>
      </c>
      <c r="F819" s="12">
        <v>49</v>
      </c>
      <c r="G819" s="12">
        <v>223.27482650328301</v>
      </c>
      <c r="H819" s="12" t="s">
        <v>0</v>
      </c>
      <c r="I819" s="12">
        <v>1.1461699999999999</v>
      </c>
      <c r="J819" s="12">
        <v>128.7192</v>
      </c>
      <c r="K819" s="12">
        <v>430.79212999999999</v>
      </c>
      <c r="L819" s="12" t="s">
        <v>1</v>
      </c>
      <c r="M819" s="12" t="s">
        <v>0</v>
      </c>
      <c r="N819" s="12">
        <v>15.4242737805651</v>
      </c>
      <c r="O819" s="12">
        <v>15</v>
      </c>
      <c r="P819" s="12">
        <v>1846.03</v>
      </c>
      <c r="Q819" s="12" t="s">
        <v>1</v>
      </c>
    </row>
    <row r="820" spans="1:17" x14ac:dyDescent="0.25">
      <c r="A820" s="12">
        <f t="shared" si="12"/>
        <v>819</v>
      </c>
      <c r="B820" s="12">
        <v>1.11635</v>
      </c>
      <c r="C820" s="12">
        <v>-5.67748E-2</v>
      </c>
      <c r="D820" s="12">
        <v>0.60809800000000003</v>
      </c>
      <c r="E820" s="12">
        <v>2.0128358332195599</v>
      </c>
      <c r="F820" s="12">
        <v>100</v>
      </c>
      <c r="G820" s="12">
        <v>323.61180949498203</v>
      </c>
      <c r="H820" s="12" t="s">
        <v>0</v>
      </c>
      <c r="I820" s="12">
        <v>1.1930799999999999</v>
      </c>
      <c r="J820" s="12">
        <v>71.6126</v>
      </c>
      <c r="K820" s="12">
        <v>368.77782000000002</v>
      </c>
      <c r="L820" s="12" t="s">
        <v>1</v>
      </c>
      <c r="M820" s="12" t="s">
        <v>0</v>
      </c>
      <c r="N820" s="12">
        <v>8.5812555433695703</v>
      </c>
      <c r="O820" s="12">
        <v>18</v>
      </c>
      <c r="P820" s="12">
        <v>733.93700000000001</v>
      </c>
      <c r="Q820" s="12" t="s">
        <v>1</v>
      </c>
    </row>
    <row r="821" spans="1:17" x14ac:dyDescent="0.25">
      <c r="A821" s="12">
        <f t="shared" si="12"/>
        <v>820</v>
      </c>
      <c r="B821" s="12">
        <v>0.153755</v>
      </c>
      <c r="C821" s="12">
        <v>-2.0214900000000001E-2</v>
      </c>
      <c r="D821" s="12">
        <v>0.14096</v>
      </c>
      <c r="E821" s="12">
        <v>0.59555320939144096</v>
      </c>
      <c r="F821" s="12">
        <v>132.25</v>
      </c>
      <c r="G821" s="12">
        <v>61.4832144124601</v>
      </c>
      <c r="H821" s="12" t="s">
        <v>0</v>
      </c>
      <c r="I821" s="12">
        <v>0.42300399999999999</v>
      </c>
      <c r="J821" s="12">
        <v>89.89255</v>
      </c>
      <c r="K821" s="12">
        <v>93.166399999999996</v>
      </c>
      <c r="L821" s="12" t="s">
        <v>1</v>
      </c>
      <c r="M821" s="12" t="s">
        <v>0</v>
      </c>
      <c r="N821" s="12">
        <v>10.7717209401016</v>
      </c>
      <c r="O821" s="12">
        <v>19.5</v>
      </c>
      <c r="P821" s="12">
        <v>4437.99</v>
      </c>
      <c r="Q821" s="12" t="s">
        <v>1</v>
      </c>
    </row>
    <row r="822" spans="1:17" x14ac:dyDescent="0.25">
      <c r="A822" s="12">
        <f t="shared" si="12"/>
        <v>821</v>
      </c>
      <c r="B822" s="12">
        <v>1.0415399999999999</v>
      </c>
      <c r="C822" s="12">
        <v>-2.7833299999999998E-2</v>
      </c>
      <c r="D822" s="12">
        <v>0.599997</v>
      </c>
      <c r="E822" s="12">
        <v>9.9394468311572198E-2</v>
      </c>
      <c r="F822" s="12">
        <v>81</v>
      </c>
      <c r="G822" s="12">
        <v>282.28234679376902</v>
      </c>
      <c r="H822" s="12" t="s">
        <v>0</v>
      </c>
      <c r="I822" s="12">
        <v>1.13323</v>
      </c>
      <c r="J822" s="12">
        <v>86.083349999999996</v>
      </c>
      <c r="K822" s="12">
        <v>363.99822999999998</v>
      </c>
      <c r="L822" s="12" t="s">
        <v>1</v>
      </c>
      <c r="M822" s="12" t="s">
        <v>0</v>
      </c>
      <c r="N822" s="12">
        <v>10.3152688825614</v>
      </c>
      <c r="O822" s="12">
        <v>17</v>
      </c>
      <c r="P822" s="12">
        <v>1167.54</v>
      </c>
      <c r="Q822" s="12" t="s">
        <v>1</v>
      </c>
    </row>
    <row r="823" spans="1:17" x14ac:dyDescent="0.25">
      <c r="A823" s="12">
        <f t="shared" si="12"/>
        <v>822</v>
      </c>
      <c r="B823" s="12">
        <v>0.988954</v>
      </c>
      <c r="C823" s="12">
        <v>0.31143300000000002</v>
      </c>
      <c r="D823" s="12">
        <v>0.59365999999999997</v>
      </c>
      <c r="E823" s="12">
        <v>426.10100969433103</v>
      </c>
      <c r="F823" s="12">
        <v>30.25</v>
      </c>
      <c r="G823" s="12">
        <v>1.8135603047476001</v>
      </c>
      <c r="H823" s="12" t="s">
        <v>0</v>
      </c>
      <c r="I823" s="12">
        <v>1.0911630000000001</v>
      </c>
      <c r="J823" s="12">
        <v>255.7165</v>
      </c>
      <c r="K823" s="12">
        <v>360.25940000000003</v>
      </c>
      <c r="L823" s="12" t="s">
        <v>1</v>
      </c>
      <c r="M823" s="12" t="s">
        <v>0</v>
      </c>
      <c r="N823" s="12">
        <v>30.642214263356799</v>
      </c>
      <c r="O823" s="12">
        <v>13.5</v>
      </c>
      <c r="P823" s="12">
        <v>6808.46</v>
      </c>
      <c r="Q823" s="12" t="s">
        <v>1</v>
      </c>
    </row>
    <row r="824" spans="1:17" x14ac:dyDescent="0.25">
      <c r="A824" s="12">
        <f t="shared" si="12"/>
        <v>823</v>
      </c>
      <c r="B824" s="12">
        <v>1.0416700000000001</v>
      </c>
      <c r="C824" s="12">
        <v>2.1096699999999999E-2</v>
      </c>
      <c r="D824" s="12">
        <v>0.62362399999999996</v>
      </c>
      <c r="E824" s="12">
        <v>10.5422408480102</v>
      </c>
      <c r="F824" s="12">
        <v>49</v>
      </c>
      <c r="G824" s="12">
        <v>222.711056681553</v>
      </c>
      <c r="H824" s="12" t="s">
        <v>0</v>
      </c>
      <c r="I824" s="12">
        <v>1.1333299999999999</v>
      </c>
      <c r="J824" s="12">
        <v>110.54835</v>
      </c>
      <c r="K824" s="12">
        <v>377.93815999999998</v>
      </c>
      <c r="L824" s="12" t="s">
        <v>1</v>
      </c>
      <c r="M824" s="12" t="s">
        <v>0</v>
      </c>
      <c r="N824" s="12">
        <v>13.246881711428699</v>
      </c>
      <c r="O824" s="12">
        <v>15</v>
      </c>
      <c r="P824" s="12">
        <v>1852.92</v>
      </c>
      <c r="Q824" s="12" t="s">
        <v>1</v>
      </c>
    </row>
    <row r="825" spans="1:17" x14ac:dyDescent="0.25">
      <c r="A825" s="12">
        <f t="shared" si="12"/>
        <v>824</v>
      </c>
      <c r="B825" s="12">
        <v>0.151638</v>
      </c>
      <c r="C825" s="12">
        <v>-4.4285600000000001E-2</v>
      </c>
      <c r="D825" s="12">
        <v>0.17727499999999999</v>
      </c>
      <c r="E825" s="12">
        <v>0.449518242756483</v>
      </c>
      <c r="F825" s="12">
        <v>144</v>
      </c>
      <c r="G825" s="12">
        <v>108.313347465565</v>
      </c>
      <c r="H825" s="12" t="s">
        <v>0</v>
      </c>
      <c r="I825" s="12">
        <v>0.42131000000000002</v>
      </c>
      <c r="J825" s="12">
        <v>77.857200000000006</v>
      </c>
      <c r="K825" s="12">
        <v>114.59225000000001</v>
      </c>
      <c r="L825" s="12" t="s">
        <v>1</v>
      </c>
      <c r="M825" s="12" t="s">
        <v>0</v>
      </c>
      <c r="N825" s="12">
        <v>9.3295387835553107</v>
      </c>
      <c r="O825" s="12">
        <v>20</v>
      </c>
      <c r="P825" s="12">
        <v>3501.31</v>
      </c>
      <c r="Q825" s="12" t="s">
        <v>1</v>
      </c>
    </row>
    <row r="826" spans="1:17" x14ac:dyDescent="0.25">
      <c r="A826" s="12">
        <f t="shared" si="12"/>
        <v>825</v>
      </c>
      <c r="B826" s="12">
        <v>0.83881600000000001</v>
      </c>
      <c r="C826" s="12">
        <v>-5.9238900000000002E-3</v>
      </c>
      <c r="D826" s="12">
        <v>0.77028799999999997</v>
      </c>
      <c r="E826" s="12">
        <v>2.6502491736790201</v>
      </c>
      <c r="F826" s="12">
        <v>90.25</v>
      </c>
      <c r="G826" s="12">
        <v>272.70767163520298</v>
      </c>
      <c r="H826" s="12" t="s">
        <v>0</v>
      </c>
      <c r="I826" s="12">
        <v>0.97105200000000003</v>
      </c>
      <c r="J826" s="12">
        <v>97.038055</v>
      </c>
      <c r="K826" s="12">
        <v>464.46992</v>
      </c>
      <c r="L826" s="12" t="s">
        <v>1</v>
      </c>
      <c r="M826" s="12" t="s">
        <v>0</v>
      </c>
      <c r="N826" s="12">
        <v>11.6279585908981</v>
      </c>
      <c r="O826" s="12">
        <v>17.5</v>
      </c>
      <c r="P826" s="12">
        <v>1272.44</v>
      </c>
      <c r="Q826" s="12" t="s">
        <v>1</v>
      </c>
    </row>
    <row r="827" spans="1:17" x14ac:dyDescent="0.25">
      <c r="A827" s="12">
        <f t="shared" si="12"/>
        <v>826</v>
      </c>
      <c r="B827" s="12">
        <v>1.0315000000000001</v>
      </c>
      <c r="C827" s="12">
        <v>3.1614799999999998E-2</v>
      </c>
      <c r="D827" s="12">
        <v>0.65736399999999995</v>
      </c>
      <c r="E827" s="12">
        <v>15.031653391685399</v>
      </c>
      <c r="F827" s="12">
        <v>56.25</v>
      </c>
      <c r="G827" s="12">
        <v>221.39401690748701</v>
      </c>
      <c r="H827" s="12" t="s">
        <v>0</v>
      </c>
      <c r="I827" s="12">
        <v>1.1252</v>
      </c>
      <c r="J827" s="12">
        <v>115.8074</v>
      </c>
      <c r="K827" s="12">
        <v>397.84476000000001</v>
      </c>
      <c r="L827" s="12" t="s">
        <v>1</v>
      </c>
      <c r="M827" s="12" t="s">
        <v>0</v>
      </c>
      <c r="N827" s="12">
        <v>13.8770676279483</v>
      </c>
      <c r="O827" s="12">
        <v>15.5</v>
      </c>
      <c r="P827" s="12">
        <v>1869.05</v>
      </c>
      <c r="Q827" s="12" t="s">
        <v>1</v>
      </c>
    </row>
    <row r="828" spans="1:17" x14ac:dyDescent="0.25">
      <c r="A828" s="12">
        <f t="shared" si="12"/>
        <v>827</v>
      </c>
      <c r="B828" s="12">
        <v>0.92947199999999996</v>
      </c>
      <c r="C828" s="12">
        <v>0.35018199999999999</v>
      </c>
      <c r="D828" s="12">
        <v>0.57151799999999997</v>
      </c>
      <c r="E828" s="12">
        <v>527.33787077590796</v>
      </c>
      <c r="F828" s="12">
        <v>42.25</v>
      </c>
      <c r="G828" s="12">
        <v>17.616073872021001</v>
      </c>
      <c r="H828" s="12" t="s">
        <v>0</v>
      </c>
      <c r="I828" s="12">
        <v>1.043577</v>
      </c>
      <c r="J828" s="12">
        <v>275.09100000000001</v>
      </c>
      <c r="K828" s="12">
        <v>347.19562000000002</v>
      </c>
      <c r="L828" s="12" t="s">
        <v>1</v>
      </c>
      <c r="M828" s="12" t="s">
        <v>0</v>
      </c>
      <c r="N828" s="12">
        <v>32.963838328465599</v>
      </c>
      <c r="O828" s="12">
        <v>14.5</v>
      </c>
      <c r="P828" s="12">
        <v>5768.04</v>
      </c>
      <c r="Q828" s="12" t="s">
        <v>1</v>
      </c>
    </row>
    <row r="829" spans="1:17" x14ac:dyDescent="0.25">
      <c r="A829" s="12">
        <f t="shared" si="12"/>
        <v>828</v>
      </c>
      <c r="B829" s="12">
        <v>1.0061100000000001</v>
      </c>
      <c r="C829" s="12">
        <v>4.43968E-2</v>
      </c>
      <c r="D829" s="12">
        <v>0.71172899999999995</v>
      </c>
      <c r="E829" s="12">
        <v>21.556462948167201</v>
      </c>
      <c r="F829" s="12">
        <v>64</v>
      </c>
      <c r="G829" s="12">
        <v>250.95767941452399</v>
      </c>
      <c r="H829" s="12" t="s">
        <v>0</v>
      </c>
      <c r="I829" s="12">
        <v>1.1048800000000001</v>
      </c>
      <c r="J829" s="12">
        <v>122.19840000000001</v>
      </c>
      <c r="K829" s="12">
        <v>429.92011000000002</v>
      </c>
      <c r="L829" s="12" t="s">
        <v>1</v>
      </c>
      <c r="M829" s="12" t="s">
        <v>0</v>
      </c>
      <c r="N829" s="12">
        <v>14.6428938118556</v>
      </c>
      <c r="O829" s="12">
        <v>16</v>
      </c>
      <c r="P829" s="12">
        <v>1517.8</v>
      </c>
      <c r="Q829" s="12" t="s">
        <v>1</v>
      </c>
    </row>
    <row r="830" spans="1:17" x14ac:dyDescent="0.25">
      <c r="A830" s="12">
        <f t="shared" si="12"/>
        <v>829</v>
      </c>
      <c r="B830" s="12">
        <v>1.09138</v>
      </c>
      <c r="C830" s="12">
        <v>0.115005</v>
      </c>
      <c r="D830" s="12">
        <v>0.64251800000000003</v>
      </c>
      <c r="E830" s="12">
        <v>78.736225486415293</v>
      </c>
      <c r="F830" s="12">
        <v>36</v>
      </c>
      <c r="G830" s="12">
        <v>127.205643752298</v>
      </c>
      <c r="H830" s="12" t="s">
        <v>0</v>
      </c>
      <c r="I830" s="12">
        <v>1.1731</v>
      </c>
      <c r="J830" s="12">
        <v>157.5025</v>
      </c>
      <c r="K830" s="12">
        <v>389.08562000000001</v>
      </c>
      <c r="L830" s="12" t="s">
        <v>1</v>
      </c>
      <c r="M830" s="12" t="s">
        <v>0</v>
      </c>
      <c r="N830" s="12">
        <v>18.873343534790799</v>
      </c>
      <c r="O830" s="12">
        <v>14</v>
      </c>
      <c r="P830" s="12">
        <v>3183.33</v>
      </c>
      <c r="Q830" s="12" t="s">
        <v>1</v>
      </c>
    </row>
    <row r="831" spans="1:17" x14ac:dyDescent="0.25">
      <c r="A831" s="12">
        <f t="shared" si="12"/>
        <v>830</v>
      </c>
      <c r="B831" s="12">
        <v>1.0795399999999999</v>
      </c>
      <c r="C831" s="12">
        <v>7.5115100000000004E-2</v>
      </c>
      <c r="D831" s="12">
        <v>0.60932600000000003</v>
      </c>
      <c r="E831" s="12">
        <v>42.033997110845398</v>
      </c>
      <c r="F831" s="12">
        <v>49</v>
      </c>
      <c r="G831" s="12">
        <v>182.183430737474</v>
      </c>
      <c r="H831" s="12" t="s">
        <v>0</v>
      </c>
      <c r="I831" s="12">
        <v>1.1636299999999999</v>
      </c>
      <c r="J831" s="12">
        <v>137.55754999999999</v>
      </c>
      <c r="K831" s="12">
        <v>369.50234</v>
      </c>
      <c r="L831" s="12" t="s">
        <v>1</v>
      </c>
      <c r="M831" s="12" t="s">
        <v>0</v>
      </c>
      <c r="N831" s="12">
        <v>16.483363101881999</v>
      </c>
      <c r="O831" s="12">
        <v>15</v>
      </c>
      <c r="P831" s="12">
        <v>2373.4</v>
      </c>
      <c r="Q831" s="12" t="s">
        <v>1</v>
      </c>
    </row>
    <row r="832" spans="1:17" x14ac:dyDescent="0.25">
      <c r="A832" s="12">
        <f t="shared" si="12"/>
        <v>831</v>
      </c>
      <c r="B832" s="12">
        <v>1.1074999999999999</v>
      </c>
      <c r="C832" s="12">
        <v>-3.1961999999999997E-2</v>
      </c>
      <c r="D832" s="12">
        <v>0.65575499999999998</v>
      </c>
      <c r="E832" s="12">
        <v>4.6104364694916503E-3</v>
      </c>
      <c r="F832" s="12">
        <v>72.25</v>
      </c>
      <c r="G832" s="12">
        <v>297.07402939688399</v>
      </c>
      <c r="H832" s="12" t="s">
        <v>0</v>
      </c>
      <c r="I832" s="12">
        <v>1.1859999999999999</v>
      </c>
      <c r="J832" s="12">
        <v>84.019000000000005</v>
      </c>
      <c r="K832" s="12">
        <v>396.89544999999998</v>
      </c>
      <c r="L832" s="12" t="s">
        <v>1</v>
      </c>
      <c r="M832" s="12" t="s">
        <v>0</v>
      </c>
      <c r="N832" s="12">
        <v>10.0679001949149</v>
      </c>
      <c r="O832" s="12">
        <v>16.5</v>
      </c>
      <c r="P832" s="12">
        <v>1008.92</v>
      </c>
      <c r="Q832" s="12" t="s">
        <v>1</v>
      </c>
    </row>
    <row r="833" spans="1:17" x14ac:dyDescent="0.25">
      <c r="A833" s="12">
        <f t="shared" si="12"/>
        <v>832</v>
      </c>
      <c r="B833" s="12">
        <v>1.01932</v>
      </c>
      <c r="C833" s="12">
        <v>3.0558999999999999E-2</v>
      </c>
      <c r="D833" s="12">
        <v>0.68157299999999998</v>
      </c>
      <c r="E833" s="12">
        <v>14.5451465463058</v>
      </c>
      <c r="F833" s="12">
        <v>56.25</v>
      </c>
      <c r="G833" s="12">
        <v>226.22962059373199</v>
      </c>
      <c r="H833" s="12" t="s">
        <v>0</v>
      </c>
      <c r="I833" s="12">
        <v>1.1154500000000001</v>
      </c>
      <c r="J833" s="12">
        <v>115.2795</v>
      </c>
      <c r="K833" s="12">
        <v>412.12806999999998</v>
      </c>
      <c r="L833" s="12" t="s">
        <v>1</v>
      </c>
      <c r="M833" s="12" t="s">
        <v>0</v>
      </c>
      <c r="N833" s="12">
        <v>13.813809977739499</v>
      </c>
      <c r="O833" s="12">
        <v>15.5</v>
      </c>
      <c r="P833" s="12">
        <v>1810.06</v>
      </c>
      <c r="Q833" s="12" t="s">
        <v>1</v>
      </c>
    </row>
    <row r="834" spans="1:17" x14ac:dyDescent="0.25">
      <c r="A834" s="12">
        <f t="shared" si="12"/>
        <v>833</v>
      </c>
      <c r="B834" s="12">
        <v>1.09884</v>
      </c>
      <c r="C834" s="12">
        <v>0.331287</v>
      </c>
      <c r="D834" s="12">
        <v>0.63414899999999996</v>
      </c>
      <c r="E834" s="12">
        <v>476.62553785620003</v>
      </c>
      <c r="F834" s="12">
        <v>30.25</v>
      </c>
      <c r="G834" s="12">
        <v>40.168854861324803</v>
      </c>
      <c r="H834" s="12" t="s">
        <v>0</v>
      </c>
      <c r="I834" s="12">
        <v>1.1790700000000001</v>
      </c>
      <c r="J834" s="12">
        <v>265.64350000000002</v>
      </c>
      <c r="K834" s="12">
        <v>384.14791000000002</v>
      </c>
      <c r="L834" s="12" t="s">
        <v>1</v>
      </c>
      <c r="M834" s="12" t="s">
        <v>0</v>
      </c>
      <c r="N834" s="12">
        <v>31.8317552628321</v>
      </c>
      <c r="O834" s="12">
        <v>13.5</v>
      </c>
      <c r="P834" s="12">
        <v>4986.67</v>
      </c>
      <c r="Q834" s="12" t="s">
        <v>1</v>
      </c>
    </row>
    <row r="835" spans="1:17" x14ac:dyDescent="0.25">
      <c r="A835" s="12">
        <f t="shared" si="12"/>
        <v>834</v>
      </c>
      <c r="B835" s="12">
        <v>0.95319100000000001</v>
      </c>
      <c r="C835" s="12">
        <v>0.15955900000000001</v>
      </c>
      <c r="D835" s="12">
        <v>0.57937099999999997</v>
      </c>
      <c r="E835" s="12">
        <v>133.23555863336401</v>
      </c>
      <c r="F835" s="12">
        <v>42.25</v>
      </c>
      <c r="G835" s="12">
        <v>82.234586628635697</v>
      </c>
      <c r="H835" s="12" t="s">
        <v>0</v>
      </c>
      <c r="I835" s="12">
        <v>1.0625519999999999</v>
      </c>
      <c r="J835" s="12">
        <v>179.77950000000001</v>
      </c>
      <c r="K835" s="12">
        <v>351.82889</v>
      </c>
      <c r="L835" s="12" t="s">
        <v>1</v>
      </c>
      <c r="M835" s="12" t="s">
        <v>0</v>
      </c>
      <c r="N835" s="12">
        <v>21.542770838640202</v>
      </c>
      <c r="O835" s="12">
        <v>14.5</v>
      </c>
      <c r="P835" s="12">
        <v>3990.06</v>
      </c>
      <c r="Q835" s="12" t="s">
        <v>1</v>
      </c>
    </row>
    <row r="836" spans="1:17" x14ac:dyDescent="0.25">
      <c r="A836" s="12">
        <f t="shared" ref="A836:A899" si="13">A835+1</f>
        <v>835</v>
      </c>
      <c r="B836" s="12">
        <v>1.0025900000000001</v>
      </c>
      <c r="C836" s="12">
        <v>2.4707400000000001E-2</v>
      </c>
      <c r="D836" s="12">
        <v>0.59832700000000005</v>
      </c>
      <c r="E836" s="12">
        <v>11.9938562437932</v>
      </c>
      <c r="F836" s="12">
        <v>64</v>
      </c>
      <c r="G836" s="12">
        <v>240.00036624957701</v>
      </c>
      <c r="H836" s="12" t="s">
        <v>0</v>
      </c>
      <c r="I836" s="12">
        <v>1.1020700000000001</v>
      </c>
      <c r="J836" s="12">
        <v>112.3537</v>
      </c>
      <c r="K836" s="12">
        <v>363.01292999999998</v>
      </c>
      <c r="L836" s="12" t="s">
        <v>1</v>
      </c>
      <c r="M836" s="12" t="s">
        <v>0</v>
      </c>
      <c r="N836" s="12">
        <v>13.463214726781001</v>
      </c>
      <c r="O836" s="12">
        <v>16</v>
      </c>
      <c r="P836" s="12">
        <v>1645.44</v>
      </c>
      <c r="Q836" s="12" t="s">
        <v>1</v>
      </c>
    </row>
    <row r="837" spans="1:17" x14ac:dyDescent="0.25">
      <c r="A837" s="12">
        <f t="shared" si="13"/>
        <v>836</v>
      </c>
      <c r="B837" s="12">
        <v>0.47161599999999998</v>
      </c>
      <c r="C837" s="12">
        <v>5.0037499999999999E-2</v>
      </c>
      <c r="D837" s="12">
        <v>0.26993299999999998</v>
      </c>
      <c r="E837" s="12">
        <v>24.808897708606001</v>
      </c>
      <c r="F837" s="12">
        <v>100</v>
      </c>
      <c r="G837" s="12">
        <v>18.459853393882501</v>
      </c>
      <c r="H837" s="12" t="s">
        <v>0</v>
      </c>
      <c r="I837" s="12">
        <v>0.67729200000000001</v>
      </c>
      <c r="J837" s="12">
        <v>125.01875</v>
      </c>
      <c r="K837" s="12">
        <v>169.26047</v>
      </c>
      <c r="L837" s="12" t="s">
        <v>1</v>
      </c>
      <c r="M837" s="12" t="s">
        <v>0</v>
      </c>
      <c r="N837" s="12">
        <v>14.980853110522901</v>
      </c>
      <c r="O837" s="12">
        <v>18</v>
      </c>
      <c r="P837" s="12">
        <v>5731.78</v>
      </c>
      <c r="Q837" s="12" t="s">
        <v>1</v>
      </c>
    </row>
    <row r="838" spans="1:17" x14ac:dyDescent="0.25">
      <c r="A838" s="12">
        <f t="shared" si="13"/>
        <v>837</v>
      </c>
      <c r="B838" s="12">
        <v>0.4637</v>
      </c>
      <c r="C838" s="12">
        <v>-1.22411E-3</v>
      </c>
      <c r="D838" s="12">
        <v>0.17060600000000001</v>
      </c>
      <c r="E838" s="12">
        <v>3.6463552652528999</v>
      </c>
      <c r="F838" s="12">
        <v>132.25</v>
      </c>
      <c r="G838" s="12">
        <v>18.536445568774599</v>
      </c>
      <c r="H838" s="12" t="s">
        <v>0</v>
      </c>
      <c r="I838" s="12">
        <v>0.67090000000000005</v>
      </c>
      <c r="J838" s="12">
        <v>99.387945000000002</v>
      </c>
      <c r="K838" s="12">
        <v>110.65754</v>
      </c>
      <c r="L838" s="12" t="s">
        <v>1</v>
      </c>
      <c r="M838" s="12" t="s">
        <v>0</v>
      </c>
      <c r="N838" s="12">
        <v>11.909543208532501</v>
      </c>
      <c r="O838" s="12">
        <v>19.5</v>
      </c>
      <c r="P838" s="12">
        <v>5728.53</v>
      </c>
      <c r="Q838" s="12" t="s">
        <v>1</v>
      </c>
    </row>
    <row r="839" spans="1:17" x14ac:dyDescent="0.25">
      <c r="A839" s="12">
        <f t="shared" si="13"/>
        <v>838</v>
      </c>
      <c r="B839" s="12">
        <v>0.93318000000000001</v>
      </c>
      <c r="C839" s="12">
        <v>-4.4275900000000003E-3</v>
      </c>
      <c r="D839" s="12">
        <v>0.73934800000000001</v>
      </c>
      <c r="E839" s="12">
        <v>2.9501791153755601</v>
      </c>
      <c r="F839" s="12">
        <v>72.25</v>
      </c>
      <c r="G839" s="12">
        <v>272.45346265715801</v>
      </c>
      <c r="H839" s="12" t="s">
        <v>0</v>
      </c>
      <c r="I839" s="12">
        <v>1.04654</v>
      </c>
      <c r="J839" s="12">
        <v>97.786204999999995</v>
      </c>
      <c r="K839" s="12">
        <v>446.21532000000002</v>
      </c>
      <c r="L839" s="12" t="s">
        <v>1</v>
      </c>
      <c r="M839" s="12" t="s">
        <v>0</v>
      </c>
      <c r="N839" s="12">
        <v>11.717608545441999</v>
      </c>
      <c r="O839" s="12">
        <v>16.5</v>
      </c>
      <c r="P839" s="12">
        <v>1275.25</v>
      </c>
      <c r="Q839" s="12" t="s">
        <v>1</v>
      </c>
    </row>
    <row r="840" spans="1:17" x14ac:dyDescent="0.25">
      <c r="A840" s="12">
        <f t="shared" si="13"/>
        <v>839</v>
      </c>
      <c r="B840" s="12">
        <v>0.92651899999999998</v>
      </c>
      <c r="C840" s="12">
        <v>0.18260799999999999</v>
      </c>
      <c r="D840" s="12">
        <v>0.46091500000000002</v>
      </c>
      <c r="E840" s="12">
        <v>167.02301492640899</v>
      </c>
      <c r="F840" s="12">
        <v>42.25</v>
      </c>
      <c r="G840" s="12">
        <v>37.108458409457597</v>
      </c>
      <c r="H840" s="12" t="s">
        <v>0</v>
      </c>
      <c r="I840" s="12">
        <v>1.041215</v>
      </c>
      <c r="J840" s="12">
        <v>191.304</v>
      </c>
      <c r="K840" s="12">
        <v>281.93984999999998</v>
      </c>
      <c r="L840" s="12" t="s">
        <v>1</v>
      </c>
      <c r="M840" s="12" t="s">
        <v>0</v>
      </c>
      <c r="N840" s="12">
        <v>22.923738426879801</v>
      </c>
      <c r="O840" s="12">
        <v>14.5</v>
      </c>
      <c r="P840" s="12">
        <v>5076.54</v>
      </c>
      <c r="Q840" s="12" t="s">
        <v>1</v>
      </c>
    </row>
    <row r="841" spans="1:17" x14ac:dyDescent="0.25">
      <c r="A841" s="12">
        <f t="shared" si="13"/>
        <v>840</v>
      </c>
      <c r="B841" s="12">
        <v>1.1144700000000001</v>
      </c>
      <c r="C841" s="12">
        <v>7.7748100000000001E-3</v>
      </c>
      <c r="D841" s="12">
        <v>0.68185499999999999</v>
      </c>
      <c r="E841" s="12">
        <v>5.9961724778594698</v>
      </c>
      <c r="F841" s="12">
        <v>56.25</v>
      </c>
      <c r="G841" s="12">
        <v>265.402483305685</v>
      </c>
      <c r="H841" s="12" t="s">
        <v>0</v>
      </c>
      <c r="I841" s="12">
        <v>1.19157</v>
      </c>
      <c r="J841" s="12">
        <v>103.887405</v>
      </c>
      <c r="K841" s="12">
        <v>412.29444999999998</v>
      </c>
      <c r="L841" s="12" t="s">
        <v>1</v>
      </c>
      <c r="M841" s="12" t="s">
        <v>0</v>
      </c>
      <c r="N841" s="12">
        <v>12.448708328457901</v>
      </c>
      <c r="O841" s="12">
        <v>15.5</v>
      </c>
      <c r="P841" s="12">
        <v>1353.72</v>
      </c>
      <c r="Q841" s="12" t="s">
        <v>1</v>
      </c>
    </row>
    <row r="842" spans="1:17" x14ac:dyDescent="0.25">
      <c r="A842" s="12">
        <f t="shared" si="13"/>
        <v>841</v>
      </c>
      <c r="B842" s="12">
        <v>1.0851900000000001</v>
      </c>
      <c r="C842" s="12">
        <v>0.102561</v>
      </c>
      <c r="D842" s="12">
        <v>0.64559900000000003</v>
      </c>
      <c r="E842" s="12">
        <v>66.060619596886497</v>
      </c>
      <c r="F842" s="12">
        <v>42.25</v>
      </c>
      <c r="G842" s="12">
        <v>181.191513971852</v>
      </c>
      <c r="H842" s="12" t="s">
        <v>0</v>
      </c>
      <c r="I842" s="12">
        <v>1.16815</v>
      </c>
      <c r="J842" s="12">
        <v>151.28049999999999</v>
      </c>
      <c r="K842" s="12">
        <v>390.90341000000001</v>
      </c>
      <c r="L842" s="12" t="s">
        <v>1</v>
      </c>
      <c r="M842" s="12" t="s">
        <v>0</v>
      </c>
      <c r="N842" s="12">
        <v>18.1277684266277</v>
      </c>
      <c r="O842" s="12">
        <v>14.5</v>
      </c>
      <c r="P842" s="12">
        <v>2386.83</v>
      </c>
      <c r="Q842" s="12" t="s">
        <v>1</v>
      </c>
    </row>
    <row r="843" spans="1:17" x14ac:dyDescent="0.25">
      <c r="A843" s="12">
        <f t="shared" si="13"/>
        <v>842</v>
      </c>
      <c r="B843" s="12">
        <v>0.97228000000000003</v>
      </c>
      <c r="C843" s="12">
        <v>0.25981500000000002</v>
      </c>
      <c r="D843" s="12">
        <v>0.92506299999999997</v>
      </c>
      <c r="E843" s="12">
        <v>307.986756424075</v>
      </c>
      <c r="F843" s="12">
        <v>42.25</v>
      </c>
      <c r="G843" s="12">
        <v>119.67640668343</v>
      </c>
      <c r="H843" s="12" t="s">
        <v>0</v>
      </c>
      <c r="I843" s="12">
        <v>1.07782</v>
      </c>
      <c r="J843" s="12">
        <v>229.9075</v>
      </c>
      <c r="K843" s="12">
        <v>555.78716999999995</v>
      </c>
      <c r="L843" s="12" t="s">
        <v>1</v>
      </c>
      <c r="M843" s="12" t="s">
        <v>0</v>
      </c>
      <c r="N843" s="12">
        <v>27.549551459341501</v>
      </c>
      <c r="O843" s="12">
        <v>14.5</v>
      </c>
      <c r="P843" s="12">
        <v>3307.02</v>
      </c>
      <c r="Q843" s="12" t="s">
        <v>1</v>
      </c>
    </row>
    <row r="844" spans="1:17" x14ac:dyDescent="0.25">
      <c r="A844" s="12">
        <f t="shared" si="13"/>
        <v>843</v>
      </c>
      <c r="B844" s="12">
        <v>0.821492</v>
      </c>
      <c r="C844" s="12">
        <v>0.179151</v>
      </c>
      <c r="D844" s="12">
        <v>0.39378099999999999</v>
      </c>
      <c r="E844" s="12">
        <v>161.71227820438699</v>
      </c>
      <c r="F844" s="12">
        <v>49</v>
      </c>
      <c r="G844" s="12">
        <v>16.8783652587727</v>
      </c>
      <c r="H844" s="12" t="s">
        <v>0</v>
      </c>
      <c r="I844" s="12">
        <v>0.95719299999999996</v>
      </c>
      <c r="J844" s="12">
        <v>189.57550000000001</v>
      </c>
      <c r="K844" s="12">
        <v>242.33079000000001</v>
      </c>
      <c r="L844" s="12" t="s">
        <v>1</v>
      </c>
      <c r="M844" s="12" t="s">
        <v>0</v>
      </c>
      <c r="N844" s="12">
        <v>22.716614258692701</v>
      </c>
      <c r="O844" s="12">
        <v>15</v>
      </c>
      <c r="P844" s="12">
        <v>5800.46</v>
      </c>
      <c r="Q844" s="12" t="s">
        <v>1</v>
      </c>
    </row>
    <row r="845" spans="1:17" x14ac:dyDescent="0.25">
      <c r="A845" s="12">
        <f t="shared" si="13"/>
        <v>844</v>
      </c>
      <c r="B845" s="12">
        <v>0.96116199999999996</v>
      </c>
      <c r="C845" s="12">
        <v>0.33759400000000001</v>
      </c>
      <c r="D845" s="12">
        <v>0.60627699999999995</v>
      </c>
      <c r="E845" s="12">
        <v>493.26791095566102</v>
      </c>
      <c r="F845" s="12">
        <v>30.25</v>
      </c>
      <c r="G845" s="12">
        <v>0.734190748733345</v>
      </c>
      <c r="H845" s="12" t="s">
        <v>0</v>
      </c>
      <c r="I845" s="12">
        <v>1.068929</v>
      </c>
      <c r="J845" s="12">
        <v>268.79700000000003</v>
      </c>
      <c r="K845" s="12">
        <v>367.70343000000003</v>
      </c>
      <c r="L845" s="12" t="s">
        <v>1</v>
      </c>
      <c r="M845" s="12" t="s">
        <v>0</v>
      </c>
      <c r="N845" s="12">
        <v>32.209635543062397</v>
      </c>
      <c r="O845" s="12">
        <v>13.5</v>
      </c>
      <c r="P845" s="12">
        <v>6987.25</v>
      </c>
      <c r="Q845" s="12" t="s">
        <v>1</v>
      </c>
    </row>
    <row r="846" spans="1:17" x14ac:dyDescent="0.25">
      <c r="A846" s="12">
        <f t="shared" si="13"/>
        <v>845</v>
      </c>
      <c r="B846" s="12">
        <v>1.00556</v>
      </c>
      <c r="C846" s="12">
        <v>4.12897E-3</v>
      </c>
      <c r="D846" s="12">
        <v>0.65554100000000004</v>
      </c>
      <c r="E846" s="12">
        <v>4.9741039169549</v>
      </c>
      <c r="F846" s="12">
        <v>72.25</v>
      </c>
      <c r="G846" s="12">
        <v>256.70623983861799</v>
      </c>
      <c r="H846" s="12" t="s">
        <v>0</v>
      </c>
      <c r="I846" s="12">
        <v>1.1044400000000001</v>
      </c>
      <c r="J846" s="12">
        <v>102.064485</v>
      </c>
      <c r="K846" s="12">
        <v>396.76918999999998</v>
      </c>
      <c r="L846" s="12" t="s">
        <v>1</v>
      </c>
      <c r="M846" s="12" t="s">
        <v>0</v>
      </c>
      <c r="N846" s="12">
        <v>12.2302699202013</v>
      </c>
      <c r="O846" s="12">
        <v>16.5</v>
      </c>
      <c r="P846" s="12">
        <v>1451.95</v>
      </c>
      <c r="Q846" s="12" t="s">
        <v>1</v>
      </c>
    </row>
    <row r="847" spans="1:17" x14ac:dyDescent="0.25">
      <c r="A847" s="12">
        <f t="shared" si="13"/>
        <v>846</v>
      </c>
      <c r="B847" s="12">
        <v>0.56772999999999996</v>
      </c>
      <c r="C847" s="12">
        <v>1.31012E-2</v>
      </c>
      <c r="D847" s="12">
        <v>0.15041099999999999</v>
      </c>
      <c r="E847" s="12">
        <v>7.6609157028274204</v>
      </c>
      <c r="F847" s="12">
        <v>110.25</v>
      </c>
      <c r="G847" s="12">
        <v>1.4466487528617</v>
      </c>
      <c r="H847" s="12" t="s">
        <v>0</v>
      </c>
      <c r="I847" s="12">
        <v>0.75417999999999996</v>
      </c>
      <c r="J847" s="12">
        <v>106.5506</v>
      </c>
      <c r="K847" s="12">
        <v>98.742490000000004</v>
      </c>
      <c r="L847" s="12" t="s">
        <v>1</v>
      </c>
      <c r="M847" s="12" t="s">
        <v>0</v>
      </c>
      <c r="N847" s="12">
        <v>12.767835924116</v>
      </c>
      <c r="O847" s="12">
        <v>18.5</v>
      </c>
      <c r="P847" s="12">
        <v>6860.99</v>
      </c>
      <c r="Q847" s="12" t="s">
        <v>1</v>
      </c>
    </row>
    <row r="848" spans="1:17" x14ac:dyDescent="0.25">
      <c r="A848" s="12">
        <f t="shared" si="13"/>
        <v>847</v>
      </c>
      <c r="B848" s="12">
        <v>0.59857199999999999</v>
      </c>
      <c r="C848" s="12">
        <v>-4.3600800000000002E-2</v>
      </c>
      <c r="D848" s="12">
        <v>0.137908</v>
      </c>
      <c r="E848" s="12">
        <v>0.396184413528538</v>
      </c>
      <c r="F848" s="12">
        <v>132.25</v>
      </c>
      <c r="G848" s="12">
        <v>33.743048659035402</v>
      </c>
      <c r="H848" s="12" t="s">
        <v>0</v>
      </c>
      <c r="I848" s="12">
        <v>0.77885700000000002</v>
      </c>
      <c r="J848" s="12">
        <v>78.199600000000004</v>
      </c>
      <c r="K848" s="12">
        <v>91.365719999999996</v>
      </c>
      <c r="L848" s="12" t="s">
        <v>1</v>
      </c>
      <c r="M848" s="12" t="s">
        <v>0</v>
      </c>
      <c r="N848" s="12">
        <v>9.3705681819858899</v>
      </c>
      <c r="O848" s="12">
        <v>19.5</v>
      </c>
      <c r="P848" s="12">
        <v>5179.76</v>
      </c>
      <c r="Q848" s="12" t="s">
        <v>1</v>
      </c>
    </row>
    <row r="849" spans="1:17" x14ac:dyDescent="0.25">
      <c r="A849" s="12">
        <f t="shared" si="13"/>
        <v>848</v>
      </c>
      <c r="B849" s="12">
        <v>1.07406</v>
      </c>
      <c r="C849" s="12">
        <v>-5.1596000000000003E-2</v>
      </c>
      <c r="D849" s="12">
        <v>0.68756099999999998</v>
      </c>
      <c r="E849" s="12">
        <v>1.2286827535547999</v>
      </c>
      <c r="F849" s="12">
        <v>90.25</v>
      </c>
      <c r="G849" s="12">
        <v>321.628257731514</v>
      </c>
      <c r="H849" s="12" t="s">
        <v>0</v>
      </c>
      <c r="I849" s="12">
        <v>1.15924</v>
      </c>
      <c r="J849" s="12">
        <v>74.201999999999998</v>
      </c>
      <c r="K849" s="12">
        <v>415.66099000000003</v>
      </c>
      <c r="L849" s="12" t="s">
        <v>1</v>
      </c>
      <c r="M849" s="12" t="s">
        <v>0</v>
      </c>
      <c r="N849" s="12">
        <v>8.8915403690008308</v>
      </c>
      <c r="O849" s="12">
        <v>17.5</v>
      </c>
      <c r="P849" s="12">
        <v>754.09100000000001</v>
      </c>
      <c r="Q849" s="12" t="s">
        <v>1</v>
      </c>
    </row>
    <row r="850" spans="1:17" x14ac:dyDescent="0.25">
      <c r="A850" s="12">
        <f t="shared" si="13"/>
        <v>849</v>
      </c>
      <c r="B850" s="12">
        <v>0.97969099999999998</v>
      </c>
      <c r="C850" s="12">
        <v>0.118398</v>
      </c>
      <c r="D850" s="12">
        <v>0.53225900000000004</v>
      </c>
      <c r="E850" s="12">
        <v>82.385269879923001</v>
      </c>
      <c r="F850" s="12">
        <v>42.25</v>
      </c>
      <c r="G850" s="12">
        <v>87.363592118596301</v>
      </c>
      <c r="H850" s="12" t="s">
        <v>0</v>
      </c>
      <c r="I850" s="12">
        <v>1.083752</v>
      </c>
      <c r="J850" s="12">
        <v>159.19900000000001</v>
      </c>
      <c r="K850" s="12">
        <v>324.03280999999998</v>
      </c>
      <c r="L850" s="12" t="s">
        <v>1</v>
      </c>
      <c r="M850" s="12" t="s">
        <v>0</v>
      </c>
      <c r="N850" s="12">
        <v>19.076633179760101</v>
      </c>
      <c r="O850" s="12">
        <v>14.5</v>
      </c>
      <c r="P850" s="12">
        <v>3888.4</v>
      </c>
      <c r="Q850" s="12" t="s">
        <v>1</v>
      </c>
    </row>
    <row r="851" spans="1:17" x14ac:dyDescent="0.25">
      <c r="A851" s="12">
        <f t="shared" si="13"/>
        <v>850</v>
      </c>
      <c r="B851" s="12">
        <v>9.5013299999999995E-2</v>
      </c>
      <c r="C851" s="12">
        <v>1.70236E-2</v>
      </c>
      <c r="D851" s="12">
        <v>1.4746799999999999E-2</v>
      </c>
      <c r="E851" s="12">
        <v>9.0170736848141004</v>
      </c>
      <c r="F851" s="12">
        <v>110.25</v>
      </c>
      <c r="G851" s="12">
        <v>779.44990872583901</v>
      </c>
      <c r="H851" s="12" t="s">
        <v>0</v>
      </c>
      <c r="I851" s="12">
        <v>0.37601059999999997</v>
      </c>
      <c r="J851" s="12">
        <v>108.51179999999999</v>
      </c>
      <c r="K851" s="12">
        <v>18.700612</v>
      </c>
      <c r="L851" s="12" t="s">
        <v>1</v>
      </c>
      <c r="M851" s="12" t="s">
        <v>0</v>
      </c>
      <c r="N851" s="12">
        <v>13.0028442658276</v>
      </c>
      <c r="O851" s="12">
        <v>18.5</v>
      </c>
      <c r="P851" s="12">
        <v>17490.3</v>
      </c>
      <c r="Q851" s="12" t="s">
        <v>1</v>
      </c>
    </row>
    <row r="852" spans="1:17" x14ac:dyDescent="0.25">
      <c r="A852" s="12">
        <f t="shared" si="13"/>
        <v>851</v>
      </c>
      <c r="B852" s="12">
        <v>1.1240000000000001</v>
      </c>
      <c r="C852" s="12">
        <v>0.15493199999999999</v>
      </c>
      <c r="D852" s="12">
        <v>0.82512600000000003</v>
      </c>
      <c r="E852" s="12">
        <v>126.912544542514</v>
      </c>
      <c r="F852" s="12">
        <v>36</v>
      </c>
      <c r="G852" s="12">
        <v>150.849542965659</v>
      </c>
      <c r="H852" s="12" t="s">
        <v>0</v>
      </c>
      <c r="I852" s="12">
        <v>1.1990000000000001</v>
      </c>
      <c r="J852" s="12">
        <v>177.46600000000001</v>
      </c>
      <c r="K852" s="12">
        <v>496.82434000000001</v>
      </c>
      <c r="L852" s="12" t="s">
        <v>1</v>
      </c>
      <c r="M852" s="12" t="s">
        <v>0</v>
      </c>
      <c r="N852" s="12">
        <v>21.265546792877501</v>
      </c>
      <c r="O852" s="12">
        <v>14</v>
      </c>
      <c r="P852" s="12">
        <v>2817.04</v>
      </c>
      <c r="Q852" s="12" t="s">
        <v>1</v>
      </c>
    </row>
    <row r="853" spans="1:17" x14ac:dyDescent="0.25">
      <c r="A853" s="12">
        <f t="shared" si="13"/>
        <v>852</v>
      </c>
      <c r="B853" s="12">
        <v>1.0524800000000001</v>
      </c>
      <c r="C853" s="12">
        <v>0.10301200000000001</v>
      </c>
      <c r="D853" s="12">
        <v>0.63381600000000005</v>
      </c>
      <c r="E853" s="12">
        <v>66.500597211074904</v>
      </c>
      <c r="F853" s="12">
        <v>36</v>
      </c>
      <c r="G853" s="12">
        <v>130.92688761493699</v>
      </c>
      <c r="H853" s="12" t="s">
        <v>0</v>
      </c>
      <c r="I853" s="12">
        <v>1.14198</v>
      </c>
      <c r="J853" s="12">
        <v>151.506</v>
      </c>
      <c r="K853" s="12">
        <v>383.95143999999999</v>
      </c>
      <c r="L853" s="12" t="s">
        <v>1</v>
      </c>
      <c r="M853" s="12" t="s">
        <v>0</v>
      </c>
      <c r="N853" s="12">
        <v>18.1547898324282</v>
      </c>
      <c r="O853" s="12">
        <v>14</v>
      </c>
      <c r="P853" s="12">
        <v>3123.55</v>
      </c>
      <c r="Q853" s="12" t="s">
        <v>1</v>
      </c>
    </row>
    <row r="854" spans="1:17" x14ac:dyDescent="0.25">
      <c r="A854" s="12">
        <f t="shared" si="13"/>
        <v>853</v>
      </c>
      <c r="B854" s="12">
        <v>0.47007399999999999</v>
      </c>
      <c r="C854" s="12">
        <v>-1.66724E-2</v>
      </c>
      <c r="D854" s="12">
        <v>0.13294900000000001</v>
      </c>
      <c r="E854" s="12">
        <v>0.96819261500471698</v>
      </c>
      <c r="F854" s="12">
        <v>144</v>
      </c>
      <c r="G854" s="12">
        <v>4.8338540071307898</v>
      </c>
      <c r="H854" s="12" t="s">
        <v>0</v>
      </c>
      <c r="I854" s="12">
        <v>0.67605899999999997</v>
      </c>
      <c r="J854" s="12">
        <v>91.663799999999995</v>
      </c>
      <c r="K854" s="12">
        <v>88.439909999999998</v>
      </c>
      <c r="L854" s="12" t="s">
        <v>1</v>
      </c>
      <c r="M854" s="12" t="s">
        <v>0</v>
      </c>
      <c r="N854" s="12">
        <v>10.98396779165</v>
      </c>
      <c r="O854" s="12">
        <v>20</v>
      </c>
      <c r="P854" s="12">
        <v>6497.51</v>
      </c>
      <c r="Q854" s="12" t="s">
        <v>1</v>
      </c>
    </row>
    <row r="855" spans="1:17" x14ac:dyDescent="0.25">
      <c r="A855" s="12">
        <f t="shared" si="13"/>
        <v>854</v>
      </c>
      <c r="B855" s="12">
        <v>1.00946</v>
      </c>
      <c r="C855" s="12">
        <v>-2.2982200000000001E-2</v>
      </c>
      <c r="D855" s="12">
        <v>0.61812</v>
      </c>
      <c r="E855" s="12">
        <v>0.36713874468711</v>
      </c>
      <c r="F855" s="12">
        <v>81</v>
      </c>
      <c r="G855" s="12">
        <v>282.44808217376601</v>
      </c>
      <c r="H855" s="12" t="s">
        <v>0</v>
      </c>
      <c r="I855" s="12">
        <v>1.1075600000000001</v>
      </c>
      <c r="J855" s="12">
        <v>88.508899999999997</v>
      </c>
      <c r="K855" s="12">
        <v>374.69080000000002</v>
      </c>
      <c r="L855" s="12" t="s">
        <v>1</v>
      </c>
      <c r="M855" s="12" t="s">
        <v>0</v>
      </c>
      <c r="N855" s="12">
        <v>10.605919751029001</v>
      </c>
      <c r="O855" s="12">
        <v>17</v>
      </c>
      <c r="P855" s="12">
        <v>1165.74</v>
      </c>
      <c r="Q855" s="12" t="s">
        <v>1</v>
      </c>
    </row>
    <row r="856" spans="1:17" x14ac:dyDescent="0.25">
      <c r="A856" s="12">
        <f t="shared" si="13"/>
        <v>855</v>
      </c>
      <c r="B856" s="12">
        <v>1.08623</v>
      </c>
      <c r="C856" s="12">
        <v>0.34494399999999997</v>
      </c>
      <c r="D856" s="12">
        <v>0.58625400000000005</v>
      </c>
      <c r="E856" s="12">
        <v>513.02279756930602</v>
      </c>
      <c r="F856" s="12">
        <v>25</v>
      </c>
      <c r="G856" s="12">
        <v>2.7747344717583E-2</v>
      </c>
      <c r="H856" s="12" t="s">
        <v>0</v>
      </c>
      <c r="I856" s="12">
        <v>1.1689799999999999</v>
      </c>
      <c r="J856" s="12">
        <v>272.47199999999998</v>
      </c>
      <c r="K856" s="12">
        <v>355.88986</v>
      </c>
      <c r="L856" s="12" t="s">
        <v>1</v>
      </c>
      <c r="M856" s="12" t="s">
        <v>0</v>
      </c>
      <c r="N856" s="12">
        <v>32.650006568857897</v>
      </c>
      <c r="O856" s="12">
        <v>13</v>
      </c>
      <c r="P856" s="12">
        <v>7239.2</v>
      </c>
      <c r="Q856" s="12" t="s">
        <v>1</v>
      </c>
    </row>
    <row r="857" spans="1:17" x14ac:dyDescent="0.25">
      <c r="A857" s="12">
        <f t="shared" si="13"/>
        <v>856</v>
      </c>
      <c r="B857" s="12">
        <v>1.04027</v>
      </c>
      <c r="C857" s="12">
        <v>8.7692999999999993E-2</v>
      </c>
      <c r="D857" s="12">
        <v>0.63211200000000001</v>
      </c>
      <c r="E857" s="12">
        <v>52.373600920053498</v>
      </c>
      <c r="F857" s="12">
        <v>49</v>
      </c>
      <c r="G857" s="12">
        <v>181.052876442859</v>
      </c>
      <c r="H857" s="12" t="s">
        <v>0</v>
      </c>
      <c r="I857" s="12">
        <v>1.1322099999999999</v>
      </c>
      <c r="J857" s="12">
        <v>143.84649999999999</v>
      </c>
      <c r="K857" s="12">
        <v>382.94607999999999</v>
      </c>
      <c r="L857" s="12" t="s">
        <v>1</v>
      </c>
      <c r="M857" s="12" t="s">
        <v>0</v>
      </c>
      <c r="N857" s="12">
        <v>17.236960751589901</v>
      </c>
      <c r="O857" s="12">
        <v>15</v>
      </c>
      <c r="P857" s="12">
        <v>2388.71</v>
      </c>
      <c r="Q857" s="12" t="s">
        <v>1</v>
      </c>
    </row>
    <row r="858" spans="1:17" x14ac:dyDescent="0.25">
      <c r="A858" s="12">
        <f t="shared" si="13"/>
        <v>857</v>
      </c>
      <c r="B858" s="12">
        <v>9.8384399999999997E-2</v>
      </c>
      <c r="C858" s="12">
        <v>3.41978E-4</v>
      </c>
      <c r="D858" s="12">
        <v>0.22852900000000001</v>
      </c>
      <c r="E858" s="12">
        <v>4.0135092710057299</v>
      </c>
      <c r="F858" s="12">
        <v>121</v>
      </c>
      <c r="G858" s="12">
        <v>123.22155643535299</v>
      </c>
      <c r="H858" s="12" t="s">
        <v>0</v>
      </c>
      <c r="I858" s="12">
        <v>0.37870749999999997</v>
      </c>
      <c r="J858" s="12">
        <v>100.17098900000001</v>
      </c>
      <c r="K858" s="12">
        <v>144.83211</v>
      </c>
      <c r="L858" s="12" t="s">
        <v>1</v>
      </c>
      <c r="M858" s="12" t="s">
        <v>0</v>
      </c>
      <c r="N858" s="12">
        <v>12.003374470987801</v>
      </c>
      <c r="O858" s="12">
        <v>19</v>
      </c>
      <c r="P858" s="12">
        <v>3248.31</v>
      </c>
      <c r="Q858" s="12" t="s">
        <v>1</v>
      </c>
    </row>
    <row r="859" spans="1:17" x14ac:dyDescent="0.25">
      <c r="A859" s="12">
        <f t="shared" si="13"/>
        <v>858</v>
      </c>
      <c r="B859" s="12">
        <v>0.81525999999999998</v>
      </c>
      <c r="C859" s="12">
        <v>0.130215</v>
      </c>
      <c r="D859" s="12">
        <v>0.38973999999999998</v>
      </c>
      <c r="E859" s="12">
        <v>95.739217958073496</v>
      </c>
      <c r="F859" s="12">
        <v>56.25</v>
      </c>
      <c r="G859" s="12">
        <v>31.198498877087601</v>
      </c>
      <c r="H859" s="12" t="s">
        <v>0</v>
      </c>
      <c r="I859" s="12">
        <v>0.95220000000000005</v>
      </c>
      <c r="J859" s="12">
        <v>165.10749999999999</v>
      </c>
      <c r="K859" s="12">
        <v>239.94659999999999</v>
      </c>
      <c r="L859" s="12" t="s">
        <v>1</v>
      </c>
      <c r="M859" s="12" t="s">
        <v>0</v>
      </c>
      <c r="N859" s="12">
        <v>19.784641943273801</v>
      </c>
      <c r="O859" s="12">
        <v>15.5</v>
      </c>
      <c r="P859" s="12">
        <v>5261.27</v>
      </c>
      <c r="Q859" s="12" t="s">
        <v>1</v>
      </c>
    </row>
    <row r="860" spans="1:17" x14ac:dyDescent="0.25">
      <c r="A860" s="12">
        <f t="shared" si="13"/>
        <v>859</v>
      </c>
      <c r="B860" s="12">
        <v>1.03488</v>
      </c>
      <c r="C860" s="12">
        <v>0.151861</v>
      </c>
      <c r="D860" s="12">
        <v>0.73074399999999995</v>
      </c>
      <c r="E860" s="12">
        <v>122.80074137874701</v>
      </c>
      <c r="F860" s="12">
        <v>36</v>
      </c>
      <c r="G860" s="12">
        <v>129.80887683542801</v>
      </c>
      <c r="H860" s="12" t="s">
        <v>0</v>
      </c>
      <c r="I860" s="12">
        <v>1.1278999999999999</v>
      </c>
      <c r="J860" s="12">
        <v>175.93049999999999</v>
      </c>
      <c r="K860" s="12">
        <v>441.13896</v>
      </c>
      <c r="L860" s="12" t="s">
        <v>1</v>
      </c>
      <c r="M860" s="12" t="s">
        <v>0</v>
      </c>
      <c r="N860" s="12">
        <v>21.0815495928479</v>
      </c>
      <c r="O860" s="12">
        <v>14</v>
      </c>
      <c r="P860" s="12">
        <v>3141.42</v>
      </c>
      <c r="Q860" s="12" t="s">
        <v>1</v>
      </c>
    </row>
    <row r="861" spans="1:17" x14ac:dyDescent="0.25">
      <c r="A861" s="12">
        <f t="shared" si="13"/>
        <v>860</v>
      </c>
      <c r="B861" s="12">
        <v>0.56704399999999999</v>
      </c>
      <c r="C861" s="12">
        <v>0.12558900000000001</v>
      </c>
      <c r="D861" s="12">
        <v>0.26850200000000002</v>
      </c>
      <c r="E861" s="12">
        <v>90.392134344463301</v>
      </c>
      <c r="F861" s="12">
        <v>72.25</v>
      </c>
      <c r="G861" s="12">
        <v>6.8784762499530796</v>
      </c>
      <c r="H861" s="12" t="s">
        <v>0</v>
      </c>
      <c r="I861" s="12">
        <v>0.75363500000000005</v>
      </c>
      <c r="J861" s="12">
        <v>162.7945</v>
      </c>
      <c r="K861" s="12">
        <v>168.41618</v>
      </c>
      <c r="L861" s="12" t="s">
        <v>1</v>
      </c>
      <c r="M861" s="12" t="s">
        <v>0</v>
      </c>
      <c r="N861" s="12">
        <v>19.507477811936401</v>
      </c>
      <c r="O861" s="12">
        <v>16.5</v>
      </c>
      <c r="P861" s="12">
        <v>8257.2800000000007</v>
      </c>
      <c r="Q861" s="12" t="s">
        <v>1</v>
      </c>
    </row>
    <row r="862" spans="1:17" x14ac:dyDescent="0.25">
      <c r="A862" s="12">
        <f t="shared" si="13"/>
        <v>861</v>
      </c>
      <c r="B862" s="12">
        <v>1.0845899999999999</v>
      </c>
      <c r="C862" s="12">
        <v>-7.2388499999999995E-2</v>
      </c>
      <c r="D862" s="12">
        <v>0.62430200000000002</v>
      </c>
      <c r="E862" s="12">
        <v>5.5424003930070702</v>
      </c>
      <c r="F862" s="12">
        <v>132.25</v>
      </c>
      <c r="G862" s="12">
        <v>331.142275702007</v>
      </c>
      <c r="H862" s="12" t="s">
        <v>0</v>
      </c>
      <c r="I862" s="12">
        <v>1.16767</v>
      </c>
      <c r="J862" s="12">
        <v>63.805750000000003</v>
      </c>
      <c r="K862" s="12">
        <v>378.33818000000002</v>
      </c>
      <c r="L862" s="12" t="s">
        <v>1</v>
      </c>
      <c r="M862" s="12" t="s">
        <v>0</v>
      </c>
      <c r="N862" s="12">
        <v>7.6457696814017799</v>
      </c>
      <c r="O862" s="12">
        <v>19.5</v>
      </c>
      <c r="P862" s="12">
        <v>657.98</v>
      </c>
      <c r="Q862" s="12" t="s">
        <v>1</v>
      </c>
    </row>
    <row r="863" spans="1:17" x14ac:dyDescent="0.25">
      <c r="A863" s="12">
        <f t="shared" si="13"/>
        <v>862</v>
      </c>
      <c r="B863" s="12">
        <v>0.96409500000000004</v>
      </c>
      <c r="C863" s="12">
        <v>0.28303400000000001</v>
      </c>
      <c r="D863" s="12">
        <v>0.62958000000000003</v>
      </c>
      <c r="E863" s="12">
        <v>358.75028695171198</v>
      </c>
      <c r="F863" s="12">
        <v>42.25</v>
      </c>
      <c r="G863" s="12">
        <v>48.3706911735785</v>
      </c>
      <c r="H863" s="12" t="s">
        <v>0</v>
      </c>
      <c r="I863" s="12">
        <v>1.0712759999999999</v>
      </c>
      <c r="J863" s="12">
        <v>241.517</v>
      </c>
      <c r="K863" s="12">
        <v>381.4522</v>
      </c>
      <c r="L863" s="12" t="s">
        <v>1</v>
      </c>
      <c r="M863" s="12" t="s">
        <v>0</v>
      </c>
      <c r="N863" s="12">
        <v>28.940704499878301</v>
      </c>
      <c r="O863" s="12">
        <v>14.5</v>
      </c>
      <c r="P863" s="12">
        <v>4761.46</v>
      </c>
      <c r="Q863" s="12" t="s">
        <v>1</v>
      </c>
    </row>
    <row r="864" spans="1:17" x14ac:dyDescent="0.25">
      <c r="A864" s="12">
        <f t="shared" si="13"/>
        <v>863</v>
      </c>
      <c r="B864" s="12">
        <v>0.50392499999999996</v>
      </c>
      <c r="C864" s="12">
        <v>1.91284E-2</v>
      </c>
      <c r="D864" s="12">
        <v>0.26078800000000002</v>
      </c>
      <c r="E864" s="12">
        <v>9.7903415454339804</v>
      </c>
      <c r="F864" s="12">
        <v>132.25</v>
      </c>
      <c r="G864" s="12">
        <v>61.866628984049498</v>
      </c>
      <c r="H864" s="12" t="s">
        <v>0</v>
      </c>
      <c r="I864" s="12">
        <v>0.70313999999999999</v>
      </c>
      <c r="J864" s="12">
        <v>109.5642</v>
      </c>
      <c r="K864" s="12">
        <v>163.86492000000001</v>
      </c>
      <c r="L864" s="12" t="s">
        <v>1</v>
      </c>
      <c r="M864" s="12" t="s">
        <v>0</v>
      </c>
      <c r="N864" s="12">
        <v>13.128952148153401</v>
      </c>
      <c r="O864" s="12">
        <v>19.5</v>
      </c>
      <c r="P864" s="12">
        <v>4429.08</v>
      </c>
      <c r="Q864" s="12" t="s">
        <v>1</v>
      </c>
    </row>
    <row r="865" spans="1:17" x14ac:dyDescent="0.25">
      <c r="A865" s="12">
        <f t="shared" si="13"/>
        <v>864</v>
      </c>
      <c r="B865" s="12">
        <v>0.36828300000000003</v>
      </c>
      <c r="C865" s="12">
        <v>3.84392E-2</v>
      </c>
      <c r="D865" s="12">
        <v>0.21833900000000001</v>
      </c>
      <c r="E865" s="12">
        <v>18.369347102683101</v>
      </c>
      <c r="F865" s="12">
        <v>110.25</v>
      </c>
      <c r="G865" s="12">
        <v>9.4589109018577506</v>
      </c>
      <c r="H865" s="12" t="s">
        <v>0</v>
      </c>
      <c r="I865" s="12">
        <v>0.59462599999999999</v>
      </c>
      <c r="J865" s="12">
        <v>119.2196</v>
      </c>
      <c r="K865" s="12">
        <v>138.82001</v>
      </c>
      <c r="L865" s="12" t="s">
        <v>1</v>
      </c>
      <c r="M865" s="12" t="s">
        <v>0</v>
      </c>
      <c r="N865" s="12">
        <v>14.285947631817599</v>
      </c>
      <c r="O865" s="12">
        <v>18.5</v>
      </c>
      <c r="P865" s="12">
        <v>6177.43</v>
      </c>
      <c r="Q865" s="12" t="s">
        <v>1</v>
      </c>
    </row>
    <row r="866" spans="1:17" x14ac:dyDescent="0.25">
      <c r="A866" s="12">
        <f t="shared" si="13"/>
        <v>865</v>
      </c>
      <c r="B866" s="12">
        <v>0.82167699999999999</v>
      </c>
      <c r="C866" s="12">
        <v>0.10097</v>
      </c>
      <c r="D866" s="12">
        <v>0.272318</v>
      </c>
      <c r="E866" s="12">
        <v>64.520165866671604</v>
      </c>
      <c r="F866" s="12">
        <v>56.25</v>
      </c>
      <c r="G866" s="12">
        <v>3.6185420334021301</v>
      </c>
      <c r="H866" s="12" t="s">
        <v>0</v>
      </c>
      <c r="I866" s="12">
        <v>0.957341</v>
      </c>
      <c r="J866" s="12">
        <v>150.48500000000001</v>
      </c>
      <c r="K866" s="12">
        <v>170.66762</v>
      </c>
      <c r="L866" s="12" t="s">
        <v>1</v>
      </c>
      <c r="M866" s="12" t="s">
        <v>0</v>
      </c>
      <c r="N866" s="12">
        <v>18.032444576009901</v>
      </c>
      <c r="O866" s="12">
        <v>15.5</v>
      </c>
      <c r="P866" s="12">
        <v>6605.68</v>
      </c>
      <c r="Q866" s="12" t="s">
        <v>1</v>
      </c>
    </row>
    <row r="867" spans="1:17" x14ac:dyDescent="0.25">
      <c r="A867" s="12">
        <f t="shared" si="13"/>
        <v>866</v>
      </c>
      <c r="B867" s="12">
        <v>0.91151400000000005</v>
      </c>
      <c r="C867" s="12">
        <v>6.4492300000000002E-2</v>
      </c>
      <c r="D867" s="12">
        <v>0.55301100000000003</v>
      </c>
      <c r="E867" s="12">
        <v>34.186288081235702</v>
      </c>
      <c r="F867" s="12">
        <v>56.25</v>
      </c>
      <c r="G867" s="12">
        <v>165.34577816776101</v>
      </c>
      <c r="H867" s="12" t="s">
        <v>0</v>
      </c>
      <c r="I867" s="12">
        <v>1.0292110000000001</v>
      </c>
      <c r="J867" s="12">
        <v>132.24615</v>
      </c>
      <c r="K867" s="12">
        <v>336.27649000000002</v>
      </c>
      <c r="L867" s="12" t="s">
        <v>1</v>
      </c>
      <c r="M867" s="12" t="s">
        <v>0</v>
      </c>
      <c r="N867" s="12">
        <v>15.846904145035699</v>
      </c>
      <c r="O867" s="12">
        <v>15.5</v>
      </c>
      <c r="P867" s="12">
        <v>2606.58</v>
      </c>
      <c r="Q867" s="12" t="s">
        <v>1</v>
      </c>
    </row>
    <row r="868" spans="1:17" x14ac:dyDescent="0.25">
      <c r="A868" s="12">
        <f t="shared" si="13"/>
        <v>867</v>
      </c>
      <c r="B868" s="12">
        <v>0.82359000000000004</v>
      </c>
      <c r="C868" s="12">
        <v>7.7856900000000007E-2</v>
      </c>
      <c r="D868" s="12">
        <v>0.65947800000000001</v>
      </c>
      <c r="E868" s="12">
        <v>44.191070678623298</v>
      </c>
      <c r="F868" s="12">
        <v>56.25</v>
      </c>
      <c r="G868" s="12">
        <v>143.37142717132599</v>
      </c>
      <c r="H868" s="12" t="s">
        <v>0</v>
      </c>
      <c r="I868" s="12">
        <v>0.95887</v>
      </c>
      <c r="J868" s="12">
        <v>138.92845</v>
      </c>
      <c r="K868" s="12">
        <v>399.09201999999999</v>
      </c>
      <c r="L868" s="12" t="s">
        <v>1</v>
      </c>
      <c r="M868" s="12" t="s">
        <v>0</v>
      </c>
      <c r="N868" s="12">
        <v>16.647636473110001</v>
      </c>
      <c r="O868" s="12">
        <v>15.5</v>
      </c>
      <c r="P868" s="12">
        <v>2929.57</v>
      </c>
      <c r="Q868" s="12" t="s">
        <v>1</v>
      </c>
    </row>
    <row r="869" spans="1:17" x14ac:dyDescent="0.25">
      <c r="A869" s="12">
        <f t="shared" si="13"/>
        <v>868</v>
      </c>
      <c r="B869" s="12">
        <v>1.08192</v>
      </c>
      <c r="C869" s="12">
        <v>4.2703499999999998E-2</v>
      </c>
      <c r="D869" s="12">
        <v>0.67249999999999999</v>
      </c>
      <c r="E869" s="12">
        <v>20.624683772690702</v>
      </c>
      <c r="F869" s="12">
        <v>56.25</v>
      </c>
      <c r="G869" s="12">
        <v>247.137350500281</v>
      </c>
      <c r="H869" s="12" t="s">
        <v>0</v>
      </c>
      <c r="I869" s="12">
        <v>1.16553</v>
      </c>
      <c r="J869" s="12">
        <v>121.35175</v>
      </c>
      <c r="K869" s="12">
        <v>406.77499999999998</v>
      </c>
      <c r="L869" s="12" t="s">
        <v>1</v>
      </c>
      <c r="M869" s="12" t="s">
        <v>0</v>
      </c>
      <c r="N869" s="12">
        <v>14.541440715531801</v>
      </c>
      <c r="O869" s="12">
        <v>15.5</v>
      </c>
      <c r="P869" s="12">
        <v>1561.98</v>
      </c>
      <c r="Q869" s="12" t="s">
        <v>1</v>
      </c>
    </row>
    <row r="870" spans="1:17" x14ac:dyDescent="0.25">
      <c r="A870" s="12">
        <f t="shared" si="13"/>
        <v>869</v>
      </c>
      <c r="B870" s="12">
        <v>1.03512</v>
      </c>
      <c r="C870" s="12">
        <v>0.36732399999999998</v>
      </c>
      <c r="D870" s="12">
        <v>0.63389499999999999</v>
      </c>
      <c r="E870" s="12">
        <v>575.56287048261402</v>
      </c>
      <c r="F870" s="12">
        <v>36</v>
      </c>
      <c r="G870" s="12">
        <v>28.6565155796584</v>
      </c>
      <c r="H870" s="12" t="s">
        <v>0</v>
      </c>
      <c r="I870" s="12">
        <v>1.12809</v>
      </c>
      <c r="J870" s="12">
        <v>283.66199999999998</v>
      </c>
      <c r="K870" s="12">
        <v>383.99804999999998</v>
      </c>
      <c r="L870" s="12" t="s">
        <v>1</v>
      </c>
      <c r="M870" s="12" t="s">
        <v>0</v>
      </c>
      <c r="N870" s="12">
        <v>33.990891406586201</v>
      </c>
      <c r="O870" s="12">
        <v>14</v>
      </c>
      <c r="P870" s="12">
        <v>5346.09</v>
      </c>
      <c r="Q870" s="12" t="s">
        <v>1</v>
      </c>
    </row>
    <row r="871" spans="1:17" x14ac:dyDescent="0.25">
      <c r="A871" s="12">
        <f t="shared" si="13"/>
        <v>870</v>
      </c>
      <c r="B871" s="12">
        <v>0.92065699999999995</v>
      </c>
      <c r="C871" s="12">
        <v>7.0473900000000006E-2</v>
      </c>
      <c r="D871" s="12">
        <v>0.508432</v>
      </c>
      <c r="E871" s="12">
        <v>38.505602529689902</v>
      </c>
      <c r="F871" s="12">
        <v>56.25</v>
      </c>
      <c r="G871" s="12">
        <v>148.462540983298</v>
      </c>
      <c r="H871" s="12" t="s">
        <v>0</v>
      </c>
      <c r="I871" s="12">
        <v>1.0365249999999999</v>
      </c>
      <c r="J871" s="12">
        <v>135.23695000000001</v>
      </c>
      <c r="K871" s="12">
        <v>309.97487999999998</v>
      </c>
      <c r="L871" s="12" t="s">
        <v>1</v>
      </c>
      <c r="M871" s="12" t="s">
        <v>0</v>
      </c>
      <c r="N871" s="12">
        <v>16.205288271280299</v>
      </c>
      <c r="O871" s="12">
        <v>15.5</v>
      </c>
      <c r="P871" s="12">
        <v>2852.65</v>
      </c>
      <c r="Q871" s="12" t="s">
        <v>1</v>
      </c>
    </row>
    <row r="872" spans="1:17" x14ac:dyDescent="0.25">
      <c r="A872" s="12">
        <f t="shared" si="13"/>
        <v>871</v>
      </c>
      <c r="B872" s="12">
        <v>0.183314</v>
      </c>
      <c r="C872" s="12">
        <v>3.7604100000000001E-2</v>
      </c>
      <c r="D872" s="12">
        <v>0.13134599999999999</v>
      </c>
      <c r="E872" s="12">
        <v>17.942959750660499</v>
      </c>
      <c r="F872" s="12">
        <v>110.25</v>
      </c>
      <c r="G872" s="12">
        <v>3.5431615875398701</v>
      </c>
      <c r="H872" s="12" t="s">
        <v>0</v>
      </c>
      <c r="I872" s="12">
        <v>0.44665100000000002</v>
      </c>
      <c r="J872" s="12">
        <v>118.80204999999999</v>
      </c>
      <c r="K872" s="12">
        <v>87.494140000000002</v>
      </c>
      <c r="L872" s="12" t="s">
        <v>1</v>
      </c>
      <c r="M872" s="12" t="s">
        <v>0</v>
      </c>
      <c r="N872" s="12">
        <v>14.2359130952677</v>
      </c>
      <c r="O872" s="12">
        <v>18.5</v>
      </c>
      <c r="P872" s="12">
        <v>6612.95</v>
      </c>
      <c r="Q872" s="12" t="s">
        <v>1</v>
      </c>
    </row>
    <row r="873" spans="1:17" x14ac:dyDescent="0.25">
      <c r="A873" s="12">
        <f t="shared" si="13"/>
        <v>872</v>
      </c>
      <c r="B873" s="12">
        <v>0.94393300000000002</v>
      </c>
      <c r="C873" s="12">
        <v>4.4485299999999998E-2</v>
      </c>
      <c r="D873" s="12">
        <v>0.55251499999999998</v>
      </c>
      <c r="E873" s="12">
        <v>21.605728271538201</v>
      </c>
      <c r="F873" s="12">
        <v>56.25</v>
      </c>
      <c r="G873" s="12">
        <v>179.14098993507201</v>
      </c>
      <c r="H873" s="12" t="s">
        <v>0</v>
      </c>
      <c r="I873" s="12">
        <v>1.0551459999999999</v>
      </c>
      <c r="J873" s="12">
        <v>122.24265</v>
      </c>
      <c r="K873" s="12">
        <v>335.98385000000002</v>
      </c>
      <c r="L873" s="12" t="s">
        <v>1</v>
      </c>
      <c r="M873" s="12" t="s">
        <v>0</v>
      </c>
      <c r="N873" s="12">
        <v>14.6481962384927</v>
      </c>
      <c r="O873" s="12">
        <v>15.5</v>
      </c>
      <c r="P873" s="12">
        <v>2414.71</v>
      </c>
      <c r="Q873" s="12" t="s">
        <v>1</v>
      </c>
    </row>
    <row r="874" spans="1:17" x14ac:dyDescent="0.25">
      <c r="A874" s="12">
        <f t="shared" si="13"/>
        <v>873</v>
      </c>
      <c r="B874" s="12">
        <v>0.94801299999999999</v>
      </c>
      <c r="C874" s="12">
        <v>0.273534</v>
      </c>
      <c r="D874" s="12">
        <v>0.59061399999999997</v>
      </c>
      <c r="E874" s="12">
        <v>337.51265377332999</v>
      </c>
      <c r="F874" s="12">
        <v>42.25</v>
      </c>
      <c r="G874" s="12">
        <v>41.262496168887203</v>
      </c>
      <c r="H874" s="12" t="s">
        <v>0</v>
      </c>
      <c r="I874" s="12">
        <v>1.0584100000000001</v>
      </c>
      <c r="J874" s="12">
        <v>236.767</v>
      </c>
      <c r="K874" s="12">
        <v>358.46226000000001</v>
      </c>
      <c r="L874" s="12" t="s">
        <v>1</v>
      </c>
      <c r="M874" s="12" t="s">
        <v>0</v>
      </c>
      <c r="N874" s="12">
        <v>28.371517459734498</v>
      </c>
      <c r="O874" s="12">
        <v>14.5</v>
      </c>
      <c r="P874" s="12">
        <v>4955.3900000000003</v>
      </c>
      <c r="Q874" s="12" t="s">
        <v>1</v>
      </c>
    </row>
    <row r="875" spans="1:17" x14ac:dyDescent="0.25">
      <c r="A875" s="12">
        <f t="shared" si="13"/>
        <v>874</v>
      </c>
      <c r="B875" s="12">
        <v>1.00343</v>
      </c>
      <c r="C875" s="12">
        <v>0.15396899999999999</v>
      </c>
      <c r="D875" s="12">
        <v>0.63760899999999998</v>
      </c>
      <c r="E875" s="12">
        <v>125.615883719856</v>
      </c>
      <c r="F875" s="12">
        <v>42.25</v>
      </c>
      <c r="G875" s="12">
        <v>100.589908519422</v>
      </c>
      <c r="H875" s="12" t="s">
        <v>0</v>
      </c>
      <c r="I875" s="12">
        <v>1.1027400000000001</v>
      </c>
      <c r="J875" s="12">
        <v>176.9845</v>
      </c>
      <c r="K875" s="12">
        <v>386.18930999999998</v>
      </c>
      <c r="L875" s="12" t="s">
        <v>1</v>
      </c>
      <c r="M875" s="12" t="s">
        <v>0</v>
      </c>
      <c r="N875" s="12">
        <v>21.207849201334501</v>
      </c>
      <c r="O875" s="12">
        <v>14.5</v>
      </c>
      <c r="P875" s="12">
        <v>3639.25</v>
      </c>
      <c r="Q875" s="12" t="s">
        <v>1</v>
      </c>
    </row>
    <row r="876" spans="1:17" x14ac:dyDescent="0.25">
      <c r="A876" s="12">
        <f t="shared" si="13"/>
        <v>875</v>
      </c>
      <c r="B876" s="12">
        <v>1.01105</v>
      </c>
      <c r="C876" s="12">
        <v>0.25026799999999999</v>
      </c>
      <c r="D876" s="12">
        <v>0.57556399999999996</v>
      </c>
      <c r="E876" s="12">
        <v>288.23715107361699</v>
      </c>
      <c r="F876" s="12">
        <v>36</v>
      </c>
      <c r="G876" s="12">
        <v>48.0537635136048</v>
      </c>
      <c r="H876" s="12" t="s">
        <v>0</v>
      </c>
      <c r="I876" s="12">
        <v>1.10884</v>
      </c>
      <c r="J876" s="12">
        <v>225.13399999999999</v>
      </c>
      <c r="K876" s="12">
        <v>349.58276000000001</v>
      </c>
      <c r="L876" s="12" t="s">
        <v>1</v>
      </c>
      <c r="M876" s="12" t="s">
        <v>0</v>
      </c>
      <c r="N876" s="12">
        <v>26.9775484412095</v>
      </c>
      <c r="O876" s="12">
        <v>14</v>
      </c>
      <c r="P876" s="12">
        <v>4769.79</v>
      </c>
      <c r="Q876" s="12" t="s">
        <v>1</v>
      </c>
    </row>
    <row r="877" spans="1:17" x14ac:dyDescent="0.25">
      <c r="A877" s="12">
        <f t="shared" si="13"/>
        <v>876</v>
      </c>
      <c r="B877" s="12">
        <v>1.0376799999999999</v>
      </c>
      <c r="C877" s="12">
        <v>0.144591</v>
      </c>
      <c r="D877" s="12">
        <v>0.57803000000000004</v>
      </c>
      <c r="E877" s="12">
        <v>113.336713885921</v>
      </c>
      <c r="F877" s="12">
        <v>36</v>
      </c>
      <c r="G877" s="12">
        <v>400</v>
      </c>
      <c r="H877" s="12" t="s">
        <v>0</v>
      </c>
      <c r="I877" s="12">
        <v>1.1301399999999999</v>
      </c>
      <c r="J877" s="12">
        <v>172.2955</v>
      </c>
      <c r="K877" s="12">
        <v>351.03769999999997</v>
      </c>
      <c r="L877" s="12" t="s">
        <v>1</v>
      </c>
      <c r="M877" s="12" t="s">
        <v>0</v>
      </c>
      <c r="N877" s="12">
        <v>20.645971721074599</v>
      </c>
      <c r="O877" s="12">
        <v>14</v>
      </c>
      <c r="P877" s="12">
        <v>0</v>
      </c>
      <c r="Q877" s="12" t="s">
        <v>1</v>
      </c>
    </row>
    <row r="878" spans="1:17" x14ac:dyDescent="0.25">
      <c r="A878" s="12">
        <f t="shared" si="13"/>
        <v>877</v>
      </c>
      <c r="B878" s="12">
        <v>0.88558300000000001</v>
      </c>
      <c r="C878" s="12">
        <v>0.191134</v>
      </c>
      <c r="D878" s="12">
        <v>0.42234500000000003</v>
      </c>
      <c r="E878" s="12">
        <v>180.48763929340399</v>
      </c>
      <c r="F878" s="12">
        <v>49</v>
      </c>
      <c r="G878" s="12">
        <v>21.719941038843999</v>
      </c>
      <c r="H878" s="12" t="s">
        <v>0</v>
      </c>
      <c r="I878" s="12">
        <v>1.0084660000000001</v>
      </c>
      <c r="J878" s="12">
        <v>195.56700000000001</v>
      </c>
      <c r="K878" s="12">
        <v>259.18355000000003</v>
      </c>
      <c r="L878" s="12" t="s">
        <v>1</v>
      </c>
      <c r="M878" s="12" t="s">
        <v>0</v>
      </c>
      <c r="N878" s="12">
        <v>23.4345688168025</v>
      </c>
      <c r="O878" s="12">
        <v>15</v>
      </c>
      <c r="P878" s="12">
        <v>5598.93</v>
      </c>
      <c r="Q878" s="12" t="s">
        <v>1</v>
      </c>
    </row>
    <row r="879" spans="1:17" x14ac:dyDescent="0.25">
      <c r="A879" s="12">
        <f t="shared" si="13"/>
        <v>878</v>
      </c>
      <c r="B879" s="12">
        <v>1.0343</v>
      </c>
      <c r="C879" s="12">
        <v>3.5202600000000001E-2</v>
      </c>
      <c r="D879" s="12">
        <v>0.62040099999999998</v>
      </c>
      <c r="E879" s="12">
        <v>16.744698087458101</v>
      </c>
      <c r="F879" s="12">
        <v>56.25</v>
      </c>
      <c r="G879" s="12">
        <v>205.66938878513699</v>
      </c>
      <c r="H879" s="12" t="s">
        <v>0</v>
      </c>
      <c r="I879" s="12">
        <v>1.1274</v>
      </c>
      <c r="J879" s="12">
        <v>117.60129999999999</v>
      </c>
      <c r="K879" s="12">
        <v>376.03658999999999</v>
      </c>
      <c r="L879" s="12" t="s">
        <v>1</v>
      </c>
      <c r="M879" s="12" t="s">
        <v>0</v>
      </c>
      <c r="N879" s="12">
        <v>14.0920286029618</v>
      </c>
      <c r="O879" s="12">
        <v>15.5</v>
      </c>
      <c r="P879" s="12">
        <v>2065.4699999999998</v>
      </c>
      <c r="Q879" s="12" t="s">
        <v>1</v>
      </c>
    </row>
    <row r="880" spans="1:17" x14ac:dyDescent="0.25">
      <c r="A880" s="12">
        <f t="shared" si="13"/>
        <v>879</v>
      </c>
      <c r="B880" s="12">
        <v>0.73157300000000003</v>
      </c>
      <c r="C880" s="12">
        <v>0.101031</v>
      </c>
      <c r="D880" s="12">
        <v>0.346356</v>
      </c>
      <c r="E880" s="12">
        <v>64.578892858730896</v>
      </c>
      <c r="F880" s="12">
        <v>64</v>
      </c>
      <c r="G880" s="12">
        <v>27.3302652325014</v>
      </c>
      <c r="H880" s="12" t="s">
        <v>0</v>
      </c>
      <c r="I880" s="12">
        <v>0.88525799999999999</v>
      </c>
      <c r="J880" s="12">
        <v>150.5155</v>
      </c>
      <c r="K880" s="12">
        <v>214.35004000000001</v>
      </c>
      <c r="L880" s="12" t="s">
        <v>1</v>
      </c>
      <c r="M880" s="12" t="s">
        <v>0</v>
      </c>
      <c r="N880" s="12">
        <v>18.036099355951901</v>
      </c>
      <c r="O880" s="12">
        <v>16</v>
      </c>
      <c r="P880" s="12">
        <v>5391.84</v>
      </c>
      <c r="Q880" s="12" t="s">
        <v>1</v>
      </c>
    </row>
    <row r="881" spans="1:17" x14ac:dyDescent="0.25">
      <c r="A881" s="12">
        <f t="shared" si="13"/>
        <v>880</v>
      </c>
      <c r="B881" s="12">
        <v>0.56515400000000005</v>
      </c>
      <c r="C881" s="12">
        <v>-1.2243800000000001E-2</v>
      </c>
      <c r="D881" s="12">
        <v>0.147148</v>
      </c>
      <c r="E881" s="12">
        <v>1.5607625218754499</v>
      </c>
      <c r="F881" s="12">
        <v>132.25</v>
      </c>
      <c r="G881" s="12">
        <v>22.399084643272602</v>
      </c>
      <c r="H881" s="12" t="s">
        <v>0</v>
      </c>
      <c r="I881" s="12">
        <v>0.75212299999999999</v>
      </c>
      <c r="J881" s="12">
        <v>93.878100000000003</v>
      </c>
      <c r="K881" s="12">
        <v>96.817319999999995</v>
      </c>
      <c r="L881" s="12" t="s">
        <v>1</v>
      </c>
      <c r="M881" s="12" t="s">
        <v>0</v>
      </c>
      <c r="N881" s="12">
        <v>11.249304815437499</v>
      </c>
      <c r="O881" s="12">
        <v>19.5</v>
      </c>
      <c r="P881" s="12">
        <v>5572.54</v>
      </c>
      <c r="Q881" s="12" t="s">
        <v>1</v>
      </c>
    </row>
    <row r="882" spans="1:17" x14ac:dyDescent="0.25">
      <c r="A882" s="12">
        <f t="shared" si="13"/>
        <v>881</v>
      </c>
      <c r="B882" s="12">
        <v>1.0081800000000001</v>
      </c>
      <c r="C882" s="12">
        <v>4.9511399999999997E-2</v>
      </c>
      <c r="D882" s="12">
        <v>0.61997999999999998</v>
      </c>
      <c r="E882" s="12">
        <v>24.495888546750301</v>
      </c>
      <c r="F882" s="12">
        <v>49</v>
      </c>
      <c r="G882" s="12">
        <v>202.348676374554</v>
      </c>
      <c r="H882" s="12" t="s">
        <v>0</v>
      </c>
      <c r="I882" s="12">
        <v>1.1065400000000001</v>
      </c>
      <c r="J882" s="12">
        <v>124.7557</v>
      </c>
      <c r="K882" s="12">
        <v>375.78820000000002</v>
      </c>
      <c r="L882" s="12" t="s">
        <v>1</v>
      </c>
      <c r="M882" s="12" t="s">
        <v>0</v>
      </c>
      <c r="N882" s="12">
        <v>14.949332131384001</v>
      </c>
      <c r="O882" s="12">
        <v>15</v>
      </c>
      <c r="P882" s="12">
        <v>2107.9</v>
      </c>
      <c r="Q882" s="12" t="s">
        <v>1</v>
      </c>
    </row>
    <row r="883" spans="1:17" x14ac:dyDescent="0.25">
      <c r="A883" s="12">
        <f t="shared" si="13"/>
        <v>882</v>
      </c>
      <c r="B883" s="12">
        <v>0.98914899999999994</v>
      </c>
      <c r="C883" s="12">
        <v>2.4464900000000001E-2</v>
      </c>
      <c r="D883" s="12">
        <v>0.56068099999999998</v>
      </c>
      <c r="E883" s="12">
        <v>11.8934315306588</v>
      </c>
      <c r="F883" s="12">
        <v>64</v>
      </c>
      <c r="G883" s="12">
        <v>230.337586741227</v>
      </c>
      <c r="H883" s="12" t="s">
        <v>0</v>
      </c>
      <c r="I883" s="12">
        <v>1.0913189999999999</v>
      </c>
      <c r="J883" s="12">
        <v>112.23245</v>
      </c>
      <c r="K883" s="12">
        <v>340.80178999999998</v>
      </c>
      <c r="L883" s="12" t="s">
        <v>1</v>
      </c>
      <c r="M883" s="12" t="s">
        <v>0</v>
      </c>
      <c r="N883" s="12">
        <v>13.448685478651001</v>
      </c>
      <c r="O883" s="12">
        <v>16</v>
      </c>
      <c r="P883" s="12">
        <v>1760.44</v>
      </c>
      <c r="Q883" s="12" t="s">
        <v>1</v>
      </c>
    </row>
    <row r="884" spans="1:17" x14ac:dyDescent="0.25">
      <c r="A884" s="12">
        <f t="shared" si="13"/>
        <v>883</v>
      </c>
      <c r="B884" s="12">
        <v>0.95498400000000006</v>
      </c>
      <c r="C884" s="12">
        <v>0.11122</v>
      </c>
      <c r="D884" s="12">
        <v>0.58611599999999997</v>
      </c>
      <c r="E884" s="12">
        <v>74.763128409948393</v>
      </c>
      <c r="F884" s="12">
        <v>42.25</v>
      </c>
      <c r="G884" s="12">
        <v>108.672913492963</v>
      </c>
      <c r="H884" s="12" t="s">
        <v>0</v>
      </c>
      <c r="I884" s="12">
        <v>1.063987</v>
      </c>
      <c r="J884" s="12">
        <v>155.61000000000001</v>
      </c>
      <c r="K884" s="12">
        <v>355.80844000000002</v>
      </c>
      <c r="L884" s="12" t="s">
        <v>1</v>
      </c>
      <c r="M884" s="12" t="s">
        <v>0</v>
      </c>
      <c r="N884" s="12">
        <v>18.646567435112502</v>
      </c>
      <c r="O884" s="12">
        <v>14.5</v>
      </c>
      <c r="P884" s="12">
        <v>3495.01</v>
      </c>
      <c r="Q884" s="12" t="s">
        <v>1</v>
      </c>
    </row>
    <row r="885" spans="1:17" x14ac:dyDescent="0.25">
      <c r="A885" s="12">
        <f t="shared" si="13"/>
        <v>884</v>
      </c>
      <c r="B885" s="12">
        <v>0.17203599999999999</v>
      </c>
      <c r="C885" s="12">
        <v>-4.1477199999999997E-3</v>
      </c>
      <c r="D885" s="12">
        <v>0.15218499999999999</v>
      </c>
      <c r="E885" s="12">
        <v>3.0080628692707401</v>
      </c>
      <c r="F885" s="12">
        <v>132.25</v>
      </c>
      <c r="G885" s="12">
        <v>41.820848762619597</v>
      </c>
      <c r="H885" s="12" t="s">
        <v>0</v>
      </c>
      <c r="I885" s="12">
        <v>0.43762800000000002</v>
      </c>
      <c r="J885" s="12">
        <v>97.926140000000004</v>
      </c>
      <c r="K885" s="12">
        <v>99.789150000000006</v>
      </c>
      <c r="L885" s="12" t="s">
        <v>1</v>
      </c>
      <c r="M885" s="12" t="s">
        <v>0</v>
      </c>
      <c r="N885" s="12">
        <v>11.7343767956446</v>
      </c>
      <c r="O885" s="12">
        <v>19.5</v>
      </c>
      <c r="P885" s="12">
        <v>4939.58</v>
      </c>
      <c r="Q885" s="12" t="s">
        <v>1</v>
      </c>
    </row>
    <row r="886" spans="1:17" x14ac:dyDescent="0.25">
      <c r="A886" s="12">
        <f t="shared" si="13"/>
        <v>885</v>
      </c>
      <c r="B886" s="12">
        <v>1.0273099999999999</v>
      </c>
      <c r="C886" s="12">
        <v>-7.5617599999999993E-2</v>
      </c>
      <c r="D886" s="12">
        <v>0.72494499999999995</v>
      </c>
      <c r="E886" s="12">
        <v>6.4907752352977104</v>
      </c>
      <c r="F886" s="12">
        <v>132.25</v>
      </c>
      <c r="G886" s="12">
        <v>343.44822500356503</v>
      </c>
      <c r="H886" s="12" t="s">
        <v>0</v>
      </c>
      <c r="I886" s="12">
        <v>1.1218399999999999</v>
      </c>
      <c r="J886" s="12">
        <v>62.191200000000002</v>
      </c>
      <c r="K886" s="12">
        <v>437.71755000000002</v>
      </c>
      <c r="L886" s="12" t="s">
        <v>1</v>
      </c>
      <c r="M886" s="12" t="s">
        <v>0</v>
      </c>
      <c r="N886" s="12">
        <v>7.4523000107356197</v>
      </c>
      <c r="O886" s="12">
        <v>19.5</v>
      </c>
      <c r="P886" s="12">
        <v>535.69000000000005</v>
      </c>
      <c r="Q886" s="12" t="s">
        <v>1</v>
      </c>
    </row>
    <row r="887" spans="1:17" x14ac:dyDescent="0.25">
      <c r="A887" s="12">
        <f t="shared" si="13"/>
        <v>886</v>
      </c>
      <c r="B887" s="12">
        <v>1.135</v>
      </c>
      <c r="C887" s="12">
        <v>0.25669500000000001</v>
      </c>
      <c r="D887" s="12">
        <v>0.56784999999999997</v>
      </c>
      <c r="E887" s="12">
        <v>301.46051952616301</v>
      </c>
      <c r="F887" s="12">
        <v>30.25</v>
      </c>
      <c r="G887" s="12">
        <v>46.412675975980399</v>
      </c>
      <c r="H887" s="12" t="s">
        <v>0</v>
      </c>
      <c r="I887" s="12">
        <v>1.208</v>
      </c>
      <c r="J887" s="12">
        <v>228.3475</v>
      </c>
      <c r="K887" s="12">
        <v>345.03149999999999</v>
      </c>
      <c r="L887" s="12" t="s">
        <v>1</v>
      </c>
      <c r="M887" s="12" t="s">
        <v>0</v>
      </c>
      <c r="N887" s="12">
        <v>27.3626184524732</v>
      </c>
      <c r="O887" s="12">
        <v>13.5</v>
      </c>
      <c r="P887" s="12">
        <v>4813.37</v>
      </c>
      <c r="Q887" s="12" t="s">
        <v>1</v>
      </c>
    </row>
    <row r="888" spans="1:17" x14ac:dyDescent="0.25">
      <c r="A888" s="12">
        <f t="shared" si="13"/>
        <v>887</v>
      </c>
      <c r="B888" s="12">
        <v>0.94360100000000002</v>
      </c>
      <c r="C888" s="12">
        <v>0.325762</v>
      </c>
      <c r="D888" s="12">
        <v>0.68273899999999998</v>
      </c>
      <c r="E888" s="12">
        <v>462.28130724636702</v>
      </c>
      <c r="F888" s="12">
        <v>42.25</v>
      </c>
      <c r="G888" s="12">
        <v>46.2042370546068</v>
      </c>
      <c r="H888" s="12" t="s">
        <v>0</v>
      </c>
      <c r="I888" s="12">
        <v>1.05488</v>
      </c>
      <c r="J888" s="12">
        <v>262.88099999999997</v>
      </c>
      <c r="K888" s="12">
        <v>412.81601000000001</v>
      </c>
      <c r="L888" s="12" t="s">
        <v>1</v>
      </c>
      <c r="M888" s="12" t="s">
        <v>0</v>
      </c>
      <c r="N888" s="12">
        <v>31.5007280631695</v>
      </c>
      <c r="O888" s="12">
        <v>14.5</v>
      </c>
      <c r="P888" s="12">
        <v>4818.96</v>
      </c>
      <c r="Q888" s="12" t="s">
        <v>1</v>
      </c>
    </row>
    <row r="889" spans="1:17" x14ac:dyDescent="0.25">
      <c r="A889" s="12">
        <f t="shared" si="13"/>
        <v>888</v>
      </c>
      <c r="B889" s="12">
        <v>0.80746099999999998</v>
      </c>
      <c r="C889" s="12">
        <v>0.19195100000000001</v>
      </c>
      <c r="D889" s="12">
        <v>0.45455699999999999</v>
      </c>
      <c r="E889" s="12">
        <v>181.805281987466</v>
      </c>
      <c r="F889" s="12">
        <v>42.25</v>
      </c>
      <c r="G889" s="12">
        <v>1.96737130118221</v>
      </c>
      <c r="H889" s="12" t="s">
        <v>0</v>
      </c>
      <c r="I889" s="12">
        <v>0.94596800000000003</v>
      </c>
      <c r="J889" s="12">
        <v>195.97550000000001</v>
      </c>
      <c r="K889" s="12">
        <v>278.18862999999999</v>
      </c>
      <c r="L889" s="12" t="s">
        <v>1</v>
      </c>
      <c r="M889" s="12" t="s">
        <v>0</v>
      </c>
      <c r="N889" s="12">
        <v>23.4835189022549</v>
      </c>
      <c r="O889" s="12">
        <v>14.5</v>
      </c>
      <c r="P889" s="12">
        <v>6788.04</v>
      </c>
      <c r="Q889" s="12" t="s">
        <v>1</v>
      </c>
    </row>
    <row r="890" spans="1:17" x14ac:dyDescent="0.25">
      <c r="A890" s="12">
        <f t="shared" si="13"/>
        <v>889</v>
      </c>
      <c r="B890" s="12">
        <v>1.03599</v>
      </c>
      <c r="C890" s="12">
        <v>1.8685899999999998E-2</v>
      </c>
      <c r="D890" s="12">
        <v>0.66836899999999999</v>
      </c>
      <c r="E890" s="12">
        <v>9.6251340464733097</v>
      </c>
      <c r="F890" s="12">
        <v>64</v>
      </c>
      <c r="G890" s="12">
        <v>255.89305226796699</v>
      </c>
      <c r="H890" s="12" t="s">
        <v>0</v>
      </c>
      <c r="I890" s="12">
        <v>1.12879</v>
      </c>
      <c r="J890" s="12">
        <v>109.34295</v>
      </c>
      <c r="K890" s="12">
        <v>404.33771000000002</v>
      </c>
      <c r="L890" s="12" t="s">
        <v>1</v>
      </c>
      <c r="M890" s="12" t="s">
        <v>0</v>
      </c>
      <c r="N890" s="12">
        <v>13.1024400149677</v>
      </c>
      <c r="O890" s="12">
        <v>16</v>
      </c>
      <c r="P890" s="12">
        <v>1461.22</v>
      </c>
      <c r="Q890" s="12" t="s">
        <v>1</v>
      </c>
    </row>
    <row r="891" spans="1:17" x14ac:dyDescent="0.25">
      <c r="A891" s="12">
        <f t="shared" si="13"/>
        <v>890</v>
      </c>
      <c r="B891" s="12">
        <v>0.87509099999999995</v>
      </c>
      <c r="C891" s="12">
        <v>-1.9753000000000001E-3</v>
      </c>
      <c r="D891" s="12">
        <v>0.70521699999999998</v>
      </c>
      <c r="E891" s="12">
        <v>3.4764948361621699</v>
      </c>
      <c r="F891" s="12">
        <v>81</v>
      </c>
      <c r="G891" s="12">
        <v>263.36221147982701</v>
      </c>
      <c r="H891" s="12" t="s">
        <v>0</v>
      </c>
      <c r="I891" s="12">
        <v>1.0000720000000001</v>
      </c>
      <c r="J891" s="12">
        <v>99.012349999999998</v>
      </c>
      <c r="K891" s="12">
        <v>426.07803000000001</v>
      </c>
      <c r="L891" s="12" t="s">
        <v>1</v>
      </c>
      <c r="M891" s="12" t="s">
        <v>0</v>
      </c>
      <c r="N891" s="12">
        <v>11.8645360914077</v>
      </c>
      <c r="O891" s="12">
        <v>17</v>
      </c>
      <c r="P891" s="12">
        <v>1376.62</v>
      </c>
      <c r="Q891" s="12" t="s">
        <v>1</v>
      </c>
    </row>
    <row r="892" spans="1:17" x14ac:dyDescent="0.25">
      <c r="A892" s="12">
        <f t="shared" si="13"/>
        <v>891</v>
      </c>
      <c r="B892" s="12">
        <v>1.0394000000000001</v>
      </c>
      <c r="C892" s="12">
        <v>7.0502899999999993E-2</v>
      </c>
      <c r="D892" s="12">
        <v>0.60957899999999998</v>
      </c>
      <c r="E892" s="12">
        <v>38.527169152926497</v>
      </c>
      <c r="F892" s="12">
        <v>49</v>
      </c>
      <c r="G892" s="12">
        <v>186.54171238431201</v>
      </c>
      <c r="H892" s="12" t="s">
        <v>0</v>
      </c>
      <c r="I892" s="12">
        <v>1.1315</v>
      </c>
      <c r="J892" s="12">
        <v>135.25145000000001</v>
      </c>
      <c r="K892" s="12">
        <v>369.65161000000001</v>
      </c>
      <c r="L892" s="12" t="s">
        <v>1</v>
      </c>
      <c r="M892" s="12" t="s">
        <v>0</v>
      </c>
      <c r="N892" s="12">
        <v>16.2070257896134</v>
      </c>
      <c r="O892" s="12">
        <v>15</v>
      </c>
      <c r="P892" s="12">
        <v>2314.8200000000002</v>
      </c>
      <c r="Q892" s="12" t="s">
        <v>1</v>
      </c>
    </row>
    <row r="893" spans="1:17" x14ac:dyDescent="0.25">
      <c r="A893" s="12">
        <f t="shared" si="13"/>
        <v>892</v>
      </c>
      <c r="B893" s="12">
        <v>0.59742700000000004</v>
      </c>
      <c r="C893" s="12">
        <v>3.19761E-2</v>
      </c>
      <c r="D893" s="12">
        <v>0.27335300000000001</v>
      </c>
      <c r="E893" s="12">
        <v>15.199976388422099</v>
      </c>
      <c r="F893" s="12">
        <v>100</v>
      </c>
      <c r="G893" s="12">
        <v>56.339213427659899</v>
      </c>
      <c r="H893" s="12" t="s">
        <v>0</v>
      </c>
      <c r="I893" s="12">
        <v>0.77794099999999999</v>
      </c>
      <c r="J893" s="12">
        <v>115.98805</v>
      </c>
      <c r="K893" s="12">
        <v>171.27826999999999</v>
      </c>
      <c r="L893" s="12" t="s">
        <v>1</v>
      </c>
      <c r="M893" s="12" t="s">
        <v>0</v>
      </c>
      <c r="N893" s="12">
        <v>13.8987147098014</v>
      </c>
      <c r="O893" s="12">
        <v>18</v>
      </c>
      <c r="P893" s="12">
        <v>4560.33</v>
      </c>
      <c r="Q893" s="12" t="s">
        <v>1</v>
      </c>
    </row>
    <row r="894" spans="1:17" x14ac:dyDescent="0.25">
      <c r="A894" s="12">
        <f t="shared" si="13"/>
        <v>893</v>
      </c>
      <c r="B894" s="12">
        <v>1.03172</v>
      </c>
      <c r="C894" s="12">
        <v>2.5538499999999999E-2</v>
      </c>
      <c r="D894" s="12">
        <v>0.59453999999999996</v>
      </c>
      <c r="E894" s="12">
        <v>12.341236489247599</v>
      </c>
      <c r="F894" s="12">
        <v>64</v>
      </c>
      <c r="G894" s="12">
        <v>237.945416325764</v>
      </c>
      <c r="H894" s="12" t="s">
        <v>0</v>
      </c>
      <c r="I894" s="12">
        <v>1.12537</v>
      </c>
      <c r="J894" s="12">
        <v>112.76925</v>
      </c>
      <c r="K894" s="12">
        <v>360.77859999999998</v>
      </c>
      <c r="L894" s="12" t="s">
        <v>1</v>
      </c>
      <c r="M894" s="12" t="s">
        <v>0</v>
      </c>
      <c r="N894" s="12">
        <v>13.513009605629801</v>
      </c>
      <c r="O894" s="12">
        <v>16</v>
      </c>
      <c r="P894" s="12">
        <v>1669.7</v>
      </c>
      <c r="Q894" s="12" t="s">
        <v>1</v>
      </c>
    </row>
    <row r="895" spans="1:17" x14ac:dyDescent="0.25">
      <c r="A895" s="12">
        <f t="shared" si="13"/>
        <v>894</v>
      </c>
      <c r="B895" s="12">
        <v>0.21126300000000001</v>
      </c>
      <c r="C895" s="12">
        <v>-6.0484200000000002E-2</v>
      </c>
      <c r="D895" s="12">
        <v>0.196382</v>
      </c>
      <c r="E895" s="12">
        <v>2.6928515466174798</v>
      </c>
      <c r="F895" s="12">
        <v>156.25</v>
      </c>
      <c r="G895" s="12">
        <v>131.84513225670801</v>
      </c>
      <c r="H895" s="12" t="s">
        <v>0</v>
      </c>
      <c r="I895" s="12">
        <v>0.46900999999999998</v>
      </c>
      <c r="J895" s="12">
        <v>69.757900000000006</v>
      </c>
      <c r="K895" s="12">
        <v>125.86538</v>
      </c>
      <c r="L895" s="12" t="s">
        <v>1</v>
      </c>
      <c r="M895" s="12" t="s">
        <v>0</v>
      </c>
      <c r="N895" s="12">
        <v>8.35900897424224</v>
      </c>
      <c r="O895" s="12">
        <v>20.5</v>
      </c>
      <c r="P895" s="12">
        <v>3108.93</v>
      </c>
      <c r="Q895" s="12" t="s">
        <v>1</v>
      </c>
    </row>
    <row r="896" spans="1:17" x14ac:dyDescent="0.25">
      <c r="A896" s="12">
        <f t="shared" si="13"/>
        <v>895</v>
      </c>
      <c r="B896" s="12">
        <v>1.02312</v>
      </c>
      <c r="C896" s="12">
        <v>-8.36658E-4</v>
      </c>
      <c r="D896" s="12">
        <v>0.66092499999999998</v>
      </c>
      <c r="E896" s="12">
        <v>3.7355502876008999</v>
      </c>
      <c r="F896" s="12">
        <v>64</v>
      </c>
      <c r="G896" s="12">
        <v>263.12217423456502</v>
      </c>
      <c r="H896" s="12" t="s">
        <v>0</v>
      </c>
      <c r="I896" s="12">
        <v>1.11849</v>
      </c>
      <c r="J896" s="12">
        <v>99.581671</v>
      </c>
      <c r="K896" s="12">
        <v>399.94574999999998</v>
      </c>
      <c r="L896" s="12" t="s">
        <v>1</v>
      </c>
      <c r="M896" s="12" t="s">
        <v>0</v>
      </c>
      <c r="N896" s="12">
        <v>11.932757172435499</v>
      </c>
      <c r="O896" s="12">
        <v>16</v>
      </c>
      <c r="P896" s="12">
        <v>1379.32</v>
      </c>
      <c r="Q896" s="12" t="s">
        <v>1</v>
      </c>
    </row>
    <row r="897" spans="1:17" x14ac:dyDescent="0.25">
      <c r="A897" s="12">
        <f t="shared" si="13"/>
        <v>896</v>
      </c>
      <c r="B897" s="12">
        <v>1.0448599999999999</v>
      </c>
      <c r="C897" s="12">
        <v>4.4613800000000002E-2</v>
      </c>
      <c r="D897" s="12">
        <v>0.57506999999999997</v>
      </c>
      <c r="E897" s="12">
        <v>21.677360505791299</v>
      </c>
      <c r="F897" s="12">
        <v>49</v>
      </c>
      <c r="G897" s="12">
        <v>191.775450830549</v>
      </c>
      <c r="H897" s="12" t="s">
        <v>0</v>
      </c>
      <c r="I897" s="12">
        <v>1.13588</v>
      </c>
      <c r="J897" s="12">
        <v>122.3069</v>
      </c>
      <c r="K897" s="12">
        <v>349.29129999999998</v>
      </c>
      <c r="L897" s="12" t="s">
        <v>1</v>
      </c>
      <c r="M897" s="12" t="s">
        <v>0</v>
      </c>
      <c r="N897" s="12">
        <v>14.655895242141</v>
      </c>
      <c r="O897" s="12">
        <v>15</v>
      </c>
      <c r="P897" s="12">
        <v>2245.37</v>
      </c>
      <c r="Q897" s="12" t="s">
        <v>1</v>
      </c>
    </row>
    <row r="898" spans="1:17" x14ac:dyDescent="0.25">
      <c r="A898" s="12">
        <f t="shared" si="13"/>
        <v>897</v>
      </c>
      <c r="B898" s="12">
        <v>0.931226</v>
      </c>
      <c r="C898" s="12">
        <v>0.319384</v>
      </c>
      <c r="D898" s="12">
        <v>0.57763399999999998</v>
      </c>
      <c r="E898" s="12">
        <v>445.99500657060298</v>
      </c>
      <c r="F898" s="12">
        <v>42.25</v>
      </c>
      <c r="G898" s="12">
        <v>26.6075077320322</v>
      </c>
      <c r="H898" s="12" t="s">
        <v>0</v>
      </c>
      <c r="I898" s="12">
        <v>1.04498</v>
      </c>
      <c r="J898" s="12">
        <v>259.69200000000001</v>
      </c>
      <c r="K898" s="12">
        <v>350.80405999999999</v>
      </c>
      <c r="L898" s="12" t="s">
        <v>1</v>
      </c>
      <c r="M898" s="12" t="s">
        <v>0</v>
      </c>
      <c r="N898" s="12">
        <v>31.1185938587445</v>
      </c>
      <c r="O898" s="12">
        <v>14.5</v>
      </c>
      <c r="P898" s="12">
        <v>5417.24</v>
      </c>
      <c r="Q898" s="12" t="s">
        <v>1</v>
      </c>
    </row>
    <row r="899" spans="1:17" x14ac:dyDescent="0.25">
      <c r="A899" s="12">
        <f t="shared" si="13"/>
        <v>898</v>
      </c>
      <c r="B899" s="12">
        <v>1.1583600000000001</v>
      </c>
      <c r="C899" s="12">
        <v>2.2320300000000001E-2</v>
      </c>
      <c r="D899" s="12">
        <v>0.67574400000000001</v>
      </c>
      <c r="E899" s="12">
        <v>11.0236815718527</v>
      </c>
      <c r="F899" s="12">
        <v>49</v>
      </c>
      <c r="G899" s="12">
        <v>262.980870167761</v>
      </c>
      <c r="H899" s="12" t="s">
        <v>0</v>
      </c>
      <c r="I899" s="12">
        <v>1.22668</v>
      </c>
      <c r="J899" s="12">
        <v>111.16015</v>
      </c>
      <c r="K899" s="12">
        <v>408.68896000000001</v>
      </c>
      <c r="L899" s="12" t="s">
        <v>1</v>
      </c>
      <c r="M899" s="12" t="s">
        <v>0</v>
      </c>
      <c r="N899" s="12">
        <v>13.320193002199201</v>
      </c>
      <c r="O899" s="12">
        <v>15</v>
      </c>
      <c r="P899" s="12">
        <v>1380.91</v>
      </c>
      <c r="Q899" s="12" t="s">
        <v>1</v>
      </c>
    </row>
    <row r="900" spans="1:17" x14ac:dyDescent="0.25">
      <c r="A900" s="12">
        <f t="shared" ref="A900:A923" si="14">A899+1</f>
        <v>899</v>
      </c>
      <c r="B900" s="12">
        <v>0.96236600000000005</v>
      </c>
      <c r="C900" s="12">
        <v>0.37607299999999999</v>
      </c>
      <c r="D900" s="12">
        <v>0.62033099999999997</v>
      </c>
      <c r="E900" s="12">
        <v>600.98928044220099</v>
      </c>
      <c r="F900" s="12">
        <v>30.25</v>
      </c>
      <c r="G900" s="12">
        <v>3.3694877087633702E-6</v>
      </c>
      <c r="H900" s="12" t="s">
        <v>0</v>
      </c>
      <c r="I900" s="12">
        <v>1.0698920000000001</v>
      </c>
      <c r="J900" s="12">
        <v>288.03649999999999</v>
      </c>
      <c r="K900" s="12">
        <v>375.99529000000001</v>
      </c>
      <c r="L900" s="12" t="s">
        <v>1</v>
      </c>
      <c r="M900" s="12" t="s">
        <v>0</v>
      </c>
      <c r="N900" s="12">
        <v>34.515082713346096</v>
      </c>
      <c r="O900" s="12">
        <v>13.5</v>
      </c>
      <c r="P900" s="12">
        <v>7299.33</v>
      </c>
      <c r="Q900" s="12" t="s">
        <v>1</v>
      </c>
    </row>
    <row r="901" spans="1:17" x14ac:dyDescent="0.25">
      <c r="A901" s="12">
        <f t="shared" si="14"/>
        <v>900</v>
      </c>
      <c r="B901" s="12">
        <v>0.98332799999999998</v>
      </c>
      <c r="C901" s="12">
        <v>6.7680199999999996E-3</v>
      </c>
      <c r="D901" s="12">
        <v>0.57731600000000005</v>
      </c>
      <c r="E901" s="12">
        <v>5.7043928641264197</v>
      </c>
      <c r="F901" s="12">
        <v>72.25</v>
      </c>
      <c r="G901" s="12">
        <v>240.02328638693899</v>
      </c>
      <c r="H901" s="12" t="s">
        <v>0</v>
      </c>
      <c r="I901" s="12">
        <v>1.086662</v>
      </c>
      <c r="J901" s="12">
        <v>103.38401</v>
      </c>
      <c r="K901" s="12">
        <v>350.61644000000001</v>
      </c>
      <c r="L901" s="12" t="s">
        <v>1</v>
      </c>
      <c r="M901" s="12" t="s">
        <v>0</v>
      </c>
      <c r="N901" s="12">
        <v>12.388387084232001</v>
      </c>
      <c r="O901" s="12">
        <v>16.5</v>
      </c>
      <c r="P901" s="12">
        <v>1645.17</v>
      </c>
      <c r="Q901" s="12" t="s">
        <v>1</v>
      </c>
    </row>
    <row r="902" spans="1:17" x14ac:dyDescent="0.25">
      <c r="A902" s="12">
        <f t="shared" si="14"/>
        <v>901</v>
      </c>
      <c r="B902" s="12">
        <v>1.00725</v>
      </c>
      <c r="C902" s="12">
        <v>7.9275300000000007E-2</v>
      </c>
      <c r="D902" s="12">
        <v>0.53861199999999998</v>
      </c>
      <c r="E902" s="12">
        <v>45.328159863880998</v>
      </c>
      <c r="F902" s="12">
        <v>49</v>
      </c>
      <c r="G902" s="12">
        <v>158.29845101219701</v>
      </c>
      <c r="H902" s="12" t="s">
        <v>0</v>
      </c>
      <c r="I902" s="12">
        <v>1.1057999999999999</v>
      </c>
      <c r="J902" s="12">
        <v>139.63765000000001</v>
      </c>
      <c r="K902" s="12">
        <v>327.78107999999997</v>
      </c>
      <c r="L902" s="12" t="s">
        <v>1</v>
      </c>
      <c r="M902" s="12" t="s">
        <v>0</v>
      </c>
      <c r="N902" s="12">
        <v>16.7326190939248</v>
      </c>
      <c r="O902" s="12">
        <v>15</v>
      </c>
      <c r="P902" s="12">
        <v>2707.69</v>
      </c>
      <c r="Q902" s="12" t="s">
        <v>1</v>
      </c>
    </row>
    <row r="903" spans="1:17" x14ac:dyDescent="0.25">
      <c r="A903" s="12">
        <f t="shared" si="14"/>
        <v>902</v>
      </c>
      <c r="B903" s="12">
        <v>3.0988000000000002E-2</v>
      </c>
      <c r="C903" s="12">
        <v>8.30901E-2</v>
      </c>
      <c r="D903" s="12">
        <v>9.5490400000000003E-2</v>
      </c>
      <c r="E903" s="12">
        <v>48.458035951111498</v>
      </c>
      <c r="F903" s="12">
        <v>72.25</v>
      </c>
      <c r="G903" s="12">
        <v>2.2495068763370201</v>
      </c>
      <c r="H903" s="12" t="s">
        <v>0</v>
      </c>
      <c r="I903" s="12">
        <v>0.32479000000000002</v>
      </c>
      <c r="J903" s="12">
        <v>141.54505</v>
      </c>
      <c r="K903" s="12">
        <v>66.339336000000003</v>
      </c>
      <c r="L903" s="12" t="s">
        <v>1</v>
      </c>
      <c r="M903" s="12" t="s">
        <v>0</v>
      </c>
      <c r="N903" s="12">
        <v>16.9611806434764</v>
      </c>
      <c r="O903" s="12">
        <v>16.5</v>
      </c>
      <c r="P903" s="12">
        <v>7847.44</v>
      </c>
      <c r="Q903" s="12" t="s">
        <v>1</v>
      </c>
    </row>
    <row r="904" spans="1:17" x14ac:dyDescent="0.25">
      <c r="A904" s="12">
        <f t="shared" si="14"/>
        <v>903</v>
      </c>
      <c r="B904" s="12">
        <v>1.2294400000000001</v>
      </c>
      <c r="C904" s="12">
        <v>0.69001100000000004</v>
      </c>
      <c r="D904" s="12">
        <v>0.88799700000000004</v>
      </c>
      <c r="E904" s="12">
        <v>1877.01208851148</v>
      </c>
      <c r="F904" s="12">
        <v>20.25</v>
      </c>
      <c r="G904" s="12">
        <v>2.9089405209232502</v>
      </c>
      <c r="H904" s="12" t="s">
        <v>0</v>
      </c>
      <c r="I904" s="12">
        <v>1.28355</v>
      </c>
      <c r="J904" s="12">
        <v>445.00549999999998</v>
      </c>
      <c r="K904" s="12">
        <v>533.91822999999999</v>
      </c>
      <c r="L904" s="12" t="s">
        <v>1</v>
      </c>
      <c r="M904" s="12" t="s">
        <v>0</v>
      </c>
      <c r="N904" s="12">
        <v>53.324497556365003</v>
      </c>
      <c r="O904" s="12">
        <v>12.5</v>
      </c>
      <c r="P904" s="12">
        <v>7922.53</v>
      </c>
      <c r="Q904" s="12" t="s">
        <v>1</v>
      </c>
    </row>
    <row r="905" spans="1:17" x14ac:dyDescent="0.25">
      <c r="A905" s="12">
        <f t="shared" si="14"/>
        <v>904</v>
      </c>
      <c r="B905" s="12">
        <v>0.54430599999999996</v>
      </c>
      <c r="C905" s="12">
        <v>-2.3185000000000001E-2</v>
      </c>
      <c r="D905" s="12">
        <v>8.7140400000000007E-2</v>
      </c>
      <c r="E905" s="12">
        <v>0.35256175074437801</v>
      </c>
      <c r="F905" s="12">
        <v>144</v>
      </c>
      <c r="G905" s="12">
        <v>4.4353513980108801</v>
      </c>
      <c r="H905" s="12" t="s">
        <v>0</v>
      </c>
      <c r="I905" s="12">
        <v>0.73544399999999999</v>
      </c>
      <c r="J905" s="12">
        <v>88.407499999999999</v>
      </c>
      <c r="K905" s="12">
        <v>61.412835999999999</v>
      </c>
      <c r="L905" s="12" t="s">
        <v>1</v>
      </c>
      <c r="M905" s="12" t="s">
        <v>0</v>
      </c>
      <c r="N905" s="12">
        <v>10.5937691055826</v>
      </c>
      <c r="O905" s="12">
        <v>20</v>
      </c>
      <c r="P905" s="12">
        <v>8068.7</v>
      </c>
      <c r="Q905" s="12" t="s">
        <v>1</v>
      </c>
    </row>
    <row r="906" spans="1:17" x14ac:dyDescent="0.25">
      <c r="A906" s="12">
        <f t="shared" si="14"/>
        <v>905</v>
      </c>
      <c r="B906" s="12">
        <v>0.96012399999999998</v>
      </c>
      <c r="C906" s="12">
        <v>9.2527100000000001E-2</v>
      </c>
      <c r="D906" s="12">
        <v>0.59766399999999997</v>
      </c>
      <c r="E906" s="12">
        <v>56.649603314045599</v>
      </c>
      <c r="F906" s="12">
        <v>56.25</v>
      </c>
      <c r="G906" s="12">
        <v>161.10285979433201</v>
      </c>
      <c r="H906" s="12" t="s">
        <v>0</v>
      </c>
      <c r="I906" s="12">
        <v>1.0680989999999999</v>
      </c>
      <c r="J906" s="12">
        <v>146.26355000000001</v>
      </c>
      <c r="K906" s="12">
        <v>362.62175999999999</v>
      </c>
      <c r="L906" s="12" t="s">
        <v>1</v>
      </c>
      <c r="M906" s="12" t="s">
        <v>0</v>
      </c>
      <c r="N906" s="12">
        <v>17.526593074827701</v>
      </c>
      <c r="O906" s="12">
        <v>15.5</v>
      </c>
      <c r="P906" s="12">
        <v>2667.19</v>
      </c>
      <c r="Q906" s="12" t="s">
        <v>1</v>
      </c>
    </row>
    <row r="907" spans="1:17" x14ac:dyDescent="0.25">
      <c r="A907" s="12">
        <f t="shared" si="14"/>
        <v>906</v>
      </c>
      <c r="B907" s="12">
        <v>0.96688600000000002</v>
      </c>
      <c r="C907" s="12">
        <v>0.14307500000000001</v>
      </c>
      <c r="D907" s="12">
        <v>0.62257799999999996</v>
      </c>
      <c r="E907" s="12">
        <v>111.411011079175</v>
      </c>
      <c r="F907" s="12">
        <v>42.25</v>
      </c>
      <c r="G907" s="12">
        <v>101.66329782623301</v>
      </c>
      <c r="H907" s="12" t="s">
        <v>0</v>
      </c>
      <c r="I907" s="12">
        <v>1.0735079999999999</v>
      </c>
      <c r="J907" s="12">
        <v>171.53749999999999</v>
      </c>
      <c r="K907" s="12">
        <v>377.32101999999998</v>
      </c>
      <c r="L907" s="12" t="s">
        <v>1</v>
      </c>
      <c r="M907" s="12" t="s">
        <v>0</v>
      </c>
      <c r="N907" s="12">
        <v>20.5551414523527</v>
      </c>
      <c r="O907" s="12">
        <v>14.5</v>
      </c>
      <c r="P907" s="12">
        <v>3619.77</v>
      </c>
      <c r="Q907" s="12" t="s">
        <v>1</v>
      </c>
    </row>
    <row r="908" spans="1:17" x14ac:dyDescent="0.25">
      <c r="A908" s="12">
        <f t="shared" si="14"/>
        <v>907</v>
      </c>
      <c r="B908" s="12">
        <v>0.126725</v>
      </c>
      <c r="C908" s="12">
        <v>-5.3133899999999998E-2</v>
      </c>
      <c r="D908" s="12">
        <v>0.202872</v>
      </c>
      <c r="E908" s="12">
        <v>1.44144522395805</v>
      </c>
      <c r="F908" s="12">
        <v>144</v>
      </c>
      <c r="G908" s="12">
        <v>158.32809688571899</v>
      </c>
      <c r="H908" s="12" t="s">
        <v>0</v>
      </c>
      <c r="I908" s="12">
        <v>0.40138000000000001</v>
      </c>
      <c r="J908" s="12">
        <v>73.433049999999994</v>
      </c>
      <c r="K908" s="12">
        <v>129.69448</v>
      </c>
      <c r="L908" s="12" t="s">
        <v>1</v>
      </c>
      <c r="M908" s="12" t="s">
        <v>0</v>
      </c>
      <c r="N908" s="12">
        <v>8.7993979743653306</v>
      </c>
      <c r="O908" s="12">
        <v>20</v>
      </c>
      <c r="P908" s="12">
        <v>2707.26</v>
      </c>
      <c r="Q908" s="12" t="s">
        <v>1</v>
      </c>
    </row>
    <row r="909" spans="1:17" x14ac:dyDescent="0.25">
      <c r="A909" s="12">
        <f t="shared" si="14"/>
        <v>908</v>
      </c>
      <c r="B909" s="12">
        <v>0.93054300000000001</v>
      </c>
      <c r="C909" s="12">
        <v>0.16476299999999999</v>
      </c>
      <c r="D909" s="12">
        <v>0.32097799999999999</v>
      </c>
      <c r="E909" s="12">
        <v>140.53072337844901</v>
      </c>
      <c r="F909" s="12">
        <v>42.25</v>
      </c>
      <c r="G909" s="12">
        <v>3.8046372865453102</v>
      </c>
      <c r="H909" s="12" t="s">
        <v>0</v>
      </c>
      <c r="I909" s="12">
        <v>1.0444340000000001</v>
      </c>
      <c r="J909" s="12">
        <v>182.38149999999999</v>
      </c>
      <c r="K909" s="12">
        <v>199.37701999999999</v>
      </c>
      <c r="L909" s="12" t="s">
        <v>1</v>
      </c>
      <c r="M909" s="12" t="s">
        <v>0</v>
      </c>
      <c r="N909" s="12">
        <v>21.8545655077885</v>
      </c>
      <c r="O909" s="12">
        <v>14.5</v>
      </c>
      <c r="P909" s="12">
        <v>6588.05</v>
      </c>
      <c r="Q909" s="12" t="s">
        <v>1</v>
      </c>
    </row>
    <row r="910" spans="1:17" x14ac:dyDescent="0.25">
      <c r="A910" s="12">
        <f t="shared" si="14"/>
        <v>909</v>
      </c>
      <c r="B910" s="12">
        <v>1.04057</v>
      </c>
      <c r="C910" s="12">
        <v>1.7361700000000001E-2</v>
      </c>
      <c r="D910" s="12">
        <v>0.59651399999999999</v>
      </c>
      <c r="E910" s="12">
        <v>9.1391416696726004</v>
      </c>
      <c r="F910" s="12">
        <v>64</v>
      </c>
      <c r="G910" s="12">
        <v>242.64250223306399</v>
      </c>
      <c r="H910" s="12" t="s">
        <v>0</v>
      </c>
      <c r="I910" s="12">
        <v>1.13245</v>
      </c>
      <c r="J910" s="12">
        <v>108.68085000000001</v>
      </c>
      <c r="K910" s="12">
        <v>361.94326000000001</v>
      </c>
      <c r="L910" s="12" t="s">
        <v>1</v>
      </c>
      <c r="M910" s="12" t="s">
        <v>0</v>
      </c>
      <c r="N910" s="12">
        <v>13.0231013330142</v>
      </c>
      <c r="O910" s="12">
        <v>16</v>
      </c>
      <c r="P910" s="12">
        <v>1614.4</v>
      </c>
      <c r="Q910" s="12" t="s">
        <v>1</v>
      </c>
    </row>
    <row r="911" spans="1:17" x14ac:dyDescent="0.25">
      <c r="A911" s="12">
        <f t="shared" si="14"/>
        <v>910</v>
      </c>
      <c r="B911" s="12">
        <v>0.21502099999999999</v>
      </c>
      <c r="C911" s="12">
        <v>4.65116E-2</v>
      </c>
      <c r="D911" s="12">
        <v>0.10506600000000001</v>
      </c>
      <c r="E911" s="12">
        <v>22.749092157991999</v>
      </c>
      <c r="F911" s="12">
        <v>110.25</v>
      </c>
      <c r="G911" s="12">
        <v>23.760950572340001</v>
      </c>
      <c r="H911" s="12" t="s">
        <v>0</v>
      </c>
      <c r="I911" s="12">
        <v>0.47201599999999999</v>
      </c>
      <c r="J911" s="12">
        <v>123.25579999999999</v>
      </c>
      <c r="K911" s="12">
        <v>71.988939999999999</v>
      </c>
      <c r="L911" s="12" t="s">
        <v>1</v>
      </c>
      <c r="M911" s="12" t="s">
        <v>0</v>
      </c>
      <c r="N911" s="12">
        <v>14.7696008384341</v>
      </c>
      <c r="O911" s="12">
        <v>18.5</v>
      </c>
      <c r="P911" s="12">
        <v>9079.2000000000007</v>
      </c>
      <c r="Q911" s="12" t="s">
        <v>1</v>
      </c>
    </row>
    <row r="912" spans="1:17" x14ac:dyDescent="0.25">
      <c r="A912" s="12">
        <f t="shared" si="14"/>
        <v>911</v>
      </c>
      <c r="B912" s="12">
        <v>0.82083099999999998</v>
      </c>
      <c r="C912" s="12">
        <v>8.4416699999999997E-2</v>
      </c>
      <c r="D912" s="12">
        <v>0.65950600000000004</v>
      </c>
      <c r="E912" s="12">
        <v>49.570937170041603</v>
      </c>
      <c r="F912" s="12">
        <v>64</v>
      </c>
      <c r="G912" s="12">
        <v>180.018462132482</v>
      </c>
      <c r="H912" s="12" t="s">
        <v>0</v>
      </c>
      <c r="I912" s="12">
        <v>0.95666399999999996</v>
      </c>
      <c r="J912" s="12">
        <v>142.20835</v>
      </c>
      <c r="K912" s="12">
        <v>399.10854</v>
      </c>
      <c r="L912" s="12" t="s">
        <v>1</v>
      </c>
      <c r="M912" s="12" t="s">
        <v>0</v>
      </c>
      <c r="N912" s="12">
        <v>17.040663120050599</v>
      </c>
      <c r="O912" s="12">
        <v>16</v>
      </c>
      <c r="P912" s="12">
        <v>2402.7600000000002</v>
      </c>
      <c r="Q912" s="12" t="s">
        <v>1</v>
      </c>
    </row>
    <row r="913" spans="1:17" x14ac:dyDescent="0.25">
      <c r="A913" s="12">
        <f t="shared" si="14"/>
        <v>912</v>
      </c>
      <c r="B913" s="12">
        <v>1.1651899999999999</v>
      </c>
      <c r="C913" s="12">
        <v>-2.8292100000000001E-2</v>
      </c>
      <c r="D913" s="12">
        <v>0.60011700000000001</v>
      </c>
      <c r="E913" s="12">
        <v>8.2817411420987197E-2</v>
      </c>
      <c r="F913" s="12">
        <v>72.25</v>
      </c>
      <c r="G913" s="12">
        <v>287.106563554888</v>
      </c>
      <c r="H913" s="12" t="s">
        <v>0</v>
      </c>
      <c r="I913" s="12">
        <v>1.2321500000000001</v>
      </c>
      <c r="J913" s="12">
        <v>85.853949999999998</v>
      </c>
      <c r="K913" s="12">
        <v>364.06903</v>
      </c>
      <c r="L913" s="12" t="s">
        <v>1</v>
      </c>
      <c r="M913" s="12" t="s">
        <v>0</v>
      </c>
      <c r="N913" s="12">
        <v>10.287780144243801</v>
      </c>
      <c r="O913" s="12">
        <v>16.5</v>
      </c>
      <c r="P913" s="12">
        <v>1115.3599999999999</v>
      </c>
      <c r="Q913" s="12" t="s">
        <v>1</v>
      </c>
    </row>
    <row r="914" spans="1:17" x14ac:dyDescent="0.25">
      <c r="A914" s="12">
        <f t="shared" si="14"/>
        <v>913</v>
      </c>
      <c r="B914" s="12">
        <v>0.94015899999999997</v>
      </c>
      <c r="C914" s="12">
        <v>6.9768999999999998E-2</v>
      </c>
      <c r="D914" s="12">
        <v>0.57314699999999996</v>
      </c>
      <c r="E914" s="12">
        <v>37.983241915086801</v>
      </c>
      <c r="F914" s="12">
        <v>56.25</v>
      </c>
      <c r="G914" s="12">
        <v>169.11897983786801</v>
      </c>
      <c r="H914" s="12" t="s">
        <v>0</v>
      </c>
      <c r="I914" s="12">
        <v>1.052127</v>
      </c>
      <c r="J914" s="12">
        <v>134.8845</v>
      </c>
      <c r="K914" s="12">
        <v>348.15672999999998</v>
      </c>
      <c r="L914" s="12" t="s">
        <v>1</v>
      </c>
      <c r="M914" s="12" t="s">
        <v>0</v>
      </c>
      <c r="N914" s="12">
        <v>16.163054592901702</v>
      </c>
      <c r="O914" s="12">
        <v>15.5</v>
      </c>
      <c r="P914" s="12">
        <v>2553.33</v>
      </c>
      <c r="Q914" s="12" t="s">
        <v>1</v>
      </c>
    </row>
    <row r="915" spans="1:17" x14ac:dyDescent="0.25">
      <c r="A915" s="12">
        <f t="shared" si="14"/>
        <v>914</v>
      </c>
      <c r="B915" s="12">
        <v>0.92340500000000003</v>
      </c>
      <c r="C915" s="12">
        <v>2.9867299999999999E-2</v>
      </c>
      <c r="D915" s="12">
        <v>0.580677</v>
      </c>
      <c r="E915" s="12">
        <v>14.230754063592901</v>
      </c>
      <c r="F915" s="12">
        <v>72.25</v>
      </c>
      <c r="G915" s="12">
        <v>227.79079243760501</v>
      </c>
      <c r="H915" s="12" t="s">
        <v>0</v>
      </c>
      <c r="I915" s="12">
        <v>1.038724</v>
      </c>
      <c r="J915" s="12">
        <v>114.93365</v>
      </c>
      <c r="K915" s="12">
        <v>352.59942999999998</v>
      </c>
      <c r="L915" s="12" t="s">
        <v>1</v>
      </c>
      <c r="M915" s="12" t="s">
        <v>0</v>
      </c>
      <c r="N915" s="12">
        <v>13.772367169774499</v>
      </c>
      <c r="O915" s="12">
        <v>16.5</v>
      </c>
      <c r="P915" s="12">
        <v>1791.15</v>
      </c>
      <c r="Q915" s="12" t="s">
        <v>1</v>
      </c>
    </row>
    <row r="916" spans="1:17" x14ac:dyDescent="0.25">
      <c r="A916" s="12">
        <f t="shared" si="14"/>
        <v>915</v>
      </c>
      <c r="B916" s="12">
        <v>0.91875799999999996</v>
      </c>
      <c r="C916" s="12">
        <v>0.327515</v>
      </c>
      <c r="D916" s="12">
        <v>0.54974599999999996</v>
      </c>
      <c r="E916" s="12">
        <v>466.80878094462798</v>
      </c>
      <c r="F916" s="12">
        <v>42.25</v>
      </c>
      <c r="G916" s="12">
        <v>18.241558013886198</v>
      </c>
      <c r="H916" s="12" t="s">
        <v>0</v>
      </c>
      <c r="I916" s="12">
        <v>1.0350060000000001</v>
      </c>
      <c r="J916" s="12">
        <v>263.75749999999999</v>
      </c>
      <c r="K916" s="12">
        <v>334.35014000000001</v>
      </c>
      <c r="L916" s="12" t="s">
        <v>1</v>
      </c>
      <c r="M916" s="12" t="s">
        <v>0</v>
      </c>
      <c r="N916" s="12">
        <v>31.6057580506824</v>
      </c>
      <c r="O916" s="12">
        <v>14.5</v>
      </c>
      <c r="P916" s="12">
        <v>5741.08</v>
      </c>
      <c r="Q916" s="12" t="s">
        <v>1</v>
      </c>
    </row>
    <row r="917" spans="1:17" x14ac:dyDescent="0.25">
      <c r="A917" s="12">
        <f t="shared" si="14"/>
        <v>916</v>
      </c>
      <c r="B917" s="12">
        <v>1.08941</v>
      </c>
      <c r="C917" s="12">
        <v>0.14419599999999999</v>
      </c>
      <c r="D917" s="12">
        <v>0.57810600000000001</v>
      </c>
      <c r="E917" s="12">
        <v>112.83337462586201</v>
      </c>
      <c r="F917" s="12">
        <v>36</v>
      </c>
      <c r="G917" s="12">
        <v>92.677282735222306</v>
      </c>
      <c r="H917" s="12" t="s">
        <v>0</v>
      </c>
      <c r="I917" s="12">
        <v>1.1715199999999999</v>
      </c>
      <c r="J917" s="12">
        <v>172.09800000000001</v>
      </c>
      <c r="K917" s="12">
        <v>351.08253999999999</v>
      </c>
      <c r="L917" s="12" t="s">
        <v>1</v>
      </c>
      <c r="M917" s="12" t="s">
        <v>0</v>
      </c>
      <c r="N917" s="12">
        <v>20.6223055230897</v>
      </c>
      <c r="O917" s="12">
        <v>14</v>
      </c>
      <c r="P917" s="12">
        <v>3786.18</v>
      </c>
      <c r="Q917" s="12" t="s">
        <v>1</v>
      </c>
    </row>
    <row r="918" spans="1:17" x14ac:dyDescent="0.25">
      <c r="A918" s="12">
        <f t="shared" si="14"/>
        <v>917</v>
      </c>
      <c r="B918" s="12">
        <v>1.0889200000000001</v>
      </c>
      <c r="C918" s="12">
        <v>0.17537900000000001</v>
      </c>
      <c r="D918" s="12">
        <v>0.53934199999999999</v>
      </c>
      <c r="E918" s="12">
        <v>156.01551420338899</v>
      </c>
      <c r="F918" s="12">
        <v>36</v>
      </c>
      <c r="G918" s="12">
        <v>66.450190556577198</v>
      </c>
      <c r="H918" s="12" t="s">
        <v>0</v>
      </c>
      <c r="I918" s="12">
        <v>1.17113</v>
      </c>
      <c r="J918" s="12">
        <v>187.68950000000001</v>
      </c>
      <c r="K918" s="12">
        <v>328.21177999999998</v>
      </c>
      <c r="L918" s="12" t="s">
        <v>1</v>
      </c>
      <c r="M918" s="12" t="s">
        <v>0</v>
      </c>
      <c r="N918" s="12">
        <v>22.490617046542901</v>
      </c>
      <c r="O918" s="12">
        <v>14</v>
      </c>
      <c r="P918" s="12">
        <v>4324.63</v>
      </c>
      <c r="Q918" s="12" t="s">
        <v>1</v>
      </c>
    </row>
    <row r="919" spans="1:17" x14ac:dyDescent="0.25">
      <c r="A919" s="12">
        <f t="shared" si="14"/>
        <v>918</v>
      </c>
      <c r="B919" s="12">
        <v>0.89047299999999996</v>
      </c>
      <c r="C919" s="12">
        <v>0.180869</v>
      </c>
      <c r="D919" s="12">
        <v>0.38324799999999998</v>
      </c>
      <c r="E919" s="12">
        <v>164.340791472456</v>
      </c>
      <c r="F919" s="12">
        <v>42.25</v>
      </c>
      <c r="G919" s="12">
        <v>14.958668839181801</v>
      </c>
      <c r="H919" s="12" t="s">
        <v>0</v>
      </c>
      <c r="I919" s="12">
        <v>1.012378</v>
      </c>
      <c r="J919" s="12">
        <v>190.43450000000001</v>
      </c>
      <c r="K919" s="12">
        <v>236.11632</v>
      </c>
      <c r="L919" s="12" t="s">
        <v>1</v>
      </c>
      <c r="M919" s="12" t="s">
        <v>0</v>
      </c>
      <c r="N919" s="12">
        <v>22.819547241320802</v>
      </c>
      <c r="O919" s="12">
        <v>14.5</v>
      </c>
      <c r="P919" s="12">
        <v>5888.31</v>
      </c>
      <c r="Q919" s="12" t="s">
        <v>1</v>
      </c>
    </row>
    <row r="920" spans="1:17" x14ac:dyDescent="0.25">
      <c r="A920" s="12">
        <f t="shared" si="14"/>
        <v>919</v>
      </c>
      <c r="B920" s="12">
        <v>0.58919299999999997</v>
      </c>
      <c r="C920" s="12">
        <v>-5.1326200000000002E-2</v>
      </c>
      <c r="D920" s="12">
        <v>0.12551000000000001</v>
      </c>
      <c r="E920" s="12">
        <v>1.1931077532843499</v>
      </c>
      <c r="F920" s="12">
        <v>144</v>
      </c>
      <c r="G920" s="12">
        <v>26.509238644398501</v>
      </c>
      <c r="H920" s="12" t="s">
        <v>0</v>
      </c>
      <c r="I920" s="12">
        <v>0.77135399999999998</v>
      </c>
      <c r="J920" s="12">
        <v>74.3369</v>
      </c>
      <c r="K920" s="12">
        <v>84.050899999999999</v>
      </c>
      <c r="L920" s="12" t="s">
        <v>1</v>
      </c>
      <c r="M920" s="12" t="s">
        <v>0</v>
      </c>
      <c r="N920" s="12">
        <v>8.9077052809409096</v>
      </c>
      <c r="O920" s="12">
        <v>20</v>
      </c>
      <c r="P920" s="12">
        <v>5420.72</v>
      </c>
      <c r="Q920" s="12" t="s">
        <v>1</v>
      </c>
    </row>
    <row r="921" spans="1:17" x14ac:dyDescent="0.25">
      <c r="A921" s="12">
        <f t="shared" si="14"/>
        <v>920</v>
      </c>
      <c r="B921" s="12">
        <v>1.03054</v>
      </c>
      <c r="C921" s="12">
        <v>1.22057E-2</v>
      </c>
      <c r="D921" s="12">
        <v>0.62687000000000004</v>
      </c>
      <c r="E921" s="12">
        <v>7.3667869488110798</v>
      </c>
      <c r="F921" s="12">
        <v>64</v>
      </c>
      <c r="G921" s="12">
        <v>251.80472735972899</v>
      </c>
      <c r="H921" s="12" t="s">
        <v>0</v>
      </c>
      <c r="I921" s="12">
        <v>1.12443</v>
      </c>
      <c r="J921" s="12">
        <v>106.10285</v>
      </c>
      <c r="K921" s="12">
        <v>379.85329999999999</v>
      </c>
      <c r="L921" s="12" t="s">
        <v>1</v>
      </c>
      <c r="M921" s="12" t="s">
        <v>0</v>
      </c>
      <c r="N921" s="12">
        <v>12.714182556279299</v>
      </c>
      <c r="O921" s="12">
        <v>16</v>
      </c>
      <c r="P921" s="12">
        <v>1508.05</v>
      </c>
      <c r="Q921" s="12" t="s">
        <v>1</v>
      </c>
    </row>
    <row r="922" spans="1:17" x14ac:dyDescent="0.25">
      <c r="A922" s="12">
        <f t="shared" si="14"/>
        <v>921</v>
      </c>
      <c r="B922" s="12">
        <v>0.97362800000000005</v>
      </c>
      <c r="C922" s="12">
        <v>-5.2491200000000002E-2</v>
      </c>
      <c r="D922" s="12">
        <v>0.743834</v>
      </c>
      <c r="E922" s="12">
        <v>1.3504648459869399</v>
      </c>
      <c r="F922" s="12">
        <v>110.25</v>
      </c>
      <c r="G922" s="12">
        <v>320.87085765290999</v>
      </c>
      <c r="H922" s="12" t="s">
        <v>0</v>
      </c>
      <c r="I922" s="12">
        <v>1.078902</v>
      </c>
      <c r="J922" s="12">
        <v>73.754400000000004</v>
      </c>
      <c r="K922" s="12">
        <v>448.86205999999999</v>
      </c>
      <c r="L922" s="12" t="s">
        <v>1</v>
      </c>
      <c r="M922" s="12" t="s">
        <v>0</v>
      </c>
      <c r="N922" s="12">
        <v>8.8379049754916892</v>
      </c>
      <c r="O922" s="12">
        <v>18.5</v>
      </c>
      <c r="P922" s="12">
        <v>761.803</v>
      </c>
      <c r="Q922" s="12" t="s">
        <v>1</v>
      </c>
    </row>
    <row r="923" spans="1:17" x14ac:dyDescent="0.25">
      <c r="A923" s="12">
        <f t="shared" si="14"/>
        <v>922</v>
      </c>
      <c r="B923" s="12">
        <v>1.15981</v>
      </c>
      <c r="C923" s="12">
        <v>0.24931400000000001</v>
      </c>
      <c r="D923" s="12">
        <v>0.50706200000000001</v>
      </c>
      <c r="E923" s="12">
        <v>286.299600442241</v>
      </c>
      <c r="F923" s="12">
        <v>30.25</v>
      </c>
      <c r="G923" s="12">
        <v>33.745913371364203</v>
      </c>
      <c r="H923" s="12" t="s">
        <v>0</v>
      </c>
      <c r="I923" s="12">
        <v>1.22784</v>
      </c>
      <c r="J923" s="12">
        <v>224.65700000000001</v>
      </c>
      <c r="K923" s="12">
        <v>309.16658000000001</v>
      </c>
      <c r="L923" s="12" t="s">
        <v>1</v>
      </c>
      <c r="M923" s="12" t="s">
        <v>0</v>
      </c>
      <c r="N923" s="12">
        <v>26.920390079493998</v>
      </c>
      <c r="O923" s="12">
        <v>13.5</v>
      </c>
      <c r="P923" s="12">
        <v>5179.67</v>
      </c>
      <c r="Q923" s="12" t="s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1092"/>
  <sheetViews>
    <sheetView zoomScale="55" zoomScaleNormal="55" workbookViewId="0">
      <selection activeCell="E12" sqref="E12"/>
    </sheetView>
  </sheetViews>
  <sheetFormatPr baseColWidth="10" defaultRowHeight="15" x14ac:dyDescent="0.25"/>
  <cols>
    <col min="1" max="1" width="24.28515625" style="12" bestFit="1" customWidth="1"/>
    <col min="2" max="2" width="9.28515625" style="12" bestFit="1" customWidth="1"/>
    <col min="3" max="3" width="12.5703125" style="12" bestFit="1" customWidth="1"/>
    <col min="4" max="4" width="15.7109375" style="12" bestFit="1" customWidth="1"/>
    <col min="5" max="5" width="12.28515625" style="12" bestFit="1" customWidth="1"/>
    <col min="6" max="6" width="9.28515625" style="12" bestFit="1" customWidth="1"/>
    <col min="7" max="7" width="15.140625" style="12" bestFit="1" customWidth="1"/>
    <col min="8" max="8" width="9.42578125" style="12" bestFit="1" customWidth="1"/>
    <col min="9" max="9" width="14.42578125" style="12" bestFit="1" customWidth="1"/>
    <col min="10" max="10" width="23.5703125" style="12" bestFit="1" customWidth="1"/>
    <col min="11" max="11" width="7.7109375" style="12" bestFit="1" customWidth="1"/>
    <col min="12" max="12" width="2.28515625" customWidth="1"/>
    <col min="13" max="13" width="7.140625" bestFit="1" customWidth="1"/>
    <col min="14" max="14" width="17" bestFit="1" customWidth="1"/>
    <col min="15" max="15" width="12.28515625" bestFit="1" customWidth="1"/>
    <col min="16" max="16" width="17.28515625" bestFit="1" customWidth="1"/>
    <col min="17" max="20" width="7.140625" bestFit="1" customWidth="1"/>
    <col min="21" max="21" width="11.5703125" bestFit="1" customWidth="1"/>
    <col min="22" max="22" width="7.140625" bestFit="1" customWidth="1"/>
    <col min="23" max="23" width="11.85546875" bestFit="1" customWidth="1"/>
    <col min="24" max="27" width="7.140625" bestFit="1" customWidth="1"/>
    <col min="28" max="28" width="9.7109375" bestFit="1" customWidth="1"/>
    <col min="29" max="29" width="7.140625" bestFit="1" customWidth="1"/>
    <col min="30" max="30" width="10.85546875" bestFit="1" customWidth="1"/>
  </cols>
  <sheetData>
    <row r="1" spans="1:30" x14ac:dyDescent="0.25">
      <c r="A1" s="11" t="s">
        <v>19</v>
      </c>
      <c r="B1" s="11" t="s">
        <v>20</v>
      </c>
      <c r="C1" s="11" t="s">
        <v>22</v>
      </c>
      <c r="D1" s="11" t="s">
        <v>23</v>
      </c>
      <c r="E1" s="11" t="s">
        <v>24</v>
      </c>
      <c r="F1" s="11" t="s">
        <v>21</v>
      </c>
      <c r="G1" s="11" t="s">
        <v>25</v>
      </c>
      <c r="H1" s="11" t="s">
        <v>26</v>
      </c>
      <c r="I1" s="11" t="s">
        <v>27</v>
      </c>
      <c r="J1" s="11" t="s">
        <v>28</v>
      </c>
      <c r="K1" s="11" t="s">
        <v>28</v>
      </c>
      <c r="L1" s="1"/>
      <c r="M1" s="1" t="s">
        <v>18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0</v>
      </c>
      <c r="U1" s="1" t="s">
        <v>30</v>
      </c>
      <c r="V1" s="1" t="s">
        <v>31</v>
      </c>
      <c r="W1" s="1" t="s">
        <v>32</v>
      </c>
      <c r="X1" s="1" t="s">
        <v>1</v>
      </c>
      <c r="Y1" s="1" t="s">
        <v>0</v>
      </c>
      <c r="Z1" s="1" t="s">
        <v>15</v>
      </c>
      <c r="AA1" s="1" t="s">
        <v>16</v>
      </c>
      <c r="AB1" s="1" t="s">
        <v>17</v>
      </c>
      <c r="AC1" s="1" t="s">
        <v>1</v>
      </c>
      <c r="AD1" s="1" t="s">
        <v>29</v>
      </c>
    </row>
    <row r="2" spans="1:30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2" t="s">
        <v>2</v>
      </c>
      <c r="B3" s="12">
        <v>-3</v>
      </c>
      <c r="C3" s="12">
        <v>1.06053</v>
      </c>
      <c r="D3" s="12">
        <v>0.101386</v>
      </c>
      <c r="E3" s="12">
        <v>0.88423499999999999</v>
      </c>
      <c r="F3" s="12">
        <v>-3</v>
      </c>
      <c r="G3" s="12">
        <v>64.921199999999999</v>
      </c>
      <c r="H3" s="12">
        <v>36</v>
      </c>
      <c r="I3" s="12">
        <v>190.482</v>
      </c>
      <c r="J3" s="12" t="s">
        <v>3</v>
      </c>
      <c r="K3" s="12">
        <v>0</v>
      </c>
      <c r="M3" t="e">
        <f>MATCH(C3,script.out!B:B,0)</f>
        <v>#N/A</v>
      </c>
      <c r="N3" t="e">
        <f>INDEX(script.out!B:B,results.txt!$M3)</f>
        <v>#N/A</v>
      </c>
      <c r="O3" t="e">
        <f>INDEX(script.out!C:C,results.txt!$M3)</f>
        <v>#N/A</v>
      </c>
      <c r="P3" t="e">
        <f>INDEX(script.out!D:D,results.txt!$M3)</f>
        <v>#N/A</v>
      </c>
      <c r="Q3" t="e">
        <f>INDEX(script.out!E:E,results.txt!$M3)</f>
        <v>#N/A</v>
      </c>
      <c r="R3" t="e">
        <f>INDEX(script.out!F:F,results.txt!$M3)</f>
        <v>#N/A</v>
      </c>
      <c r="S3" t="e">
        <f>INDEX(script.out!G:G,results.txt!$M3)</f>
        <v>#N/A</v>
      </c>
      <c r="T3" t="e">
        <f>INDEX(script.out!H:H,results.txt!$M3)</f>
        <v>#N/A</v>
      </c>
      <c r="U3" t="e">
        <f>INDEX(script.out!I:I,results.txt!$M3)</f>
        <v>#N/A</v>
      </c>
      <c r="V3" t="e">
        <f>INDEX(script.out!J:J,results.txt!$M3)</f>
        <v>#N/A</v>
      </c>
      <c r="W3" t="e">
        <f>INDEX(script.out!K:K,results.txt!$M3)</f>
        <v>#N/A</v>
      </c>
      <c r="X3" t="e">
        <f>INDEX(script.out!L:L,results.txt!$M3)</f>
        <v>#N/A</v>
      </c>
      <c r="Y3" t="e">
        <f>INDEX(script.out!M:M,results.txt!$M3)</f>
        <v>#N/A</v>
      </c>
      <c r="Z3" t="e">
        <f>INDEX(script.out!N:N,results.txt!$M3)</f>
        <v>#N/A</v>
      </c>
      <c r="AA3" t="e">
        <f>INDEX(script.out!O:O,results.txt!$M3)</f>
        <v>#N/A</v>
      </c>
      <c r="AB3" t="e">
        <f>INDEX(script.out!P:P,results.txt!$M3)</f>
        <v>#N/A</v>
      </c>
      <c r="AC3" t="e">
        <f>INDEX(script.out!Q:Q,results.txt!$M3)</f>
        <v>#N/A</v>
      </c>
      <c r="AD3">
        <f>IF(A3="all",1)+IF(A3="nonDominatedFront",2)</f>
        <v>1</v>
      </c>
    </row>
    <row r="4" spans="1:30" x14ac:dyDescent="0.25">
      <c r="A4" s="12" t="s">
        <v>2</v>
      </c>
      <c r="B4" s="12">
        <v>-3</v>
      </c>
      <c r="C4" s="12">
        <v>0.29924800000000001</v>
      </c>
      <c r="D4" s="12">
        <v>-3.3107200000000003E-2</v>
      </c>
      <c r="E4" s="12">
        <v>0.48025099999999998</v>
      </c>
      <c r="F4" s="12">
        <v>-3</v>
      </c>
      <c r="G4" s="13">
        <v>5.09517E-7</v>
      </c>
      <c r="H4" s="12">
        <v>144</v>
      </c>
      <c r="I4" s="12">
        <v>214.59399999999999</v>
      </c>
      <c r="J4" s="12" t="s">
        <v>3</v>
      </c>
      <c r="K4" s="12">
        <v>0</v>
      </c>
      <c r="M4" t="e">
        <f>MATCH(C4,script.out!B:B,0)</f>
        <v>#N/A</v>
      </c>
      <c r="N4" t="e">
        <f>INDEX(script.out!B:B,results.txt!$M4)</f>
        <v>#N/A</v>
      </c>
      <c r="O4" t="e">
        <f>INDEX(script.out!C:C,results.txt!$M4)</f>
        <v>#N/A</v>
      </c>
      <c r="P4" t="e">
        <f>INDEX(script.out!D:D,results.txt!$M4)</f>
        <v>#N/A</v>
      </c>
      <c r="Q4" t="e">
        <f>INDEX(script.out!E:E,results.txt!$M4)</f>
        <v>#N/A</v>
      </c>
      <c r="R4" t="e">
        <f>INDEX(script.out!F:F,results.txt!$M4)</f>
        <v>#N/A</v>
      </c>
      <c r="S4" t="e">
        <f>INDEX(script.out!G:G,results.txt!$M4)</f>
        <v>#N/A</v>
      </c>
      <c r="T4" t="e">
        <f>INDEX(script.out!H:H,results.txt!$M4)</f>
        <v>#N/A</v>
      </c>
      <c r="U4" t="e">
        <f>INDEX(script.out!I:I,results.txt!$M4)</f>
        <v>#N/A</v>
      </c>
      <c r="V4" t="e">
        <f>INDEX(script.out!J:J,results.txt!$M4)</f>
        <v>#N/A</v>
      </c>
      <c r="W4" t="e">
        <f>INDEX(script.out!K:K,results.txt!$M4)</f>
        <v>#N/A</v>
      </c>
      <c r="X4" t="e">
        <f>INDEX(script.out!L:L,results.txt!$M4)</f>
        <v>#N/A</v>
      </c>
      <c r="Y4" t="e">
        <f>INDEX(script.out!M:M,results.txt!$M4)</f>
        <v>#N/A</v>
      </c>
      <c r="Z4" t="e">
        <f>INDEX(script.out!N:N,results.txt!$M4)</f>
        <v>#N/A</v>
      </c>
      <c r="AA4" t="e">
        <f>INDEX(script.out!O:O,results.txt!$M4)</f>
        <v>#N/A</v>
      </c>
      <c r="AB4" t="e">
        <f>INDEX(script.out!P:P,results.txt!$M4)</f>
        <v>#N/A</v>
      </c>
      <c r="AC4" t="e">
        <f>INDEX(script.out!Q:Q,results.txt!$M4)</f>
        <v>#N/A</v>
      </c>
      <c r="AD4">
        <f t="shared" ref="AD4:AD67" si="0">IF(A4="all",1)+IF(A4="nonDominatedFront",2)</f>
        <v>1</v>
      </c>
    </row>
    <row r="5" spans="1:30" x14ac:dyDescent="0.25">
      <c r="A5" s="12" t="s">
        <v>2</v>
      </c>
      <c r="B5" s="12">
        <v>-3</v>
      </c>
      <c r="C5" s="12">
        <v>0.85468299999999997</v>
      </c>
      <c r="D5" s="12">
        <v>0.34718199999999999</v>
      </c>
      <c r="E5" s="12">
        <v>0.58402699999999996</v>
      </c>
      <c r="F5" s="12">
        <v>-3</v>
      </c>
      <c r="G5" s="12">
        <v>519.11500000000001</v>
      </c>
      <c r="H5" s="12">
        <v>42.25</v>
      </c>
      <c r="I5" s="13">
        <v>9.1425E-5</v>
      </c>
      <c r="J5" s="12" t="s">
        <v>3</v>
      </c>
      <c r="K5" s="12">
        <v>1</v>
      </c>
      <c r="M5" t="e">
        <f>MATCH(C5,script.out!B:B,0)</f>
        <v>#N/A</v>
      </c>
      <c r="N5" t="e">
        <f>INDEX(script.out!B:B,results.txt!$M5)</f>
        <v>#N/A</v>
      </c>
      <c r="O5" t="e">
        <f>INDEX(script.out!C:C,results.txt!$M5)</f>
        <v>#N/A</v>
      </c>
      <c r="P5" t="e">
        <f>INDEX(script.out!D:D,results.txt!$M5)</f>
        <v>#N/A</v>
      </c>
      <c r="Q5" t="e">
        <f>INDEX(script.out!E:E,results.txt!$M5)</f>
        <v>#N/A</v>
      </c>
      <c r="R5" t="e">
        <f>INDEX(script.out!F:F,results.txt!$M5)</f>
        <v>#N/A</v>
      </c>
      <c r="S5" t="e">
        <f>INDEX(script.out!G:G,results.txt!$M5)</f>
        <v>#N/A</v>
      </c>
      <c r="T5" t="e">
        <f>INDEX(script.out!H:H,results.txt!$M5)</f>
        <v>#N/A</v>
      </c>
      <c r="U5" t="e">
        <f>INDEX(script.out!I:I,results.txt!$M5)</f>
        <v>#N/A</v>
      </c>
      <c r="V5" t="e">
        <f>INDEX(script.out!J:J,results.txt!$M5)</f>
        <v>#N/A</v>
      </c>
      <c r="W5" t="e">
        <f>INDEX(script.out!K:K,results.txt!$M5)</f>
        <v>#N/A</v>
      </c>
      <c r="X5" t="e">
        <f>INDEX(script.out!L:L,results.txt!$M5)</f>
        <v>#N/A</v>
      </c>
      <c r="Y5" t="e">
        <f>INDEX(script.out!M:M,results.txt!$M5)</f>
        <v>#N/A</v>
      </c>
      <c r="Z5" t="e">
        <f>INDEX(script.out!N:N,results.txt!$M5)</f>
        <v>#N/A</v>
      </c>
      <c r="AA5" t="e">
        <f>INDEX(script.out!O:O,results.txt!$M5)</f>
        <v>#N/A</v>
      </c>
      <c r="AB5" t="e">
        <f>INDEX(script.out!P:P,results.txt!$M5)</f>
        <v>#N/A</v>
      </c>
      <c r="AC5" t="e">
        <f>INDEX(script.out!Q:Q,results.txt!$M5)</f>
        <v>#N/A</v>
      </c>
      <c r="AD5">
        <f t="shared" si="0"/>
        <v>1</v>
      </c>
    </row>
    <row r="6" spans="1:30" x14ac:dyDescent="0.25">
      <c r="A6" s="12" t="s">
        <v>2</v>
      </c>
      <c r="B6" s="12">
        <v>-3</v>
      </c>
      <c r="C6" s="12">
        <v>0.21041199999999999</v>
      </c>
      <c r="D6" s="12">
        <v>9.7856200000000004E-2</v>
      </c>
      <c r="E6" s="12">
        <v>0.18779199999999999</v>
      </c>
      <c r="F6" s="12">
        <v>-3</v>
      </c>
      <c r="G6" s="12">
        <v>61.557899999999997</v>
      </c>
      <c r="H6" s="12">
        <v>90.25</v>
      </c>
      <c r="I6" s="12">
        <v>1.4730599999999999E-4</v>
      </c>
      <c r="J6" s="12" t="s">
        <v>3</v>
      </c>
      <c r="K6" s="12">
        <v>0</v>
      </c>
      <c r="M6" t="e">
        <f>MATCH(C6,script.out!B:B,0)</f>
        <v>#N/A</v>
      </c>
      <c r="N6" t="e">
        <f>INDEX(script.out!B:B,results.txt!$M6)</f>
        <v>#N/A</v>
      </c>
      <c r="O6" t="e">
        <f>INDEX(script.out!C:C,results.txt!$M6)</f>
        <v>#N/A</v>
      </c>
      <c r="P6" t="e">
        <f>INDEX(script.out!D:D,results.txt!$M6)</f>
        <v>#N/A</v>
      </c>
      <c r="Q6" t="e">
        <f>INDEX(script.out!E:E,results.txt!$M6)</f>
        <v>#N/A</v>
      </c>
      <c r="R6" t="e">
        <f>INDEX(script.out!F:F,results.txt!$M6)</f>
        <v>#N/A</v>
      </c>
      <c r="S6" t="e">
        <f>INDEX(script.out!G:G,results.txt!$M6)</f>
        <v>#N/A</v>
      </c>
      <c r="T6" t="e">
        <f>INDEX(script.out!H:H,results.txt!$M6)</f>
        <v>#N/A</v>
      </c>
      <c r="U6" t="e">
        <f>INDEX(script.out!I:I,results.txt!$M6)</f>
        <v>#N/A</v>
      </c>
      <c r="V6" t="e">
        <f>INDEX(script.out!J:J,results.txt!$M6)</f>
        <v>#N/A</v>
      </c>
      <c r="W6" t="e">
        <f>INDEX(script.out!K:K,results.txt!$M6)</f>
        <v>#N/A</v>
      </c>
      <c r="X6" t="e">
        <f>INDEX(script.out!L:L,results.txt!$M6)</f>
        <v>#N/A</v>
      </c>
      <c r="Y6" t="e">
        <f>INDEX(script.out!M:M,results.txt!$M6)</f>
        <v>#N/A</v>
      </c>
      <c r="Z6" t="e">
        <f>INDEX(script.out!N:N,results.txt!$M6)</f>
        <v>#N/A</v>
      </c>
      <c r="AA6" t="e">
        <f>INDEX(script.out!O:O,results.txt!$M6)</f>
        <v>#N/A</v>
      </c>
      <c r="AB6" t="e">
        <f>INDEX(script.out!P:P,results.txt!$M6)</f>
        <v>#N/A</v>
      </c>
      <c r="AC6" t="e">
        <f>INDEX(script.out!Q:Q,results.txt!$M6)</f>
        <v>#N/A</v>
      </c>
      <c r="AD6">
        <f t="shared" si="0"/>
        <v>1</v>
      </c>
    </row>
    <row r="7" spans="1:30" x14ac:dyDescent="0.25">
      <c r="A7" s="12" t="s">
        <v>2</v>
      </c>
      <c r="B7" s="12">
        <v>-3</v>
      </c>
      <c r="C7" s="12">
        <v>0.52426700000000004</v>
      </c>
      <c r="D7" s="12">
        <v>7.5487100000000001E-2</v>
      </c>
      <c r="E7" s="12">
        <v>0.233462</v>
      </c>
      <c r="F7" s="12">
        <v>-3</v>
      </c>
      <c r="G7" s="12">
        <v>42.323500000000003</v>
      </c>
      <c r="H7" s="12">
        <v>81</v>
      </c>
      <c r="I7" s="12">
        <v>2.1263999999999998</v>
      </c>
      <c r="J7" s="12" t="s">
        <v>3</v>
      </c>
      <c r="K7" s="12">
        <v>0</v>
      </c>
      <c r="M7" t="e">
        <f>MATCH(C7,script.out!B:B,0)</f>
        <v>#N/A</v>
      </c>
      <c r="N7" t="e">
        <f>INDEX(script.out!B:B,results.txt!$M7)</f>
        <v>#N/A</v>
      </c>
      <c r="O7" t="e">
        <f>INDEX(script.out!C:C,results.txt!$M7)</f>
        <v>#N/A</v>
      </c>
      <c r="P7" t="e">
        <f>INDEX(script.out!D:D,results.txt!$M7)</f>
        <v>#N/A</v>
      </c>
      <c r="Q7" t="e">
        <f>INDEX(script.out!E:E,results.txt!$M7)</f>
        <v>#N/A</v>
      </c>
      <c r="R7" t="e">
        <f>INDEX(script.out!F:F,results.txt!$M7)</f>
        <v>#N/A</v>
      </c>
      <c r="S7" t="e">
        <f>INDEX(script.out!G:G,results.txt!$M7)</f>
        <v>#N/A</v>
      </c>
      <c r="T7" t="e">
        <f>INDEX(script.out!H:H,results.txt!$M7)</f>
        <v>#N/A</v>
      </c>
      <c r="U7" t="e">
        <f>INDEX(script.out!I:I,results.txt!$M7)</f>
        <v>#N/A</v>
      </c>
      <c r="V7" t="e">
        <f>INDEX(script.out!J:J,results.txt!$M7)</f>
        <v>#N/A</v>
      </c>
      <c r="W7" t="e">
        <f>INDEX(script.out!K:K,results.txt!$M7)</f>
        <v>#N/A</v>
      </c>
      <c r="X7" t="e">
        <f>INDEX(script.out!L:L,results.txt!$M7)</f>
        <v>#N/A</v>
      </c>
      <c r="Y7" t="e">
        <f>INDEX(script.out!M:M,results.txt!$M7)</f>
        <v>#N/A</v>
      </c>
      <c r="Z7" t="e">
        <f>INDEX(script.out!N:N,results.txt!$M7)</f>
        <v>#N/A</v>
      </c>
      <c r="AA7" t="e">
        <f>INDEX(script.out!O:O,results.txt!$M7)</f>
        <v>#N/A</v>
      </c>
      <c r="AB7" t="e">
        <f>INDEX(script.out!P:P,results.txt!$M7)</f>
        <v>#N/A</v>
      </c>
      <c r="AC7" t="e">
        <f>INDEX(script.out!Q:Q,results.txt!$M7)</f>
        <v>#N/A</v>
      </c>
      <c r="AD7">
        <f t="shared" si="0"/>
        <v>1</v>
      </c>
    </row>
    <row r="8" spans="1:30" x14ac:dyDescent="0.25">
      <c r="A8" s="12" t="s">
        <v>2</v>
      </c>
      <c r="B8" s="12">
        <v>-3</v>
      </c>
      <c r="C8" s="12">
        <v>0.893621</v>
      </c>
      <c r="D8" s="12">
        <v>0.71634200000000003</v>
      </c>
      <c r="E8" s="12">
        <v>1.0239</v>
      </c>
      <c r="F8" s="12">
        <v>-3</v>
      </c>
      <c r="G8" s="12">
        <v>2016.2</v>
      </c>
      <c r="H8" s="12">
        <v>30.25</v>
      </c>
      <c r="I8" s="12">
        <v>1.37407E-3</v>
      </c>
      <c r="J8" s="12" t="s">
        <v>3</v>
      </c>
      <c r="K8" s="12">
        <v>1</v>
      </c>
      <c r="M8" t="e">
        <f>MATCH(C8,script.out!B:B,0)</f>
        <v>#N/A</v>
      </c>
      <c r="N8" t="e">
        <f>INDEX(script.out!B:B,results.txt!$M8)</f>
        <v>#N/A</v>
      </c>
      <c r="O8" t="e">
        <f>INDEX(script.out!C:C,results.txt!$M8)</f>
        <v>#N/A</v>
      </c>
      <c r="P8" t="e">
        <f>INDEX(script.out!D:D,results.txt!$M8)</f>
        <v>#N/A</v>
      </c>
      <c r="Q8" t="e">
        <f>INDEX(script.out!E:E,results.txt!$M8)</f>
        <v>#N/A</v>
      </c>
      <c r="R8" t="e">
        <f>INDEX(script.out!F:F,results.txt!$M8)</f>
        <v>#N/A</v>
      </c>
      <c r="S8" t="e">
        <f>INDEX(script.out!G:G,results.txt!$M8)</f>
        <v>#N/A</v>
      </c>
      <c r="T8" t="e">
        <f>INDEX(script.out!H:H,results.txt!$M8)</f>
        <v>#N/A</v>
      </c>
      <c r="U8" t="e">
        <f>INDEX(script.out!I:I,results.txt!$M8)</f>
        <v>#N/A</v>
      </c>
      <c r="V8" t="e">
        <f>INDEX(script.out!J:J,results.txt!$M8)</f>
        <v>#N/A</v>
      </c>
      <c r="W8" t="e">
        <f>INDEX(script.out!K:K,results.txt!$M8)</f>
        <v>#N/A</v>
      </c>
      <c r="X8" t="e">
        <f>INDEX(script.out!L:L,results.txt!$M8)</f>
        <v>#N/A</v>
      </c>
      <c r="Y8" t="e">
        <f>INDEX(script.out!M:M,results.txt!$M8)</f>
        <v>#N/A</v>
      </c>
      <c r="Z8" t="e">
        <f>INDEX(script.out!N:N,results.txt!$M8)</f>
        <v>#N/A</v>
      </c>
      <c r="AA8" t="e">
        <f>INDEX(script.out!O:O,results.txt!$M8)</f>
        <v>#N/A</v>
      </c>
      <c r="AB8" t="e">
        <f>INDEX(script.out!P:P,results.txt!$M8)</f>
        <v>#N/A</v>
      </c>
      <c r="AC8" t="e">
        <f>INDEX(script.out!Q:Q,results.txt!$M8)</f>
        <v>#N/A</v>
      </c>
      <c r="AD8">
        <f t="shared" si="0"/>
        <v>1</v>
      </c>
    </row>
    <row r="9" spans="1:30" x14ac:dyDescent="0.25">
      <c r="A9" s="12" t="s">
        <v>2</v>
      </c>
      <c r="B9" s="12">
        <v>-3</v>
      </c>
      <c r="C9" s="12">
        <v>0.27617000000000003</v>
      </c>
      <c r="D9" s="12">
        <v>-3.1364999999999997E-2</v>
      </c>
      <c r="E9" s="12">
        <v>0.428589</v>
      </c>
      <c r="F9" s="12">
        <v>-3</v>
      </c>
      <c r="G9" s="12">
        <v>1.07473E-2</v>
      </c>
      <c r="H9" s="12">
        <v>132.25</v>
      </c>
      <c r="I9" s="12">
        <v>202.4</v>
      </c>
      <c r="J9" s="12" t="s">
        <v>3</v>
      </c>
      <c r="K9" s="12">
        <v>0</v>
      </c>
      <c r="M9" t="e">
        <f>MATCH(C9,script.out!B:B,0)</f>
        <v>#N/A</v>
      </c>
      <c r="N9" t="e">
        <f>INDEX(script.out!B:B,results.txt!$M9)</f>
        <v>#N/A</v>
      </c>
      <c r="O9" t="e">
        <f>INDEX(script.out!C:C,results.txt!$M9)</f>
        <v>#N/A</v>
      </c>
      <c r="P9" t="e">
        <f>INDEX(script.out!D:D,results.txt!$M9)</f>
        <v>#N/A</v>
      </c>
      <c r="Q9" t="e">
        <f>INDEX(script.out!E:E,results.txt!$M9)</f>
        <v>#N/A</v>
      </c>
      <c r="R9" t="e">
        <f>INDEX(script.out!F:F,results.txt!$M9)</f>
        <v>#N/A</v>
      </c>
      <c r="S9" t="e">
        <f>INDEX(script.out!G:G,results.txt!$M9)</f>
        <v>#N/A</v>
      </c>
      <c r="T9" t="e">
        <f>INDEX(script.out!H:H,results.txt!$M9)</f>
        <v>#N/A</v>
      </c>
      <c r="U9" t="e">
        <f>INDEX(script.out!I:I,results.txt!$M9)</f>
        <v>#N/A</v>
      </c>
      <c r="V9" t="e">
        <f>INDEX(script.out!J:J,results.txt!$M9)</f>
        <v>#N/A</v>
      </c>
      <c r="W9" t="e">
        <f>INDEX(script.out!K:K,results.txt!$M9)</f>
        <v>#N/A</v>
      </c>
      <c r="X9" t="e">
        <f>INDEX(script.out!L:L,results.txt!$M9)</f>
        <v>#N/A</v>
      </c>
      <c r="Y9" t="e">
        <f>INDEX(script.out!M:M,results.txt!$M9)</f>
        <v>#N/A</v>
      </c>
      <c r="Z9" t="e">
        <f>INDEX(script.out!N:N,results.txt!$M9)</f>
        <v>#N/A</v>
      </c>
      <c r="AA9" t="e">
        <f>INDEX(script.out!O:O,results.txt!$M9)</f>
        <v>#N/A</v>
      </c>
      <c r="AB9" t="e">
        <f>INDEX(script.out!P:P,results.txt!$M9)</f>
        <v>#N/A</v>
      </c>
      <c r="AC9" t="e">
        <f>INDEX(script.out!Q:Q,results.txt!$M9)</f>
        <v>#N/A</v>
      </c>
      <c r="AD9">
        <f t="shared" si="0"/>
        <v>1</v>
      </c>
    </row>
    <row r="10" spans="1:30" x14ac:dyDescent="0.25">
      <c r="A10" s="12" t="s">
        <v>2</v>
      </c>
      <c r="B10" s="12">
        <v>-3</v>
      </c>
      <c r="C10" s="12">
        <v>0.163518</v>
      </c>
      <c r="D10" s="12">
        <v>-3.15538E-2</v>
      </c>
      <c r="E10" s="12">
        <v>0.166688</v>
      </c>
      <c r="F10" s="12">
        <v>-3</v>
      </c>
      <c r="G10" s="12">
        <v>8.5298600000000002E-3</v>
      </c>
      <c r="H10" s="12">
        <v>144</v>
      </c>
      <c r="I10" s="12">
        <v>85.587299999999999</v>
      </c>
      <c r="J10" s="12" t="s">
        <v>3</v>
      </c>
      <c r="K10" s="12">
        <v>0</v>
      </c>
      <c r="M10" t="e">
        <f>MATCH(C10,script.out!B:B,0)</f>
        <v>#N/A</v>
      </c>
      <c r="N10" t="e">
        <f>INDEX(script.out!B:B,results.txt!$M10)</f>
        <v>#N/A</v>
      </c>
      <c r="O10" t="e">
        <f>INDEX(script.out!C:C,results.txt!$M10)</f>
        <v>#N/A</v>
      </c>
      <c r="P10" t="e">
        <f>INDEX(script.out!D:D,results.txt!$M10)</f>
        <v>#N/A</v>
      </c>
      <c r="Q10" t="e">
        <f>INDEX(script.out!E:E,results.txt!$M10)</f>
        <v>#N/A</v>
      </c>
      <c r="R10" t="e">
        <f>INDEX(script.out!F:F,results.txt!$M10)</f>
        <v>#N/A</v>
      </c>
      <c r="S10" t="e">
        <f>INDEX(script.out!G:G,results.txt!$M10)</f>
        <v>#N/A</v>
      </c>
      <c r="T10" t="e">
        <f>INDEX(script.out!H:H,results.txt!$M10)</f>
        <v>#N/A</v>
      </c>
      <c r="U10" t="e">
        <f>INDEX(script.out!I:I,results.txt!$M10)</f>
        <v>#N/A</v>
      </c>
      <c r="V10" t="e">
        <f>INDEX(script.out!J:J,results.txt!$M10)</f>
        <v>#N/A</v>
      </c>
      <c r="W10" t="e">
        <f>INDEX(script.out!K:K,results.txt!$M10)</f>
        <v>#N/A</v>
      </c>
      <c r="X10" t="e">
        <f>INDEX(script.out!L:L,results.txt!$M10)</f>
        <v>#N/A</v>
      </c>
      <c r="Y10" t="e">
        <f>INDEX(script.out!M:M,results.txt!$M10)</f>
        <v>#N/A</v>
      </c>
      <c r="Z10" t="e">
        <f>INDEX(script.out!N:N,results.txt!$M10)</f>
        <v>#N/A</v>
      </c>
      <c r="AA10" t="e">
        <f>INDEX(script.out!O:O,results.txt!$M10)</f>
        <v>#N/A</v>
      </c>
      <c r="AB10" t="e">
        <f>INDEX(script.out!P:P,results.txt!$M10)</f>
        <v>#N/A</v>
      </c>
      <c r="AC10" t="e">
        <f>INDEX(script.out!Q:Q,results.txt!$M10)</f>
        <v>#N/A</v>
      </c>
      <c r="AD10">
        <f t="shared" si="0"/>
        <v>1</v>
      </c>
    </row>
    <row r="11" spans="1:30" x14ac:dyDescent="0.25">
      <c r="A11" s="12" t="s">
        <v>2</v>
      </c>
      <c r="B11" s="12">
        <v>-3</v>
      </c>
      <c r="C11" s="12">
        <v>0.80062599999999995</v>
      </c>
      <c r="D11" s="12">
        <v>0.204704</v>
      </c>
      <c r="E11" s="12">
        <v>0.44295600000000002</v>
      </c>
      <c r="F11" s="12">
        <v>-3</v>
      </c>
      <c r="G11" s="12">
        <v>202.994</v>
      </c>
      <c r="H11" s="12">
        <v>42.25</v>
      </c>
      <c r="I11" s="12">
        <v>0.201048</v>
      </c>
      <c r="J11" s="12" t="s">
        <v>3</v>
      </c>
      <c r="K11" s="12">
        <v>0</v>
      </c>
      <c r="M11" t="e">
        <f>MATCH(C11,script.out!B:B,0)</f>
        <v>#N/A</v>
      </c>
      <c r="N11" t="e">
        <f>INDEX(script.out!B:B,results.txt!$M11)</f>
        <v>#N/A</v>
      </c>
      <c r="O11" t="e">
        <f>INDEX(script.out!C:C,results.txt!$M11)</f>
        <v>#N/A</v>
      </c>
      <c r="P11" t="e">
        <f>INDEX(script.out!D:D,results.txt!$M11)</f>
        <v>#N/A</v>
      </c>
      <c r="Q11" t="e">
        <f>INDEX(script.out!E:E,results.txt!$M11)</f>
        <v>#N/A</v>
      </c>
      <c r="R11" t="e">
        <f>INDEX(script.out!F:F,results.txt!$M11)</f>
        <v>#N/A</v>
      </c>
      <c r="S11" t="e">
        <f>INDEX(script.out!G:G,results.txt!$M11)</f>
        <v>#N/A</v>
      </c>
      <c r="T11" t="e">
        <f>INDEX(script.out!H:H,results.txt!$M11)</f>
        <v>#N/A</v>
      </c>
      <c r="U11" t="e">
        <f>INDEX(script.out!I:I,results.txt!$M11)</f>
        <v>#N/A</v>
      </c>
      <c r="V11" t="e">
        <f>INDEX(script.out!J:J,results.txt!$M11)</f>
        <v>#N/A</v>
      </c>
      <c r="W11" t="e">
        <f>INDEX(script.out!K:K,results.txt!$M11)</f>
        <v>#N/A</v>
      </c>
      <c r="X11" t="e">
        <f>INDEX(script.out!L:L,results.txt!$M11)</f>
        <v>#N/A</v>
      </c>
      <c r="Y11" t="e">
        <f>INDEX(script.out!M:M,results.txt!$M11)</f>
        <v>#N/A</v>
      </c>
      <c r="Z11" t="e">
        <f>INDEX(script.out!N:N,results.txt!$M11)</f>
        <v>#N/A</v>
      </c>
      <c r="AA11" t="e">
        <f>INDEX(script.out!O:O,results.txt!$M11)</f>
        <v>#N/A</v>
      </c>
      <c r="AB11" t="e">
        <f>INDEX(script.out!P:P,results.txt!$M11)</f>
        <v>#N/A</v>
      </c>
      <c r="AC11" t="e">
        <f>INDEX(script.out!Q:Q,results.txt!$M11)</f>
        <v>#N/A</v>
      </c>
      <c r="AD11">
        <f t="shared" si="0"/>
        <v>1</v>
      </c>
    </row>
    <row r="12" spans="1:30" x14ac:dyDescent="0.25">
      <c r="A12" s="12" t="s">
        <v>2</v>
      </c>
      <c r="B12" s="12">
        <v>-3</v>
      </c>
      <c r="C12" s="12">
        <v>1.0738799999999999</v>
      </c>
      <c r="D12" s="12">
        <v>3.3595800000000002E-2</v>
      </c>
      <c r="E12" s="12">
        <v>0.76942999999999995</v>
      </c>
      <c r="F12" s="12">
        <v>-3</v>
      </c>
      <c r="G12" s="12">
        <v>15.966100000000001</v>
      </c>
      <c r="H12" s="12">
        <v>49</v>
      </c>
      <c r="I12" s="12">
        <v>243.619</v>
      </c>
      <c r="J12" s="12" t="s">
        <v>3</v>
      </c>
      <c r="K12" s="12">
        <v>1</v>
      </c>
      <c r="M12" t="e">
        <f>MATCH(C12,script.out!B:B,0)</f>
        <v>#N/A</v>
      </c>
      <c r="N12" t="e">
        <f>INDEX(script.out!B:B,results.txt!$M12)</f>
        <v>#N/A</v>
      </c>
      <c r="O12" t="e">
        <f>INDEX(script.out!C:C,results.txt!$M12)</f>
        <v>#N/A</v>
      </c>
      <c r="P12" t="e">
        <f>INDEX(script.out!D:D,results.txt!$M12)</f>
        <v>#N/A</v>
      </c>
      <c r="Q12" t="e">
        <f>INDEX(script.out!E:E,results.txt!$M12)</f>
        <v>#N/A</v>
      </c>
      <c r="R12" t="e">
        <f>INDEX(script.out!F:F,results.txt!$M12)</f>
        <v>#N/A</v>
      </c>
      <c r="S12" t="e">
        <f>INDEX(script.out!G:G,results.txt!$M12)</f>
        <v>#N/A</v>
      </c>
      <c r="T12" t="e">
        <f>INDEX(script.out!H:H,results.txt!$M12)</f>
        <v>#N/A</v>
      </c>
      <c r="U12" t="e">
        <f>INDEX(script.out!I:I,results.txt!$M12)</f>
        <v>#N/A</v>
      </c>
      <c r="V12" t="e">
        <f>INDEX(script.out!J:J,results.txt!$M12)</f>
        <v>#N/A</v>
      </c>
      <c r="W12" t="e">
        <f>INDEX(script.out!K:K,results.txt!$M12)</f>
        <v>#N/A</v>
      </c>
      <c r="X12" t="e">
        <f>INDEX(script.out!L:L,results.txt!$M12)</f>
        <v>#N/A</v>
      </c>
      <c r="Y12" t="e">
        <f>INDEX(script.out!M:M,results.txt!$M12)</f>
        <v>#N/A</v>
      </c>
      <c r="Z12" t="e">
        <f>INDEX(script.out!N:N,results.txt!$M12)</f>
        <v>#N/A</v>
      </c>
      <c r="AA12" t="e">
        <f>INDEX(script.out!O:O,results.txt!$M12)</f>
        <v>#N/A</v>
      </c>
      <c r="AB12" t="e">
        <f>INDEX(script.out!P:P,results.txt!$M12)</f>
        <v>#N/A</v>
      </c>
      <c r="AC12" t="e">
        <f>INDEX(script.out!Q:Q,results.txt!$M12)</f>
        <v>#N/A</v>
      </c>
      <c r="AD12">
        <f t="shared" si="0"/>
        <v>1</v>
      </c>
    </row>
    <row r="13" spans="1:30" x14ac:dyDescent="0.25">
      <c r="A13" s="12" t="s">
        <v>2</v>
      </c>
      <c r="B13" s="12">
        <v>-3</v>
      </c>
      <c r="C13" s="12">
        <v>1.0947</v>
      </c>
      <c r="D13" s="12">
        <v>-3.1268799999999999E-2</v>
      </c>
      <c r="E13" s="12">
        <v>0.68372699999999997</v>
      </c>
      <c r="F13" s="12">
        <v>-3</v>
      </c>
      <c r="G13" s="12">
        <v>1.1975599999999999E-2</v>
      </c>
      <c r="H13" s="12">
        <v>72.25</v>
      </c>
      <c r="I13" s="12">
        <v>296.69799999999998</v>
      </c>
      <c r="J13" s="12" t="s">
        <v>3</v>
      </c>
      <c r="K13" s="12">
        <v>0</v>
      </c>
      <c r="M13" t="e">
        <f>MATCH(C13,script.out!B:B,0)</f>
        <v>#N/A</v>
      </c>
      <c r="N13" t="e">
        <f>INDEX(script.out!B:B,results.txt!$M13)</f>
        <v>#N/A</v>
      </c>
      <c r="O13" t="e">
        <f>INDEX(script.out!C:C,results.txt!$M13)</f>
        <v>#N/A</v>
      </c>
      <c r="P13" t="e">
        <f>INDEX(script.out!D:D,results.txt!$M13)</f>
        <v>#N/A</v>
      </c>
      <c r="Q13" t="e">
        <f>INDEX(script.out!E:E,results.txt!$M13)</f>
        <v>#N/A</v>
      </c>
      <c r="R13" t="e">
        <f>INDEX(script.out!F:F,results.txt!$M13)</f>
        <v>#N/A</v>
      </c>
      <c r="S13" t="e">
        <f>INDEX(script.out!G:G,results.txt!$M13)</f>
        <v>#N/A</v>
      </c>
      <c r="T13" t="e">
        <f>INDEX(script.out!H:H,results.txt!$M13)</f>
        <v>#N/A</v>
      </c>
      <c r="U13" t="e">
        <f>INDEX(script.out!I:I,results.txt!$M13)</f>
        <v>#N/A</v>
      </c>
      <c r="V13" t="e">
        <f>INDEX(script.out!J:J,results.txt!$M13)</f>
        <v>#N/A</v>
      </c>
      <c r="W13" t="e">
        <f>INDEX(script.out!K:K,results.txt!$M13)</f>
        <v>#N/A</v>
      </c>
      <c r="X13" t="e">
        <f>INDEX(script.out!L:L,results.txt!$M13)</f>
        <v>#N/A</v>
      </c>
      <c r="Y13" t="e">
        <f>INDEX(script.out!M:M,results.txt!$M13)</f>
        <v>#N/A</v>
      </c>
      <c r="Z13" t="e">
        <f>INDEX(script.out!N:N,results.txt!$M13)</f>
        <v>#N/A</v>
      </c>
      <c r="AA13" t="e">
        <f>INDEX(script.out!O:O,results.txt!$M13)</f>
        <v>#N/A</v>
      </c>
      <c r="AB13" t="e">
        <f>INDEX(script.out!P:P,results.txt!$M13)</f>
        <v>#N/A</v>
      </c>
      <c r="AC13" t="e">
        <f>INDEX(script.out!Q:Q,results.txt!$M13)</f>
        <v>#N/A</v>
      </c>
      <c r="AD13">
        <f t="shared" si="0"/>
        <v>1</v>
      </c>
    </row>
    <row r="14" spans="1:30" x14ac:dyDescent="0.25">
      <c r="A14" s="12" t="s">
        <v>2</v>
      </c>
      <c r="B14" s="12">
        <v>-3</v>
      </c>
      <c r="C14" s="12">
        <v>0.97575800000000001</v>
      </c>
      <c r="D14" s="12">
        <v>9.5766500000000004E-2</v>
      </c>
      <c r="E14" s="12">
        <v>0.71336900000000003</v>
      </c>
      <c r="F14" s="12">
        <v>-3</v>
      </c>
      <c r="G14" s="12">
        <v>59.608899999999998</v>
      </c>
      <c r="H14" s="12">
        <v>42.25</v>
      </c>
      <c r="I14" s="12">
        <v>152.69399999999999</v>
      </c>
      <c r="J14" s="12" t="s">
        <v>3</v>
      </c>
      <c r="K14" s="12">
        <v>0</v>
      </c>
      <c r="M14" t="e">
        <f>MATCH(C14,script.out!B:B,0)</f>
        <v>#N/A</v>
      </c>
      <c r="N14" t="e">
        <f>INDEX(script.out!B:B,results.txt!$M14)</f>
        <v>#N/A</v>
      </c>
      <c r="O14" t="e">
        <f>INDEX(script.out!C:C,results.txt!$M14)</f>
        <v>#N/A</v>
      </c>
      <c r="P14" t="e">
        <f>INDEX(script.out!D:D,results.txt!$M14)</f>
        <v>#N/A</v>
      </c>
      <c r="Q14" t="e">
        <f>INDEX(script.out!E:E,results.txt!$M14)</f>
        <v>#N/A</v>
      </c>
      <c r="R14" t="e">
        <f>INDEX(script.out!F:F,results.txt!$M14)</f>
        <v>#N/A</v>
      </c>
      <c r="S14" t="e">
        <f>INDEX(script.out!G:G,results.txt!$M14)</f>
        <v>#N/A</v>
      </c>
      <c r="T14" t="e">
        <f>INDEX(script.out!H:H,results.txt!$M14)</f>
        <v>#N/A</v>
      </c>
      <c r="U14" t="e">
        <f>INDEX(script.out!I:I,results.txt!$M14)</f>
        <v>#N/A</v>
      </c>
      <c r="V14" t="e">
        <f>INDEX(script.out!J:J,results.txt!$M14)</f>
        <v>#N/A</v>
      </c>
      <c r="W14" t="e">
        <f>INDEX(script.out!K:K,results.txt!$M14)</f>
        <v>#N/A</v>
      </c>
      <c r="X14" t="e">
        <f>INDEX(script.out!L:L,results.txt!$M14)</f>
        <v>#N/A</v>
      </c>
      <c r="Y14" t="e">
        <f>INDEX(script.out!M:M,results.txt!$M14)</f>
        <v>#N/A</v>
      </c>
      <c r="Z14" t="e">
        <f>INDEX(script.out!N:N,results.txt!$M14)</f>
        <v>#N/A</v>
      </c>
      <c r="AA14" t="e">
        <f>INDEX(script.out!O:O,results.txt!$M14)</f>
        <v>#N/A</v>
      </c>
      <c r="AB14" t="e">
        <f>INDEX(script.out!P:P,results.txt!$M14)</f>
        <v>#N/A</v>
      </c>
      <c r="AC14" t="e">
        <f>INDEX(script.out!Q:Q,results.txt!$M14)</f>
        <v>#N/A</v>
      </c>
      <c r="AD14">
        <f t="shared" si="0"/>
        <v>1</v>
      </c>
    </row>
    <row r="15" spans="1:30" x14ac:dyDescent="0.25">
      <c r="A15" s="12" t="s">
        <v>2</v>
      </c>
      <c r="B15" s="12">
        <v>-3</v>
      </c>
      <c r="C15" s="12">
        <v>0.89536700000000002</v>
      </c>
      <c r="D15" s="12">
        <v>0.30930099999999999</v>
      </c>
      <c r="E15" s="12">
        <v>0.56837400000000005</v>
      </c>
      <c r="F15" s="12">
        <v>-3</v>
      </c>
      <c r="G15" s="12">
        <v>420.84399999999999</v>
      </c>
      <c r="H15" s="12">
        <v>36</v>
      </c>
      <c r="I15" s="12">
        <v>0.43206299999999997</v>
      </c>
      <c r="J15" s="12" t="s">
        <v>3</v>
      </c>
      <c r="K15" s="12">
        <v>0</v>
      </c>
      <c r="M15" t="e">
        <f>MATCH(C15,script.out!B:B,0)</f>
        <v>#N/A</v>
      </c>
      <c r="N15" t="e">
        <f>INDEX(script.out!B:B,results.txt!$M15)</f>
        <v>#N/A</v>
      </c>
      <c r="O15" t="e">
        <f>INDEX(script.out!C:C,results.txt!$M15)</f>
        <v>#N/A</v>
      </c>
      <c r="P15" t="e">
        <f>INDEX(script.out!D:D,results.txt!$M15)</f>
        <v>#N/A</v>
      </c>
      <c r="Q15" t="e">
        <f>INDEX(script.out!E:E,results.txt!$M15)</f>
        <v>#N/A</v>
      </c>
      <c r="R15" t="e">
        <f>INDEX(script.out!F:F,results.txt!$M15)</f>
        <v>#N/A</v>
      </c>
      <c r="S15" t="e">
        <f>INDEX(script.out!G:G,results.txt!$M15)</f>
        <v>#N/A</v>
      </c>
      <c r="T15" t="e">
        <f>INDEX(script.out!H:H,results.txt!$M15)</f>
        <v>#N/A</v>
      </c>
      <c r="U15" t="e">
        <f>INDEX(script.out!I:I,results.txt!$M15)</f>
        <v>#N/A</v>
      </c>
      <c r="V15" t="e">
        <f>INDEX(script.out!J:J,results.txt!$M15)</f>
        <v>#N/A</v>
      </c>
      <c r="W15" t="e">
        <f>INDEX(script.out!K:K,results.txt!$M15)</f>
        <v>#N/A</v>
      </c>
      <c r="X15" t="e">
        <f>INDEX(script.out!L:L,results.txt!$M15)</f>
        <v>#N/A</v>
      </c>
      <c r="Y15" t="e">
        <f>INDEX(script.out!M:M,results.txt!$M15)</f>
        <v>#N/A</v>
      </c>
      <c r="Z15" t="e">
        <f>INDEX(script.out!N:N,results.txt!$M15)</f>
        <v>#N/A</v>
      </c>
      <c r="AA15" t="e">
        <f>INDEX(script.out!O:O,results.txt!$M15)</f>
        <v>#N/A</v>
      </c>
      <c r="AB15" t="e">
        <f>INDEX(script.out!P:P,results.txt!$M15)</f>
        <v>#N/A</v>
      </c>
      <c r="AC15" t="e">
        <f>INDEX(script.out!Q:Q,results.txt!$M15)</f>
        <v>#N/A</v>
      </c>
      <c r="AD15">
        <f t="shared" si="0"/>
        <v>1</v>
      </c>
    </row>
    <row r="16" spans="1:30" x14ac:dyDescent="0.25">
      <c r="A16" s="12" t="s">
        <v>2</v>
      </c>
      <c r="B16" s="12">
        <v>-3</v>
      </c>
      <c r="C16" s="12">
        <v>0.27349400000000001</v>
      </c>
      <c r="D16" s="12">
        <v>-2.9712100000000002E-2</v>
      </c>
      <c r="E16" s="12">
        <v>0.42296099999999998</v>
      </c>
      <c r="F16" s="12">
        <v>-3</v>
      </c>
      <c r="G16" s="12">
        <v>4.1088E-2</v>
      </c>
      <c r="H16" s="12">
        <v>132.25</v>
      </c>
      <c r="I16" s="12">
        <v>198.87200000000001</v>
      </c>
      <c r="J16" s="12" t="s">
        <v>3</v>
      </c>
      <c r="K16" s="12">
        <v>0</v>
      </c>
      <c r="M16" t="e">
        <f>MATCH(C16,script.out!B:B,0)</f>
        <v>#N/A</v>
      </c>
      <c r="N16" t="e">
        <f>INDEX(script.out!B:B,results.txt!$M16)</f>
        <v>#N/A</v>
      </c>
      <c r="O16" t="e">
        <f>INDEX(script.out!C:C,results.txt!$M16)</f>
        <v>#N/A</v>
      </c>
      <c r="P16" t="e">
        <f>INDEX(script.out!D:D,results.txt!$M16)</f>
        <v>#N/A</v>
      </c>
      <c r="Q16" t="e">
        <f>INDEX(script.out!E:E,results.txt!$M16)</f>
        <v>#N/A</v>
      </c>
      <c r="R16" t="e">
        <f>INDEX(script.out!F:F,results.txt!$M16)</f>
        <v>#N/A</v>
      </c>
      <c r="S16" t="e">
        <f>INDEX(script.out!G:G,results.txt!$M16)</f>
        <v>#N/A</v>
      </c>
      <c r="T16" t="e">
        <f>INDEX(script.out!H:H,results.txt!$M16)</f>
        <v>#N/A</v>
      </c>
      <c r="U16" t="e">
        <f>INDEX(script.out!I:I,results.txt!$M16)</f>
        <v>#N/A</v>
      </c>
      <c r="V16" t="e">
        <f>INDEX(script.out!J:J,results.txt!$M16)</f>
        <v>#N/A</v>
      </c>
      <c r="W16" t="e">
        <f>INDEX(script.out!K:K,results.txt!$M16)</f>
        <v>#N/A</v>
      </c>
      <c r="X16" t="e">
        <f>INDEX(script.out!L:L,results.txt!$M16)</f>
        <v>#N/A</v>
      </c>
      <c r="Y16" t="e">
        <f>INDEX(script.out!M:M,results.txt!$M16)</f>
        <v>#N/A</v>
      </c>
      <c r="Z16" t="e">
        <f>INDEX(script.out!N:N,results.txt!$M16)</f>
        <v>#N/A</v>
      </c>
      <c r="AA16" t="e">
        <f>INDEX(script.out!O:O,results.txt!$M16)</f>
        <v>#N/A</v>
      </c>
      <c r="AB16" t="e">
        <f>INDEX(script.out!P:P,results.txt!$M16)</f>
        <v>#N/A</v>
      </c>
      <c r="AC16" t="e">
        <f>INDEX(script.out!Q:Q,results.txt!$M16)</f>
        <v>#N/A</v>
      </c>
      <c r="AD16">
        <f t="shared" si="0"/>
        <v>1</v>
      </c>
    </row>
    <row r="17" spans="1:30" x14ac:dyDescent="0.25">
      <c r="A17" s="12" t="s">
        <v>2</v>
      </c>
      <c r="B17" s="12">
        <v>-3</v>
      </c>
      <c r="C17" s="12">
        <v>0.87458899999999995</v>
      </c>
      <c r="D17" s="12">
        <v>-4.8260100000000004E-3</v>
      </c>
      <c r="E17" s="12">
        <v>0.70409100000000002</v>
      </c>
      <c r="F17" s="12">
        <v>-3</v>
      </c>
      <c r="G17" s="12">
        <v>2.8687499999999999</v>
      </c>
      <c r="H17" s="12">
        <v>81</v>
      </c>
      <c r="I17" s="12">
        <v>266.50099999999998</v>
      </c>
      <c r="J17" s="12" t="s">
        <v>3</v>
      </c>
      <c r="K17" s="12">
        <v>0</v>
      </c>
      <c r="M17" t="e">
        <f>MATCH(C17,script.out!B:B,0)</f>
        <v>#N/A</v>
      </c>
      <c r="N17" t="e">
        <f>INDEX(script.out!B:B,results.txt!$M17)</f>
        <v>#N/A</v>
      </c>
      <c r="O17" t="e">
        <f>INDEX(script.out!C:C,results.txt!$M17)</f>
        <v>#N/A</v>
      </c>
      <c r="P17" t="e">
        <f>INDEX(script.out!D:D,results.txt!$M17)</f>
        <v>#N/A</v>
      </c>
      <c r="Q17" t="e">
        <f>INDEX(script.out!E:E,results.txt!$M17)</f>
        <v>#N/A</v>
      </c>
      <c r="R17" t="e">
        <f>INDEX(script.out!F:F,results.txt!$M17)</f>
        <v>#N/A</v>
      </c>
      <c r="S17" t="e">
        <f>INDEX(script.out!G:G,results.txt!$M17)</f>
        <v>#N/A</v>
      </c>
      <c r="T17" t="e">
        <f>INDEX(script.out!H:H,results.txt!$M17)</f>
        <v>#N/A</v>
      </c>
      <c r="U17" t="e">
        <f>INDEX(script.out!I:I,results.txt!$M17)</f>
        <v>#N/A</v>
      </c>
      <c r="V17" t="e">
        <f>INDEX(script.out!J:J,results.txt!$M17)</f>
        <v>#N/A</v>
      </c>
      <c r="W17" t="e">
        <f>INDEX(script.out!K:K,results.txt!$M17)</f>
        <v>#N/A</v>
      </c>
      <c r="X17" t="e">
        <f>INDEX(script.out!L:L,results.txt!$M17)</f>
        <v>#N/A</v>
      </c>
      <c r="Y17" t="e">
        <f>INDEX(script.out!M:M,results.txt!$M17)</f>
        <v>#N/A</v>
      </c>
      <c r="Z17" t="e">
        <f>INDEX(script.out!N:N,results.txt!$M17)</f>
        <v>#N/A</v>
      </c>
      <c r="AA17" t="e">
        <f>INDEX(script.out!O:O,results.txt!$M17)</f>
        <v>#N/A</v>
      </c>
      <c r="AB17" t="e">
        <f>INDEX(script.out!P:P,results.txt!$M17)</f>
        <v>#N/A</v>
      </c>
      <c r="AC17" t="e">
        <f>INDEX(script.out!Q:Q,results.txt!$M17)</f>
        <v>#N/A</v>
      </c>
      <c r="AD17">
        <f t="shared" si="0"/>
        <v>1</v>
      </c>
    </row>
    <row r="18" spans="1:30" x14ac:dyDescent="0.25">
      <c r="A18" s="12" t="s">
        <v>2</v>
      </c>
      <c r="B18" s="12">
        <v>-3</v>
      </c>
      <c r="C18" s="12">
        <v>0.87794300000000003</v>
      </c>
      <c r="D18" s="12">
        <v>0.29286200000000001</v>
      </c>
      <c r="E18" s="12">
        <v>0.47654200000000002</v>
      </c>
      <c r="F18" s="12">
        <v>-3</v>
      </c>
      <c r="G18" s="12">
        <v>381.40300000000002</v>
      </c>
      <c r="H18" s="12">
        <v>36</v>
      </c>
      <c r="I18" s="12">
        <v>3.3965999999999998</v>
      </c>
      <c r="J18" s="12" t="s">
        <v>3</v>
      </c>
      <c r="K18" s="12">
        <v>1</v>
      </c>
      <c r="M18" t="e">
        <f>MATCH(C18,script.out!B:B,0)</f>
        <v>#N/A</v>
      </c>
      <c r="N18" t="e">
        <f>INDEX(script.out!B:B,results.txt!$M18)</f>
        <v>#N/A</v>
      </c>
      <c r="O18" t="e">
        <f>INDEX(script.out!C:C,results.txt!$M18)</f>
        <v>#N/A</v>
      </c>
      <c r="P18" t="e">
        <f>INDEX(script.out!D:D,results.txt!$M18)</f>
        <v>#N/A</v>
      </c>
      <c r="Q18" t="e">
        <f>INDEX(script.out!E:E,results.txt!$M18)</f>
        <v>#N/A</v>
      </c>
      <c r="R18" t="e">
        <f>INDEX(script.out!F:F,results.txt!$M18)</f>
        <v>#N/A</v>
      </c>
      <c r="S18" t="e">
        <f>INDEX(script.out!G:G,results.txt!$M18)</f>
        <v>#N/A</v>
      </c>
      <c r="T18" t="e">
        <f>INDEX(script.out!H:H,results.txt!$M18)</f>
        <v>#N/A</v>
      </c>
      <c r="U18" t="e">
        <f>INDEX(script.out!I:I,results.txt!$M18)</f>
        <v>#N/A</v>
      </c>
      <c r="V18" t="e">
        <f>INDEX(script.out!J:J,results.txt!$M18)</f>
        <v>#N/A</v>
      </c>
      <c r="W18" t="e">
        <f>INDEX(script.out!K:K,results.txt!$M18)</f>
        <v>#N/A</v>
      </c>
      <c r="X18" t="e">
        <f>INDEX(script.out!L:L,results.txt!$M18)</f>
        <v>#N/A</v>
      </c>
      <c r="Y18" t="e">
        <f>INDEX(script.out!M:M,results.txt!$M18)</f>
        <v>#N/A</v>
      </c>
      <c r="Z18" t="e">
        <f>INDEX(script.out!N:N,results.txt!$M18)</f>
        <v>#N/A</v>
      </c>
      <c r="AA18" t="e">
        <f>INDEX(script.out!O:O,results.txt!$M18)</f>
        <v>#N/A</v>
      </c>
      <c r="AB18" t="e">
        <f>INDEX(script.out!P:P,results.txt!$M18)</f>
        <v>#N/A</v>
      </c>
      <c r="AC18" t="e">
        <f>INDEX(script.out!Q:Q,results.txt!$M18)</f>
        <v>#N/A</v>
      </c>
      <c r="AD18">
        <f t="shared" si="0"/>
        <v>1</v>
      </c>
    </row>
    <row r="19" spans="1:30" x14ac:dyDescent="0.25">
      <c r="A19" s="12" t="s">
        <v>2</v>
      </c>
      <c r="B19" s="12">
        <v>-3</v>
      </c>
      <c r="C19" s="12">
        <v>0.97817200000000004</v>
      </c>
      <c r="D19" s="12">
        <v>0.36422700000000002</v>
      </c>
      <c r="E19" s="12">
        <v>0.60778500000000002</v>
      </c>
      <c r="F19" s="12">
        <v>-3</v>
      </c>
      <c r="G19" s="12">
        <v>566.69399999999996</v>
      </c>
      <c r="H19" s="12">
        <v>30.25</v>
      </c>
      <c r="I19" s="12">
        <v>1.5978100000000001E-3</v>
      </c>
      <c r="J19" s="12" t="s">
        <v>3</v>
      </c>
      <c r="K19" s="12">
        <v>0</v>
      </c>
      <c r="M19">
        <f>MATCH(C19,script.out!B:B,0)</f>
        <v>58</v>
      </c>
      <c r="N19">
        <f>INDEX(script.out!B:B,results.txt!$M19)</f>
        <v>0.97817200000000004</v>
      </c>
      <c r="O19">
        <f>INDEX(script.out!C:C,results.txt!$M19)</f>
        <v>0.36422700000000002</v>
      </c>
      <c r="P19">
        <f>INDEX(script.out!D:D,results.txt!$M19)</f>
        <v>0.60778500000000002</v>
      </c>
      <c r="Q19">
        <f>INDEX(script.out!E:E,results.txt!$M19)</f>
        <v>566.694042616871</v>
      </c>
      <c r="R19">
        <f>INDEX(script.out!F:F,results.txt!$M19)</f>
        <v>30.25</v>
      </c>
      <c r="S19">
        <f>INDEX(script.out!G:G,results.txt!$M19)</f>
        <v>1.5978089697879501E-3</v>
      </c>
      <c r="T19" t="str">
        <f>INDEX(script.out!H:H,results.txt!$M19)</f>
        <v>{</v>
      </c>
      <c r="U19">
        <f>INDEX(script.out!I:I,results.txt!$M19)</f>
        <v>1.0825370000000001</v>
      </c>
      <c r="V19">
        <f>INDEX(script.out!J:J,results.txt!$M19)</f>
        <v>282.11349999999999</v>
      </c>
      <c r="W19">
        <f>INDEX(script.out!K:K,results.txt!$M19)</f>
        <v>368.59314999999998</v>
      </c>
      <c r="X19" t="str">
        <f>INDEX(script.out!L:L,results.txt!$M19)</f>
        <v>}</v>
      </c>
      <c r="Y19" t="str">
        <f>INDEX(script.out!M:M,results.txt!$M19)</f>
        <v>{</v>
      </c>
      <c r="Z19">
        <f>INDEX(script.out!N:N,results.txt!$M19)</f>
        <v>33.805336431499299</v>
      </c>
      <c r="AA19">
        <f>INDEX(script.out!O:O,results.txt!$M19)</f>
        <v>13.5</v>
      </c>
      <c r="AB19">
        <f>INDEX(script.out!P:P,results.txt!$M19)</f>
        <v>7285.41</v>
      </c>
      <c r="AC19" t="str">
        <f>INDEX(script.out!Q:Q,results.txt!$M19)</f>
        <v>}</v>
      </c>
      <c r="AD19">
        <f t="shared" si="0"/>
        <v>1</v>
      </c>
    </row>
    <row r="20" spans="1:30" x14ac:dyDescent="0.25">
      <c r="A20" s="12" t="s">
        <v>2</v>
      </c>
      <c r="B20" s="12">
        <v>-3</v>
      </c>
      <c r="C20" s="12">
        <v>0.81675799999999998</v>
      </c>
      <c r="D20" s="12">
        <v>0.215696</v>
      </c>
      <c r="E20" s="12">
        <v>0.444135</v>
      </c>
      <c r="F20" s="12">
        <v>-3</v>
      </c>
      <c r="G20" s="12">
        <v>222.19399999999999</v>
      </c>
      <c r="H20" s="12">
        <v>42.25</v>
      </c>
      <c r="I20" s="12">
        <v>2.5082300000000002E-3</v>
      </c>
      <c r="J20" s="12" t="s">
        <v>3</v>
      </c>
      <c r="K20" s="12">
        <v>0</v>
      </c>
      <c r="M20">
        <f>MATCH(C20,script.out!B:B,0)</f>
        <v>83</v>
      </c>
      <c r="N20">
        <f>INDEX(script.out!B:B,results.txt!$M20)</f>
        <v>0.81675799999999998</v>
      </c>
      <c r="O20">
        <f>INDEX(script.out!C:C,results.txt!$M20)</f>
        <v>0.215696</v>
      </c>
      <c r="P20">
        <f>INDEX(script.out!D:D,results.txt!$M20)</f>
        <v>0.444135</v>
      </c>
      <c r="Q20">
        <f>INDEX(script.out!E:E,results.txt!$M20)</f>
        <v>222.19440880665701</v>
      </c>
      <c r="R20">
        <f>INDEX(script.out!F:F,results.txt!$M20)</f>
        <v>42.25</v>
      </c>
      <c r="S20">
        <f>INDEX(script.out!G:G,results.txt!$M20)</f>
        <v>2.5082259335710202E-3</v>
      </c>
      <c r="T20" t="str">
        <f>INDEX(script.out!H:H,results.txt!$M20)</f>
        <v>{</v>
      </c>
      <c r="U20">
        <f>INDEX(script.out!I:I,results.txt!$M20)</f>
        <v>0.95340599999999998</v>
      </c>
      <c r="V20">
        <f>INDEX(script.out!J:J,results.txt!$M20)</f>
        <v>207.84800000000001</v>
      </c>
      <c r="W20">
        <f>INDEX(script.out!K:K,results.txt!$M20)</f>
        <v>272.03964999999999</v>
      </c>
      <c r="X20" t="str">
        <f>INDEX(script.out!L:L,results.txt!$M20)</f>
        <v>}</v>
      </c>
      <c r="Y20" t="str">
        <f>INDEX(script.out!M:M,results.txt!$M20)</f>
        <v>{</v>
      </c>
      <c r="Z20">
        <f>INDEX(script.out!N:N,results.txt!$M20)</f>
        <v>24.906186930488101</v>
      </c>
      <c r="AA20">
        <f>INDEX(script.out!O:O,results.txt!$M20)</f>
        <v>14.5</v>
      </c>
      <c r="AB20">
        <f>INDEX(script.out!P:P,results.txt!$M20)</f>
        <v>7281.72</v>
      </c>
      <c r="AC20" t="str">
        <f>INDEX(script.out!Q:Q,results.txt!$M20)</f>
        <v>}</v>
      </c>
      <c r="AD20">
        <f t="shared" si="0"/>
        <v>1</v>
      </c>
    </row>
    <row r="21" spans="1:30" x14ac:dyDescent="0.25">
      <c r="A21" s="12" t="s">
        <v>2</v>
      </c>
      <c r="B21" s="12">
        <v>-3</v>
      </c>
      <c r="C21" s="12">
        <v>0.97564399999999996</v>
      </c>
      <c r="D21" s="12">
        <v>0.30814999999999998</v>
      </c>
      <c r="E21" s="12">
        <v>0.60311199999999998</v>
      </c>
      <c r="F21" s="12">
        <v>-3</v>
      </c>
      <c r="G21" s="12">
        <v>418.01900000000001</v>
      </c>
      <c r="H21" s="12">
        <v>30.25</v>
      </c>
      <c r="I21" s="12">
        <v>3.0168400000000002</v>
      </c>
      <c r="J21" s="12" t="s">
        <v>3</v>
      </c>
      <c r="K21" s="12">
        <v>0</v>
      </c>
      <c r="M21">
        <f>MATCH(C21,script.out!B:B,0)</f>
        <v>114</v>
      </c>
      <c r="N21">
        <f>INDEX(script.out!B:B,results.txt!$M21)</f>
        <v>0.97564399999999996</v>
      </c>
      <c r="O21">
        <f>INDEX(script.out!C:C,results.txt!$M21)</f>
        <v>0.30814999999999998</v>
      </c>
      <c r="P21">
        <f>INDEX(script.out!D:D,results.txt!$M21)</f>
        <v>0.60311199999999998</v>
      </c>
      <c r="Q21">
        <f>INDEX(script.out!E:E,results.txt!$M21)</f>
        <v>418.01909200476098</v>
      </c>
      <c r="R21">
        <f>INDEX(script.out!F:F,results.txt!$M21)</f>
        <v>30.25</v>
      </c>
      <c r="S21">
        <f>INDEX(script.out!G:G,results.txt!$M21)</f>
        <v>3.0168358859072901</v>
      </c>
      <c r="T21" t="str">
        <f>INDEX(script.out!H:H,results.txt!$M21)</f>
        <v>{</v>
      </c>
      <c r="U21">
        <f>INDEX(script.out!I:I,results.txt!$M21)</f>
        <v>1.0805149999999999</v>
      </c>
      <c r="V21">
        <f>INDEX(script.out!J:J,results.txt!$M21)</f>
        <v>254.07499999999999</v>
      </c>
      <c r="W21">
        <f>INDEX(script.out!K:K,results.txt!$M21)</f>
        <v>365.83607999999998</v>
      </c>
      <c r="X21" t="str">
        <f>INDEX(script.out!L:L,results.txt!$M21)</f>
        <v>}</v>
      </c>
      <c r="Y21" t="str">
        <f>INDEX(script.out!M:M,results.txt!$M21)</f>
        <v>{</v>
      </c>
      <c r="Z21">
        <f>INDEX(script.out!N:N,results.txt!$M21)</f>
        <v>30.4455152051681</v>
      </c>
      <c r="AA21">
        <f>INDEX(script.out!O:O,results.txt!$M21)</f>
        <v>13.5</v>
      </c>
      <c r="AB21">
        <f>INDEX(script.out!P:P,results.txt!$M21)</f>
        <v>6666.03</v>
      </c>
      <c r="AC21" t="str">
        <f>INDEX(script.out!Q:Q,results.txt!$M21)</f>
        <v>}</v>
      </c>
      <c r="AD21">
        <f t="shared" si="0"/>
        <v>1</v>
      </c>
    </row>
    <row r="22" spans="1:30" x14ac:dyDescent="0.25">
      <c r="A22" s="12" t="s">
        <v>2</v>
      </c>
      <c r="B22" s="12">
        <v>-3</v>
      </c>
      <c r="C22" s="12">
        <v>0.98503799999999997</v>
      </c>
      <c r="D22" s="12">
        <v>0.26466099999999998</v>
      </c>
      <c r="E22" s="12">
        <v>1.00936</v>
      </c>
      <c r="F22" s="12">
        <v>-3</v>
      </c>
      <c r="G22" s="12">
        <v>318.262</v>
      </c>
      <c r="H22" s="12">
        <v>30.25</v>
      </c>
      <c r="I22" s="12">
        <v>86.713300000000004</v>
      </c>
      <c r="J22" s="12" t="s">
        <v>3</v>
      </c>
      <c r="K22" s="12">
        <v>1</v>
      </c>
      <c r="M22">
        <f>MATCH(C22,script.out!B:B,0)</f>
        <v>155</v>
      </c>
      <c r="N22">
        <f>INDEX(script.out!B:B,results.txt!$M22)</f>
        <v>0.98503799999999997</v>
      </c>
      <c r="O22">
        <f>INDEX(script.out!C:C,results.txt!$M22)</f>
        <v>0.26466099999999998</v>
      </c>
      <c r="P22">
        <f>INDEX(script.out!D:D,results.txt!$M22)</f>
        <v>1.00936</v>
      </c>
      <c r="Q22">
        <f>INDEX(script.out!E:E,results.txt!$M22)</f>
        <v>318.26191655874601</v>
      </c>
      <c r="R22">
        <f>INDEX(script.out!F:F,results.txt!$M22)</f>
        <v>30.25</v>
      </c>
      <c r="S22">
        <f>INDEX(script.out!G:G,results.txt!$M22)</f>
        <v>86.713344000000006</v>
      </c>
      <c r="T22" t="str">
        <f>INDEX(script.out!H:H,results.txt!$M22)</f>
        <v>{</v>
      </c>
      <c r="U22">
        <f>INDEX(script.out!I:I,results.txt!$M22)</f>
        <v>1.0880300000000001</v>
      </c>
      <c r="V22">
        <f>INDEX(script.out!J:J,results.txt!$M22)</f>
        <v>232.3305</v>
      </c>
      <c r="W22">
        <f>INDEX(script.out!K:K,results.txt!$M22)</f>
        <v>605.52239999999995</v>
      </c>
      <c r="X22" t="str">
        <f>INDEX(script.out!L:L,results.txt!$M22)</f>
        <v>}</v>
      </c>
      <c r="Y22" t="str">
        <f>INDEX(script.out!M:M,results.txt!$M22)</f>
        <v>{</v>
      </c>
      <c r="Z22">
        <f>INDEX(script.out!N:N,results.txt!$M22)</f>
        <v>27.839896764240098</v>
      </c>
      <c r="AA22">
        <f>INDEX(script.out!O:O,results.txt!$M22)</f>
        <v>13.5</v>
      </c>
      <c r="AB22">
        <f>INDEX(script.out!P:P,results.txt!$M22)</f>
        <v>3901.12</v>
      </c>
      <c r="AC22" t="str">
        <f>INDEX(script.out!Q:Q,results.txt!$M22)</f>
        <v>}</v>
      </c>
      <c r="AD22">
        <f t="shared" si="0"/>
        <v>1</v>
      </c>
    </row>
    <row r="23" spans="1:30" x14ac:dyDescent="0.25">
      <c r="A23" s="12" t="s">
        <v>2</v>
      </c>
      <c r="B23" s="12">
        <v>-3</v>
      </c>
      <c r="C23" s="12">
        <v>0.15789</v>
      </c>
      <c r="D23" s="12">
        <v>6.3966999999999996E-2</v>
      </c>
      <c r="E23" s="12">
        <v>0.136075</v>
      </c>
      <c r="F23" s="12">
        <v>-3</v>
      </c>
      <c r="G23" s="12">
        <v>33.819200000000002</v>
      </c>
      <c r="H23" s="12">
        <v>90.25</v>
      </c>
      <c r="I23" s="12">
        <v>0.11262</v>
      </c>
      <c r="J23" s="12" t="s">
        <v>3</v>
      </c>
      <c r="K23" s="12">
        <v>0</v>
      </c>
      <c r="M23">
        <f>MATCH(C23,script.out!B:B,0)</f>
        <v>163</v>
      </c>
      <c r="N23">
        <f>INDEX(script.out!B:B,results.txt!$M23)</f>
        <v>0.15789</v>
      </c>
      <c r="O23">
        <f>INDEX(script.out!C:C,results.txt!$M23)</f>
        <v>6.3966999999999996E-2</v>
      </c>
      <c r="P23">
        <f>INDEX(script.out!D:D,results.txt!$M23)</f>
        <v>0.136075</v>
      </c>
      <c r="Q23">
        <f>INDEX(script.out!E:E,results.txt!$M23)</f>
        <v>33.819238849037397</v>
      </c>
      <c r="R23">
        <f>INDEX(script.out!F:F,results.txt!$M23)</f>
        <v>90.25</v>
      </c>
      <c r="S23">
        <f>INDEX(script.out!G:G,results.txt!$M23)</f>
        <v>0.112620004503659</v>
      </c>
      <c r="T23" t="str">
        <f>INDEX(script.out!H:H,results.txt!$M23)</f>
        <v>{</v>
      </c>
      <c r="U23">
        <f>INDEX(script.out!I:I,results.txt!$M23)</f>
        <v>0.42631000000000002</v>
      </c>
      <c r="V23">
        <f>INDEX(script.out!J:J,results.txt!$M23)</f>
        <v>131.98349999999999</v>
      </c>
      <c r="W23">
        <f>INDEX(script.out!K:K,results.txt!$M23)</f>
        <v>90.28425</v>
      </c>
      <c r="X23" t="str">
        <f>INDEX(script.out!L:L,results.txt!$M23)</f>
        <v>}</v>
      </c>
      <c r="Y23" t="str">
        <f>INDEX(script.out!M:M,results.txt!$M23)</f>
        <v>{</v>
      </c>
      <c r="Z23">
        <f>INDEX(script.out!N:N,results.txt!$M23)</f>
        <v>15.815431097436999</v>
      </c>
      <c r="AA23">
        <f>INDEX(script.out!O:O,results.txt!$M23)</f>
        <v>17.5</v>
      </c>
      <c r="AB23">
        <f>INDEX(script.out!P:P,results.txt!$M23)</f>
        <v>7177.51</v>
      </c>
      <c r="AC23" t="str">
        <f>INDEX(script.out!Q:Q,results.txt!$M23)</f>
        <v>}</v>
      </c>
      <c r="AD23">
        <f t="shared" si="0"/>
        <v>1</v>
      </c>
    </row>
    <row r="24" spans="1:30" x14ac:dyDescent="0.25">
      <c r="A24" s="12" t="s">
        <v>2</v>
      </c>
      <c r="B24" s="12">
        <v>-3</v>
      </c>
      <c r="C24" s="12">
        <v>0.55693199999999998</v>
      </c>
      <c r="D24" s="12">
        <v>4.9422099999999997E-2</v>
      </c>
      <c r="E24" s="12">
        <v>0.25722699999999998</v>
      </c>
      <c r="F24" s="12">
        <v>-3</v>
      </c>
      <c r="G24" s="12">
        <v>24.443000000000001</v>
      </c>
      <c r="H24" s="12">
        <v>90.25</v>
      </c>
      <c r="I24" s="12">
        <v>17.435099999999998</v>
      </c>
      <c r="J24" s="12" t="s">
        <v>3</v>
      </c>
      <c r="K24" s="12">
        <v>0</v>
      </c>
      <c r="M24">
        <f>MATCH(C24,script.out!B:B,0)</f>
        <v>169</v>
      </c>
      <c r="N24">
        <f>INDEX(script.out!B:B,results.txt!$M24)</f>
        <v>0.55693199999999998</v>
      </c>
      <c r="O24">
        <f>INDEX(script.out!C:C,results.txt!$M24)</f>
        <v>4.9422099999999997E-2</v>
      </c>
      <c r="P24">
        <f>INDEX(script.out!D:D,results.txt!$M24)</f>
        <v>0.25722699999999998</v>
      </c>
      <c r="Q24">
        <f>INDEX(script.out!E:E,results.txt!$M24)</f>
        <v>24.442955773799699</v>
      </c>
      <c r="R24">
        <f>INDEX(script.out!F:F,results.txt!$M24)</f>
        <v>90.25</v>
      </c>
      <c r="S24">
        <f>INDEX(script.out!G:G,results.txt!$M24)</f>
        <v>17.4350862443235</v>
      </c>
      <c r="T24" t="str">
        <f>INDEX(script.out!H:H,results.txt!$M24)</f>
        <v>{</v>
      </c>
      <c r="U24">
        <f>INDEX(script.out!I:I,results.txt!$M24)</f>
        <v>0.74554500000000001</v>
      </c>
      <c r="V24">
        <f>INDEX(script.out!J:J,results.txt!$M24)</f>
        <v>124.71105</v>
      </c>
      <c r="W24">
        <f>INDEX(script.out!K:K,results.txt!$M24)</f>
        <v>161.76392999999999</v>
      </c>
      <c r="X24" t="str">
        <f>INDEX(script.out!L:L,results.txt!$M24)</f>
        <v>}</v>
      </c>
      <c r="Y24" t="str">
        <f>INDEX(script.out!M:M,results.txt!$M24)</f>
        <v>{</v>
      </c>
      <c r="Z24">
        <f>INDEX(script.out!N:N,results.txt!$M24)</f>
        <v>14.9439817732066</v>
      </c>
      <c r="AA24">
        <f>INDEX(script.out!O:O,results.txt!$M24)</f>
        <v>17.5</v>
      </c>
      <c r="AB24">
        <f>INDEX(script.out!P:P,results.txt!$M24)</f>
        <v>5775.93</v>
      </c>
      <c r="AC24" t="str">
        <f>INDEX(script.out!Q:Q,results.txt!$M24)</f>
        <v>}</v>
      </c>
      <c r="AD24">
        <f t="shared" si="0"/>
        <v>1</v>
      </c>
    </row>
    <row r="25" spans="1:30" x14ac:dyDescent="0.25">
      <c r="A25" s="12" t="s">
        <v>2</v>
      </c>
      <c r="B25" s="12">
        <v>-3</v>
      </c>
      <c r="C25" s="12">
        <v>0.16259899999999999</v>
      </c>
      <c r="D25" s="12">
        <v>-3.2457699999999999E-2</v>
      </c>
      <c r="E25" s="12">
        <v>0.18548300000000001</v>
      </c>
      <c r="F25" s="12">
        <v>-3</v>
      </c>
      <c r="G25" s="12">
        <v>1.45929E-3</v>
      </c>
      <c r="H25" s="12">
        <v>144</v>
      </c>
      <c r="I25" s="12">
        <v>102.465</v>
      </c>
      <c r="J25" s="12" t="s">
        <v>3</v>
      </c>
      <c r="K25" s="12">
        <v>1</v>
      </c>
      <c r="M25">
        <f>MATCH(C25,script.out!B:B,0)</f>
        <v>176</v>
      </c>
      <c r="N25">
        <f>INDEX(script.out!B:B,results.txt!$M25)</f>
        <v>0.16259899999999999</v>
      </c>
      <c r="O25">
        <f>INDEX(script.out!C:C,results.txt!$M25)</f>
        <v>-3.2457699999999999E-2</v>
      </c>
      <c r="P25">
        <f>INDEX(script.out!D:D,results.txt!$M25)</f>
        <v>0.18548300000000001</v>
      </c>
      <c r="Q25">
        <f>INDEX(script.out!E:E,results.txt!$M25)</f>
        <v>1.4592869332428499E-3</v>
      </c>
      <c r="R25">
        <f>INDEX(script.out!F:F,results.txt!$M25)</f>
        <v>144</v>
      </c>
      <c r="S25">
        <f>INDEX(script.out!G:G,results.txt!$M25)</f>
        <v>102.46542224357199</v>
      </c>
      <c r="T25" t="str">
        <f>INDEX(script.out!H:H,results.txt!$M25)</f>
        <v>{</v>
      </c>
      <c r="U25">
        <f>INDEX(script.out!I:I,results.txt!$M25)</f>
        <v>0.43007899999999999</v>
      </c>
      <c r="V25">
        <f>INDEX(script.out!J:J,results.txt!$M25)</f>
        <v>83.771150000000006</v>
      </c>
      <c r="W25">
        <f>INDEX(script.out!K:K,results.txt!$M25)</f>
        <v>119.43497000000001</v>
      </c>
      <c r="X25" t="str">
        <f>INDEX(script.out!L:L,results.txt!$M25)</f>
        <v>}</v>
      </c>
      <c r="Y25" t="str">
        <f>INDEX(script.out!M:M,results.txt!$M25)</f>
        <v>{</v>
      </c>
      <c r="Z25">
        <f>INDEX(script.out!N:N,results.txt!$M25)</f>
        <v>10.0382006143045</v>
      </c>
      <c r="AA25">
        <f>INDEX(script.out!O:O,results.txt!$M25)</f>
        <v>20</v>
      </c>
      <c r="AB25">
        <f>INDEX(script.out!P:P,results.txt!$M25)</f>
        <v>3605.28</v>
      </c>
      <c r="AC25" t="str">
        <f>INDEX(script.out!Q:Q,results.txt!$M25)</f>
        <v>}</v>
      </c>
      <c r="AD25">
        <f t="shared" si="0"/>
        <v>1</v>
      </c>
    </row>
    <row r="26" spans="1:30" x14ac:dyDescent="0.25">
      <c r="A26" s="12" t="s">
        <v>2</v>
      </c>
      <c r="B26" s="12">
        <v>-3</v>
      </c>
      <c r="C26" s="12">
        <v>0.88540700000000006</v>
      </c>
      <c r="D26" s="12">
        <v>0.34323300000000001</v>
      </c>
      <c r="E26" s="12">
        <v>0.57381899999999997</v>
      </c>
      <c r="F26" s="12">
        <v>-3</v>
      </c>
      <c r="G26" s="12">
        <v>508.38900000000001</v>
      </c>
      <c r="H26" s="12">
        <v>36</v>
      </c>
      <c r="I26" s="12">
        <v>9.5134200000000002E-2</v>
      </c>
      <c r="J26" s="12" t="s">
        <v>3</v>
      </c>
      <c r="K26" s="12">
        <v>0</v>
      </c>
      <c r="M26">
        <f>MATCH(C26,script.out!B:B,0)</f>
        <v>195</v>
      </c>
      <c r="N26">
        <f>INDEX(script.out!B:B,results.txt!$M26)</f>
        <v>0.88540700000000006</v>
      </c>
      <c r="O26">
        <f>INDEX(script.out!C:C,results.txt!$M26)</f>
        <v>0.34323300000000001</v>
      </c>
      <c r="P26">
        <f>INDEX(script.out!D:D,results.txt!$M26)</f>
        <v>0.57381899999999997</v>
      </c>
      <c r="Q26">
        <f>INDEX(script.out!E:E,results.txt!$M26)</f>
        <v>508.389440008137</v>
      </c>
      <c r="R26">
        <f>INDEX(script.out!F:F,results.txt!$M26)</f>
        <v>36</v>
      </c>
      <c r="S26">
        <f>INDEX(script.out!G:G,results.txt!$M26)</f>
        <v>9.5134219553387106E-2</v>
      </c>
      <c r="T26" t="str">
        <f>INDEX(script.out!H:H,results.txt!$M26)</f>
        <v>{</v>
      </c>
      <c r="U26">
        <f>INDEX(script.out!I:I,results.txt!$M26)</f>
        <v>1.0083249999999999</v>
      </c>
      <c r="V26">
        <f>INDEX(script.out!J:J,results.txt!$M26)</f>
        <v>271.61649999999997</v>
      </c>
      <c r="W26">
        <f>INDEX(script.out!K:K,results.txt!$M26)</f>
        <v>348.55320999999998</v>
      </c>
      <c r="X26" t="str">
        <f>INDEX(script.out!L:L,results.txt!$M26)</f>
        <v>}</v>
      </c>
      <c r="Y26" t="str">
        <f>INDEX(script.out!M:M,results.txt!$M26)</f>
        <v>{</v>
      </c>
      <c r="Z26">
        <f>INDEX(script.out!N:N,results.txt!$M26)</f>
        <v>32.547492987206702</v>
      </c>
      <c r="AA26">
        <f>INDEX(script.out!O:O,results.txt!$M26)</f>
        <v>14</v>
      </c>
      <c r="AB26">
        <f>INDEX(script.out!P:P,results.txt!$M26)</f>
        <v>7412.58</v>
      </c>
      <c r="AC26" t="str">
        <f>INDEX(script.out!Q:Q,results.txt!$M26)</f>
        <v>}</v>
      </c>
      <c r="AD26">
        <f t="shared" si="0"/>
        <v>1</v>
      </c>
    </row>
    <row r="27" spans="1:30" x14ac:dyDescent="0.25">
      <c r="A27" s="12" t="s">
        <v>2</v>
      </c>
      <c r="B27" s="12">
        <v>-3</v>
      </c>
      <c r="C27" s="12">
        <v>0.526084</v>
      </c>
      <c r="D27" s="12">
        <v>7.9363400000000001E-2</v>
      </c>
      <c r="E27" s="12">
        <v>0.23890800000000001</v>
      </c>
      <c r="F27" s="12">
        <v>-3</v>
      </c>
      <c r="G27" s="12">
        <v>45.399299999999997</v>
      </c>
      <c r="H27" s="12">
        <v>81</v>
      </c>
      <c r="I27" s="12">
        <v>1.67266</v>
      </c>
      <c r="J27" s="12" t="s">
        <v>3</v>
      </c>
      <c r="K27" s="12">
        <v>0</v>
      </c>
      <c r="M27">
        <f>MATCH(C27,script.out!B:B,0)</f>
        <v>205</v>
      </c>
      <c r="N27">
        <f>INDEX(script.out!B:B,results.txt!$M27)</f>
        <v>0.526084</v>
      </c>
      <c r="O27">
        <f>INDEX(script.out!C:C,results.txt!$M27)</f>
        <v>7.9363400000000001E-2</v>
      </c>
      <c r="P27">
        <f>INDEX(script.out!D:D,results.txt!$M27)</f>
        <v>0.23890800000000001</v>
      </c>
      <c r="Q27">
        <f>INDEX(script.out!E:E,results.txt!$M27)</f>
        <v>45.399263458869697</v>
      </c>
      <c r="R27">
        <f>INDEX(script.out!F:F,results.txt!$M27)</f>
        <v>81</v>
      </c>
      <c r="S27">
        <f>INDEX(script.out!G:G,results.txt!$M27)</f>
        <v>1.6726638663914399</v>
      </c>
      <c r="T27" t="str">
        <f>INDEX(script.out!H:H,results.txt!$M27)</f>
        <v>{</v>
      </c>
      <c r="U27">
        <f>INDEX(script.out!I:I,results.txt!$M27)</f>
        <v>0.72086700000000004</v>
      </c>
      <c r="V27">
        <f>INDEX(script.out!J:J,results.txt!$M27)</f>
        <v>139.68170000000001</v>
      </c>
      <c r="W27">
        <f>INDEX(script.out!K:K,results.txt!$M27)</f>
        <v>150.95572000000001</v>
      </c>
      <c r="X27" t="str">
        <f>INDEX(script.out!L:L,results.txt!$M27)</f>
        <v>}</v>
      </c>
      <c r="Y27" t="str">
        <f>INDEX(script.out!M:M,results.txt!$M27)</f>
        <v>{</v>
      </c>
      <c r="Z27">
        <f>INDEX(script.out!N:N,results.txt!$M27)</f>
        <v>16.7378975547918</v>
      </c>
      <c r="AA27">
        <f>INDEX(script.out!O:O,results.txt!$M27)</f>
        <v>17</v>
      </c>
      <c r="AB27">
        <f>INDEX(script.out!P:P,results.txt!$M27)</f>
        <v>7772.06</v>
      </c>
      <c r="AC27" t="str">
        <f>INDEX(script.out!Q:Q,results.txt!$M27)</f>
        <v>}</v>
      </c>
      <c r="AD27">
        <f t="shared" si="0"/>
        <v>1</v>
      </c>
    </row>
    <row r="28" spans="1:30" x14ac:dyDescent="0.25">
      <c r="A28" s="12" t="s">
        <v>2</v>
      </c>
      <c r="B28" s="12">
        <v>-3</v>
      </c>
      <c r="C28" s="12">
        <v>0.45910299999999998</v>
      </c>
      <c r="D28" s="12">
        <v>4.5348699999999999E-2</v>
      </c>
      <c r="E28" s="12">
        <v>0.179395</v>
      </c>
      <c r="F28" s="12">
        <v>-3</v>
      </c>
      <c r="G28" s="12">
        <v>22.089300000000001</v>
      </c>
      <c r="H28" s="12">
        <v>110.25</v>
      </c>
      <c r="I28" s="12">
        <v>1.8310199999999999E-2</v>
      </c>
      <c r="J28" s="12" t="s">
        <v>3</v>
      </c>
      <c r="K28" s="12">
        <v>0</v>
      </c>
      <c r="M28">
        <f>MATCH(C28,script.out!B:B,0)</f>
        <v>218</v>
      </c>
      <c r="N28">
        <f>INDEX(script.out!B:B,results.txt!$M28)</f>
        <v>0.45910299999999998</v>
      </c>
      <c r="O28">
        <f>INDEX(script.out!C:C,results.txt!$M28)</f>
        <v>4.5348699999999999E-2</v>
      </c>
      <c r="P28">
        <f>INDEX(script.out!D:D,results.txt!$M28)</f>
        <v>0.179395</v>
      </c>
      <c r="Q28">
        <f>INDEX(script.out!E:E,results.txt!$M28)</f>
        <v>22.089307726237401</v>
      </c>
      <c r="R28">
        <f>INDEX(script.out!F:F,results.txt!$M28)</f>
        <v>110.25</v>
      </c>
      <c r="S28">
        <f>INDEX(script.out!G:G,results.txt!$M28)</f>
        <v>1.8310167761306E-2</v>
      </c>
      <c r="T28" t="str">
        <f>INDEX(script.out!H:H,results.txt!$M28)</f>
        <v>{</v>
      </c>
      <c r="U28">
        <f>INDEX(script.out!I:I,results.txt!$M28)</f>
        <v>0.66728200000000004</v>
      </c>
      <c r="V28">
        <f>INDEX(script.out!J:J,results.txt!$M28)</f>
        <v>122.67435</v>
      </c>
      <c r="W28">
        <f>INDEX(script.out!K:K,results.txt!$M28)</f>
        <v>115.84305000000001</v>
      </c>
      <c r="X28" t="str">
        <f>INDEX(script.out!L:L,results.txt!$M28)</f>
        <v>}</v>
      </c>
      <c r="Y28" t="str">
        <f>INDEX(script.out!M:M,results.txt!$M28)</f>
        <v>{</v>
      </c>
      <c r="Z28">
        <f>INDEX(script.out!N:N,results.txt!$M28)</f>
        <v>14.699926353278</v>
      </c>
      <c r="AA28">
        <f>INDEX(script.out!O:O,results.txt!$M28)</f>
        <v>18.5</v>
      </c>
      <c r="AB28">
        <f>INDEX(script.out!P:P,results.txt!$M28)</f>
        <v>7250.61</v>
      </c>
      <c r="AC28" t="str">
        <f>INDEX(script.out!Q:Q,results.txt!$M28)</f>
        <v>}</v>
      </c>
      <c r="AD28">
        <f t="shared" si="0"/>
        <v>1</v>
      </c>
    </row>
    <row r="29" spans="1:30" x14ac:dyDescent="0.25">
      <c r="A29" s="12" t="s">
        <v>2</v>
      </c>
      <c r="B29" s="12">
        <v>-3</v>
      </c>
      <c r="C29" s="12">
        <v>1.0371900000000001</v>
      </c>
      <c r="D29" s="12">
        <v>2.1594800000000001E-2</v>
      </c>
      <c r="E29" s="12">
        <v>0.72599899999999995</v>
      </c>
      <c r="F29" s="12">
        <v>-3</v>
      </c>
      <c r="G29" s="12">
        <v>10.7369</v>
      </c>
      <c r="H29" s="12">
        <v>56.25</v>
      </c>
      <c r="I29" s="12">
        <v>239.75800000000001</v>
      </c>
      <c r="J29" s="12" t="s">
        <v>3</v>
      </c>
      <c r="K29" s="12">
        <v>1</v>
      </c>
      <c r="M29">
        <f>MATCH(C29,script.out!B:B,0)</f>
        <v>244</v>
      </c>
      <c r="N29">
        <f>INDEX(script.out!B:B,results.txt!$M29)</f>
        <v>1.0371900000000001</v>
      </c>
      <c r="O29">
        <f>INDEX(script.out!C:C,results.txt!$M29)</f>
        <v>2.1594800000000001E-2</v>
      </c>
      <c r="P29">
        <f>INDEX(script.out!D:D,results.txt!$M29)</f>
        <v>0.72599899999999995</v>
      </c>
      <c r="Q29">
        <f>INDEX(script.out!E:E,results.txt!$M29)</f>
        <v>10.736927293545801</v>
      </c>
      <c r="R29">
        <f>INDEX(script.out!F:F,results.txt!$M29)</f>
        <v>56.25</v>
      </c>
      <c r="S29">
        <f>INDEX(script.out!G:G,results.txt!$M29)</f>
        <v>239.757649765434</v>
      </c>
      <c r="T29" t="str">
        <f>INDEX(script.out!H:H,results.txt!$M29)</f>
        <v>{</v>
      </c>
      <c r="U29">
        <f>INDEX(script.out!I:I,results.txt!$M29)</f>
        <v>1.12975</v>
      </c>
      <c r="V29">
        <f>INDEX(script.out!J:J,results.txt!$M29)</f>
        <v>110.7974</v>
      </c>
      <c r="W29">
        <f>INDEX(script.out!K:K,results.txt!$M29)</f>
        <v>438.33940999999999</v>
      </c>
      <c r="X29" t="str">
        <f>INDEX(script.out!L:L,results.txt!$M29)</f>
        <v>}</v>
      </c>
      <c r="Y29" t="str">
        <f>INDEX(script.out!M:M,results.txt!$M29)</f>
        <v>{</v>
      </c>
      <c r="Z29">
        <f>INDEX(script.out!N:N,results.txt!$M29)</f>
        <v>13.2767250866598</v>
      </c>
      <c r="AA29">
        <f>INDEX(script.out!O:O,results.txt!$M29)</f>
        <v>15.5</v>
      </c>
      <c r="AB29">
        <f>INDEX(script.out!P:P,results.txt!$M29)</f>
        <v>1648.3</v>
      </c>
      <c r="AC29" t="str">
        <f>INDEX(script.out!Q:Q,results.txt!$M29)</f>
        <v>}</v>
      </c>
      <c r="AD29">
        <f t="shared" si="0"/>
        <v>1</v>
      </c>
    </row>
    <row r="30" spans="1:30" x14ac:dyDescent="0.25">
      <c r="A30" s="12" t="s">
        <v>2</v>
      </c>
      <c r="B30" s="12">
        <v>-3</v>
      </c>
      <c r="C30" s="12">
        <v>1.12764</v>
      </c>
      <c r="D30" s="12">
        <v>-2.7835599999999999E-2</v>
      </c>
      <c r="E30" s="12">
        <v>0.64159999999999995</v>
      </c>
      <c r="F30" s="12">
        <v>-3</v>
      </c>
      <c r="G30" s="12">
        <v>9.9307599999999996E-2</v>
      </c>
      <c r="H30" s="12">
        <v>72.25</v>
      </c>
      <c r="I30" s="12">
        <v>290.04000000000002</v>
      </c>
      <c r="J30" s="12" t="s">
        <v>3</v>
      </c>
      <c r="K30" s="12">
        <v>1</v>
      </c>
      <c r="M30">
        <f>MATCH(C30,script.out!B:B,0)</f>
        <v>249</v>
      </c>
      <c r="N30">
        <f>INDEX(script.out!B:B,results.txt!$M30)</f>
        <v>1.12764</v>
      </c>
      <c r="O30">
        <f>INDEX(script.out!C:C,results.txt!$M30)</f>
        <v>-2.7835599999999999E-2</v>
      </c>
      <c r="P30">
        <f>INDEX(script.out!D:D,results.txt!$M30)</f>
        <v>0.64159999999999995</v>
      </c>
      <c r="Q30">
        <f>INDEX(script.out!E:E,results.txt!$M30)</f>
        <v>9.9307597193316804E-2</v>
      </c>
      <c r="R30">
        <f>INDEX(script.out!F:F,results.txt!$M30)</f>
        <v>72.25</v>
      </c>
      <c r="S30">
        <f>INDEX(script.out!G:G,results.txt!$M30)</f>
        <v>290.04049649540201</v>
      </c>
      <c r="T30" t="str">
        <f>INDEX(script.out!H:H,results.txt!$M30)</f>
        <v>{</v>
      </c>
      <c r="U30">
        <f>INDEX(script.out!I:I,results.txt!$M30)</f>
        <v>1.20211</v>
      </c>
      <c r="V30">
        <f>INDEX(script.out!J:J,results.txt!$M30)</f>
        <v>86.0822</v>
      </c>
      <c r="W30">
        <f>INDEX(script.out!K:K,results.txt!$M30)</f>
        <v>388.54399999999998</v>
      </c>
      <c r="X30" t="str">
        <f>INDEX(script.out!L:L,results.txt!$M30)</f>
        <v>}</v>
      </c>
      <c r="Y30" t="str">
        <f>INDEX(script.out!M:M,results.txt!$M30)</f>
        <v>{</v>
      </c>
      <c r="Z30">
        <f>INDEX(script.out!N:N,results.txt!$M30)</f>
        <v>10.315131079383301</v>
      </c>
      <c r="AA30">
        <f>INDEX(script.out!O:O,results.txt!$M30)</f>
        <v>16.5</v>
      </c>
      <c r="AB30">
        <f>INDEX(script.out!P:P,results.txt!$M30)</f>
        <v>1083.8399999999999</v>
      </c>
      <c r="AC30" t="str">
        <f>INDEX(script.out!Q:Q,results.txt!$M30)</f>
        <v>}</v>
      </c>
      <c r="AD30">
        <f t="shared" si="0"/>
        <v>1</v>
      </c>
    </row>
    <row r="31" spans="1:30" x14ac:dyDescent="0.25">
      <c r="A31" s="12" t="s">
        <v>2</v>
      </c>
      <c r="B31" s="12">
        <v>-3</v>
      </c>
      <c r="C31" s="12">
        <v>9.0392100000000003E-2</v>
      </c>
      <c r="D31" s="12">
        <v>4.2994900000000003E-2</v>
      </c>
      <c r="E31" s="12">
        <v>0.19017999999999999</v>
      </c>
      <c r="F31" s="12">
        <v>-3</v>
      </c>
      <c r="G31" s="12">
        <v>20.7836</v>
      </c>
      <c r="H31" s="12">
        <v>90.25</v>
      </c>
      <c r="I31" s="12">
        <v>56.951999999999998</v>
      </c>
      <c r="J31" s="12" t="s">
        <v>3</v>
      </c>
      <c r="K31" s="12">
        <v>0</v>
      </c>
      <c r="M31">
        <f>MATCH(C31,script.out!B:B,0)</f>
        <v>272</v>
      </c>
      <c r="N31">
        <f>INDEX(script.out!B:B,results.txt!$M31)</f>
        <v>9.0392100000000003E-2</v>
      </c>
      <c r="O31">
        <f>INDEX(script.out!C:C,results.txt!$M31)</f>
        <v>4.2994900000000003E-2</v>
      </c>
      <c r="P31">
        <f>INDEX(script.out!D:D,results.txt!$M31)</f>
        <v>0.19017999999999999</v>
      </c>
      <c r="Q31">
        <f>INDEX(script.out!E:E,results.txt!$M31)</f>
        <v>20.7835671954949</v>
      </c>
      <c r="R31">
        <f>INDEX(script.out!F:F,results.txt!$M31)</f>
        <v>90.25</v>
      </c>
      <c r="S31">
        <f>INDEX(script.out!G:G,results.txt!$M31)</f>
        <v>56.952039939200603</v>
      </c>
      <c r="T31" t="str">
        <f>INDEX(script.out!H:H,results.txt!$M31)</f>
        <v>{</v>
      </c>
      <c r="U31">
        <f>INDEX(script.out!I:I,results.txt!$M31)</f>
        <v>0.37231360000000002</v>
      </c>
      <c r="V31">
        <f>INDEX(script.out!J:J,results.txt!$M31)</f>
        <v>121.49745</v>
      </c>
      <c r="W31">
        <f>INDEX(script.out!K:K,results.txt!$M31)</f>
        <v>122.2062</v>
      </c>
      <c r="X31" t="str">
        <f>INDEX(script.out!L:L,results.txt!$M31)</f>
        <v>}</v>
      </c>
      <c r="Y31" t="str">
        <f>INDEX(script.out!M:M,results.txt!$M31)</f>
        <v>{</v>
      </c>
      <c r="Z31">
        <f>INDEX(script.out!N:N,results.txt!$M31)</f>
        <v>14.558899779057899</v>
      </c>
      <c r="AA31">
        <f>INDEX(script.out!O:O,results.txt!$M31)</f>
        <v>17.5</v>
      </c>
      <c r="AB31">
        <f>INDEX(script.out!P:P,results.txt!$M31)</f>
        <v>4545.47</v>
      </c>
      <c r="AC31" t="str">
        <f>INDEX(script.out!Q:Q,results.txt!$M31)</f>
        <v>}</v>
      </c>
      <c r="AD31">
        <f t="shared" si="0"/>
        <v>1</v>
      </c>
    </row>
    <row r="32" spans="1:30" x14ac:dyDescent="0.25">
      <c r="A32" s="12" t="s">
        <v>2</v>
      </c>
      <c r="B32" s="12">
        <v>-3</v>
      </c>
      <c r="C32" s="12">
        <v>1.1128100000000001</v>
      </c>
      <c r="D32" s="12">
        <v>1.16729E-2</v>
      </c>
      <c r="E32" s="12">
        <v>0.65715800000000002</v>
      </c>
      <c r="F32" s="12">
        <v>-3</v>
      </c>
      <c r="G32" s="12">
        <v>7.1945199999999998</v>
      </c>
      <c r="H32" s="12">
        <v>56.25</v>
      </c>
      <c r="I32" s="12">
        <v>257.84500000000003</v>
      </c>
      <c r="J32" s="12" t="s">
        <v>3</v>
      </c>
      <c r="K32" s="12">
        <v>0</v>
      </c>
      <c r="M32">
        <f>MATCH(C32,script.out!B:B,0)</f>
        <v>278</v>
      </c>
      <c r="N32">
        <f>INDEX(script.out!B:B,results.txt!$M32)</f>
        <v>1.1128100000000001</v>
      </c>
      <c r="O32">
        <f>INDEX(script.out!C:C,results.txt!$M32)</f>
        <v>1.16729E-2</v>
      </c>
      <c r="P32">
        <f>INDEX(script.out!D:D,results.txt!$M32)</f>
        <v>0.65715800000000002</v>
      </c>
      <c r="Q32">
        <f>INDEX(script.out!E:E,results.txt!$M32)</f>
        <v>7.1945195149123604</v>
      </c>
      <c r="R32">
        <f>INDEX(script.out!F:F,results.txt!$M32)</f>
        <v>56.25</v>
      </c>
      <c r="S32">
        <f>INDEX(script.out!G:G,results.txt!$M32)</f>
        <v>257.84528594557997</v>
      </c>
      <c r="T32" t="str">
        <f>INDEX(script.out!H:H,results.txt!$M32)</f>
        <v>{</v>
      </c>
      <c r="U32">
        <f>INDEX(script.out!I:I,results.txt!$M32)</f>
        <v>1.19024</v>
      </c>
      <c r="V32">
        <f>INDEX(script.out!J:J,results.txt!$M32)</f>
        <v>105.83645</v>
      </c>
      <c r="W32">
        <f>INDEX(script.out!K:K,results.txt!$M32)</f>
        <v>397.72322000000003</v>
      </c>
      <c r="X32" t="str">
        <f>INDEX(script.out!L:L,results.txt!$M32)</f>
        <v>}</v>
      </c>
      <c r="Y32" t="str">
        <f>INDEX(script.out!M:M,results.txt!$M32)</f>
        <v>{</v>
      </c>
      <c r="Z32">
        <f>INDEX(script.out!N:N,results.txt!$M32)</f>
        <v>12.682260150491</v>
      </c>
      <c r="AA32">
        <f>INDEX(script.out!O:O,results.txt!$M32)</f>
        <v>15.5</v>
      </c>
      <c r="AB32">
        <f>INDEX(script.out!P:P,results.txt!$M32)</f>
        <v>1438.99</v>
      </c>
      <c r="AC32" t="str">
        <f>INDEX(script.out!Q:Q,results.txt!$M32)</f>
        <v>}</v>
      </c>
      <c r="AD32">
        <f t="shared" si="0"/>
        <v>1</v>
      </c>
    </row>
    <row r="33" spans="1:30" x14ac:dyDescent="0.25">
      <c r="A33" s="12" t="s">
        <v>2</v>
      </c>
      <c r="B33" s="12">
        <v>-3</v>
      </c>
      <c r="C33" s="12">
        <v>0.98371500000000001</v>
      </c>
      <c r="D33" s="12">
        <v>0.310859</v>
      </c>
      <c r="E33" s="12">
        <v>0.60073299999999996</v>
      </c>
      <c r="F33" s="12">
        <v>-3</v>
      </c>
      <c r="G33" s="12">
        <v>424.68200000000002</v>
      </c>
      <c r="H33" s="12">
        <v>30.25</v>
      </c>
      <c r="I33" s="12">
        <v>2.37168</v>
      </c>
      <c r="J33" s="12" t="s">
        <v>3</v>
      </c>
      <c r="K33" s="12">
        <v>0</v>
      </c>
      <c r="M33">
        <f>MATCH(C33,script.out!B:B,0)</f>
        <v>284</v>
      </c>
      <c r="N33">
        <f>INDEX(script.out!B:B,results.txt!$M33)</f>
        <v>0.98371500000000001</v>
      </c>
      <c r="O33">
        <f>INDEX(script.out!C:C,results.txt!$M33)</f>
        <v>0.310859</v>
      </c>
      <c r="P33">
        <f>INDEX(script.out!D:D,results.txt!$M33)</f>
        <v>0.60073299999999996</v>
      </c>
      <c r="Q33">
        <f>INDEX(script.out!E:E,results.txt!$M33)</f>
        <v>424.682384595104</v>
      </c>
      <c r="R33">
        <f>INDEX(script.out!F:F,results.txt!$M33)</f>
        <v>30.25</v>
      </c>
      <c r="S33">
        <f>INDEX(script.out!G:G,results.txt!$M33)</f>
        <v>2.3716843843122501</v>
      </c>
      <c r="T33" t="str">
        <f>INDEX(script.out!H:H,results.txt!$M33)</f>
        <v>{</v>
      </c>
      <c r="U33">
        <f>INDEX(script.out!I:I,results.txt!$M33)</f>
        <v>1.086972</v>
      </c>
      <c r="V33">
        <f>INDEX(script.out!J:J,results.txt!$M33)</f>
        <v>255.42949999999999</v>
      </c>
      <c r="W33">
        <f>INDEX(script.out!K:K,results.txt!$M33)</f>
        <v>364.43247000000002</v>
      </c>
      <c r="X33" t="str">
        <f>INDEX(script.out!L:L,results.txt!$M33)</f>
        <v>}</v>
      </c>
      <c r="Y33" t="str">
        <f>INDEX(script.out!M:M,results.txt!$M33)</f>
        <v>{</v>
      </c>
      <c r="Z33">
        <f>INDEX(script.out!N:N,results.txt!$M33)</f>
        <v>30.607823383246998</v>
      </c>
      <c r="AA33">
        <f>INDEX(script.out!O:O,results.txt!$M33)</f>
        <v>13.5</v>
      </c>
      <c r="AB33">
        <f>INDEX(script.out!P:P,results.txt!$M33)</f>
        <v>6737.89</v>
      </c>
      <c r="AC33" t="str">
        <f>INDEX(script.out!Q:Q,results.txt!$M33)</f>
        <v>}</v>
      </c>
      <c r="AD33">
        <f t="shared" si="0"/>
        <v>1</v>
      </c>
    </row>
    <row r="34" spans="1:30" x14ac:dyDescent="0.25">
      <c r="A34" s="12" t="s">
        <v>2</v>
      </c>
      <c r="B34" s="12">
        <v>-3</v>
      </c>
      <c r="C34" s="12">
        <v>1.0400199999999999</v>
      </c>
      <c r="D34" s="12">
        <v>1.41253E-2</v>
      </c>
      <c r="E34" s="12">
        <v>0.622471</v>
      </c>
      <c r="F34" s="12">
        <v>-3</v>
      </c>
      <c r="G34" s="12">
        <v>8.0043399999999991</v>
      </c>
      <c r="H34" s="12">
        <v>64</v>
      </c>
      <c r="I34" s="12">
        <v>248.83099999999999</v>
      </c>
      <c r="J34" s="12" t="s">
        <v>3</v>
      </c>
      <c r="K34" s="12">
        <v>0</v>
      </c>
      <c r="M34">
        <f>MATCH(C34,script.out!B:B,0)</f>
        <v>293</v>
      </c>
      <c r="N34">
        <f>INDEX(script.out!B:B,results.txt!$M34)</f>
        <v>1.0400199999999999</v>
      </c>
      <c r="O34">
        <f>INDEX(script.out!C:C,results.txt!$M34)</f>
        <v>1.41253E-2</v>
      </c>
      <c r="P34">
        <f>INDEX(script.out!D:D,results.txt!$M34)</f>
        <v>0.622471</v>
      </c>
      <c r="Q34">
        <f>INDEX(script.out!E:E,results.txt!$M34)</f>
        <v>8.00434031383997</v>
      </c>
      <c r="R34">
        <f>INDEX(script.out!F:F,results.txt!$M34)</f>
        <v>64</v>
      </c>
      <c r="S34">
        <f>INDEX(script.out!G:G,results.txt!$M34)</f>
        <v>248.831176749859</v>
      </c>
      <c r="T34" t="str">
        <f>INDEX(script.out!H:H,results.txt!$M34)</f>
        <v>{</v>
      </c>
      <c r="U34">
        <f>INDEX(script.out!I:I,results.txt!$M34)</f>
        <v>1.13201</v>
      </c>
      <c r="V34">
        <f>INDEX(script.out!J:J,results.txt!$M34)</f>
        <v>107.06265</v>
      </c>
      <c r="W34">
        <f>INDEX(script.out!K:K,results.txt!$M34)</f>
        <v>377.25788999999997</v>
      </c>
      <c r="X34" t="str">
        <f>INDEX(script.out!L:L,results.txt!$M34)</f>
        <v>}</v>
      </c>
      <c r="Y34" t="str">
        <f>INDEX(script.out!M:M,results.txt!$M34)</f>
        <v>{</v>
      </c>
      <c r="Z34">
        <f>INDEX(script.out!N:N,results.txt!$M34)</f>
        <v>12.829194287043499</v>
      </c>
      <c r="AA34">
        <f>INDEX(script.out!O:O,results.txt!$M34)</f>
        <v>16</v>
      </c>
      <c r="AB34">
        <f>INDEX(script.out!P:P,results.txt!$M34)</f>
        <v>1542.35</v>
      </c>
      <c r="AC34" t="str">
        <f>INDEX(script.out!Q:Q,results.txt!$M34)</f>
        <v>}</v>
      </c>
      <c r="AD34">
        <f t="shared" si="0"/>
        <v>1</v>
      </c>
    </row>
    <row r="35" spans="1:30" x14ac:dyDescent="0.25">
      <c r="A35" s="12" t="s">
        <v>2</v>
      </c>
      <c r="B35" s="12">
        <v>-3</v>
      </c>
      <c r="C35" s="12">
        <v>0.162244</v>
      </c>
      <c r="D35" s="12">
        <v>-3.34326E-2</v>
      </c>
      <c r="E35" s="12">
        <v>0.18544099999999999</v>
      </c>
      <c r="F35" s="12">
        <v>-3</v>
      </c>
      <c r="G35" s="12">
        <v>4.0844200000000002E-4</v>
      </c>
      <c r="H35" s="12">
        <v>144</v>
      </c>
      <c r="I35" s="12">
        <v>103.658</v>
      </c>
      <c r="J35" s="12" t="s">
        <v>3</v>
      </c>
      <c r="K35" s="12">
        <v>0</v>
      </c>
      <c r="M35">
        <f>MATCH(C35,script.out!B:B,0)</f>
        <v>300</v>
      </c>
      <c r="N35">
        <f>INDEX(script.out!B:B,results.txt!$M35)</f>
        <v>0.162244</v>
      </c>
      <c r="O35">
        <f>INDEX(script.out!C:C,results.txt!$M35)</f>
        <v>-3.34326E-2</v>
      </c>
      <c r="P35">
        <f>INDEX(script.out!D:D,results.txt!$M35)</f>
        <v>0.18544099999999999</v>
      </c>
      <c r="Q35">
        <f>INDEX(script.out!E:E,results.txt!$M35)</f>
        <v>4.0844243871109498E-4</v>
      </c>
      <c r="R35">
        <f>INDEX(script.out!F:F,results.txt!$M35)</f>
        <v>144</v>
      </c>
      <c r="S35">
        <f>INDEX(script.out!G:G,results.txt!$M35)</f>
        <v>103.657502889848</v>
      </c>
      <c r="T35" t="str">
        <f>INDEX(script.out!H:H,results.txt!$M35)</f>
        <v>{</v>
      </c>
      <c r="U35">
        <f>INDEX(script.out!I:I,results.txt!$M35)</f>
        <v>0.42979499999999998</v>
      </c>
      <c r="V35">
        <f>INDEX(script.out!J:J,results.txt!$M35)</f>
        <v>83.283699999999996</v>
      </c>
      <c r="W35">
        <f>INDEX(script.out!K:K,results.txt!$M35)</f>
        <v>119.41019</v>
      </c>
      <c r="X35" t="str">
        <f>INDEX(script.out!L:L,results.txt!$M35)</f>
        <v>}</v>
      </c>
      <c r="Y35" t="str">
        <f>INDEX(script.out!M:M,results.txt!$M35)</f>
        <v>{</v>
      </c>
      <c r="Z35">
        <f>INDEX(script.out!N:N,results.txt!$M35)</f>
        <v>9.9797900411006992</v>
      </c>
      <c r="AA35">
        <f>INDEX(script.out!O:O,results.txt!$M35)</f>
        <v>20</v>
      </c>
      <c r="AB35">
        <f>INDEX(script.out!P:P,results.txt!$M35)</f>
        <v>3583.85</v>
      </c>
      <c r="AC35" t="str">
        <f>INDEX(script.out!Q:Q,results.txt!$M35)</f>
        <v>}</v>
      </c>
      <c r="AD35">
        <f t="shared" si="0"/>
        <v>1</v>
      </c>
    </row>
    <row r="36" spans="1:30" x14ac:dyDescent="0.25">
      <c r="A36" s="12" t="s">
        <v>2</v>
      </c>
      <c r="B36" s="12">
        <v>-3</v>
      </c>
      <c r="C36" s="12">
        <v>0.83097100000000002</v>
      </c>
      <c r="D36" s="12">
        <v>-8.7953000000000007E-3</v>
      </c>
      <c r="E36" s="12">
        <v>0.77599300000000004</v>
      </c>
      <c r="F36" s="12">
        <v>-3</v>
      </c>
      <c r="G36" s="12">
        <v>2.1196999999999999</v>
      </c>
      <c r="H36" s="12">
        <v>90.25</v>
      </c>
      <c r="I36" s="12">
        <v>277.08100000000002</v>
      </c>
      <c r="J36" s="12" t="s">
        <v>3</v>
      </c>
      <c r="K36" s="12">
        <v>0</v>
      </c>
      <c r="M36">
        <f>MATCH(C36,script.out!B:B,0)</f>
        <v>301</v>
      </c>
      <c r="N36">
        <f>INDEX(script.out!B:B,results.txt!$M36)</f>
        <v>0.83097100000000002</v>
      </c>
      <c r="O36">
        <f>INDEX(script.out!C:C,results.txt!$M36)</f>
        <v>-8.7953000000000007E-3</v>
      </c>
      <c r="P36">
        <f>INDEX(script.out!D:D,results.txt!$M36)</f>
        <v>0.77599300000000004</v>
      </c>
      <c r="Q36">
        <f>INDEX(script.out!E:E,results.txt!$M36)</f>
        <v>2.1197022049067602</v>
      </c>
      <c r="R36">
        <f>INDEX(script.out!F:F,results.txt!$M36)</f>
        <v>90.25</v>
      </c>
      <c r="S36">
        <f>INDEX(script.out!G:G,results.txt!$M36)</f>
        <v>277.08110707449799</v>
      </c>
      <c r="T36" t="str">
        <f>INDEX(script.out!H:H,results.txt!$M36)</f>
        <v>{</v>
      </c>
      <c r="U36">
        <f>INDEX(script.out!I:I,results.txt!$M36)</f>
        <v>0.96477599999999997</v>
      </c>
      <c r="V36">
        <f>INDEX(script.out!J:J,results.txt!$M36)</f>
        <v>95.602350000000001</v>
      </c>
      <c r="W36">
        <f>INDEX(script.out!K:K,results.txt!$M36)</f>
        <v>467.83587</v>
      </c>
      <c r="X36" t="str">
        <f>INDEX(script.out!L:L,results.txt!$M36)</f>
        <v>}</v>
      </c>
      <c r="Y36" t="str">
        <f>INDEX(script.out!M:M,results.txt!$M36)</f>
        <v>{</v>
      </c>
      <c r="Z36">
        <f>INDEX(script.out!N:N,results.txt!$M36)</f>
        <v>11.455919711009701</v>
      </c>
      <c r="AA36">
        <f>INDEX(script.out!O:O,results.txt!$M36)</f>
        <v>17.5</v>
      </c>
      <c r="AB36">
        <f>INDEX(script.out!P:P,results.txt!$M36)</f>
        <v>1224.3</v>
      </c>
      <c r="AC36" t="str">
        <f>INDEX(script.out!Q:Q,results.txt!$M36)</f>
        <v>}</v>
      </c>
      <c r="AD36">
        <f t="shared" si="0"/>
        <v>1</v>
      </c>
    </row>
    <row r="37" spans="1:30" x14ac:dyDescent="0.25">
      <c r="A37" s="12" t="s">
        <v>2</v>
      </c>
      <c r="B37" s="12">
        <v>-3</v>
      </c>
      <c r="C37" s="12">
        <v>1.0307900000000001</v>
      </c>
      <c r="D37" s="12">
        <v>3.1551500000000003E-2</v>
      </c>
      <c r="E37" s="12">
        <v>0.65731399999999995</v>
      </c>
      <c r="F37" s="12">
        <v>-3</v>
      </c>
      <c r="G37" s="12">
        <v>15.0023</v>
      </c>
      <c r="H37" s="12">
        <v>56.25</v>
      </c>
      <c r="I37" s="12">
        <v>219.416</v>
      </c>
      <c r="J37" s="12" t="s">
        <v>3</v>
      </c>
      <c r="K37" s="12">
        <v>0</v>
      </c>
      <c r="M37">
        <f>MATCH(C37,script.out!B:B,0)</f>
        <v>333</v>
      </c>
      <c r="N37">
        <f>INDEX(script.out!B:B,results.txt!$M37)</f>
        <v>1.0307900000000001</v>
      </c>
      <c r="O37">
        <f>INDEX(script.out!C:C,results.txt!$M37)</f>
        <v>3.1551500000000003E-2</v>
      </c>
      <c r="P37">
        <f>INDEX(script.out!D:D,results.txt!$M37)</f>
        <v>0.65731399999999995</v>
      </c>
      <c r="Q37">
        <f>INDEX(script.out!E:E,results.txt!$M37)</f>
        <v>15.0022595728895</v>
      </c>
      <c r="R37">
        <f>INDEX(script.out!F:F,results.txt!$M37)</f>
        <v>56.25</v>
      </c>
      <c r="S37">
        <f>INDEX(script.out!G:G,results.txt!$M37)</f>
        <v>219.41644653480901</v>
      </c>
      <c r="T37" t="str">
        <f>INDEX(script.out!H:H,results.txt!$M37)</f>
        <v>{</v>
      </c>
      <c r="U37">
        <f>INDEX(script.out!I:I,results.txt!$M37)</f>
        <v>1.12463</v>
      </c>
      <c r="V37">
        <f>INDEX(script.out!J:J,results.txt!$M37)</f>
        <v>115.77575</v>
      </c>
      <c r="W37">
        <f>INDEX(script.out!K:K,results.txt!$M37)</f>
        <v>397.81526000000002</v>
      </c>
      <c r="X37" t="str">
        <f>INDEX(script.out!L:L,results.txt!$M37)</f>
        <v>}</v>
      </c>
      <c r="Y37" t="str">
        <f>INDEX(script.out!M:M,results.txt!$M37)</f>
        <v>{</v>
      </c>
      <c r="Z37">
        <f>INDEX(script.out!N:N,results.txt!$M37)</f>
        <v>13.873275044828199</v>
      </c>
      <c r="AA37">
        <f>INDEX(script.out!O:O,results.txt!$M37)</f>
        <v>15.5</v>
      </c>
      <c r="AB37">
        <f>INDEX(script.out!P:P,results.txt!$M37)</f>
        <v>1893.36</v>
      </c>
      <c r="AC37" t="str">
        <f>INDEX(script.out!Q:Q,results.txt!$M37)</f>
        <v>}</v>
      </c>
      <c r="AD37">
        <f t="shared" si="0"/>
        <v>1</v>
      </c>
    </row>
    <row r="38" spans="1:30" x14ac:dyDescent="0.25">
      <c r="A38" s="12" t="s">
        <v>2</v>
      </c>
      <c r="B38" s="12">
        <v>-3</v>
      </c>
      <c r="C38" s="12">
        <v>0.89517199999999997</v>
      </c>
      <c r="D38" s="12">
        <v>0.30956400000000001</v>
      </c>
      <c r="E38" s="12">
        <v>0.56771400000000005</v>
      </c>
      <c r="F38" s="12">
        <v>-3</v>
      </c>
      <c r="G38" s="12">
        <v>421.49099999999999</v>
      </c>
      <c r="H38" s="12">
        <v>36</v>
      </c>
      <c r="I38" s="12">
        <v>0.38518200000000002</v>
      </c>
      <c r="J38" s="12" t="s">
        <v>3</v>
      </c>
      <c r="K38" s="12">
        <v>0</v>
      </c>
      <c r="M38">
        <f>MATCH(C38,script.out!B:B,0)</f>
        <v>339</v>
      </c>
      <c r="N38">
        <f>INDEX(script.out!B:B,results.txt!$M38)</f>
        <v>0.89517199999999997</v>
      </c>
      <c r="O38">
        <f>INDEX(script.out!C:C,results.txt!$M38)</f>
        <v>0.30956400000000001</v>
      </c>
      <c r="P38">
        <f>INDEX(script.out!D:D,results.txt!$M38)</f>
        <v>0.56771400000000005</v>
      </c>
      <c r="Q38">
        <f>INDEX(script.out!E:E,results.txt!$M38)</f>
        <v>421.49051640997902</v>
      </c>
      <c r="R38">
        <f>INDEX(script.out!F:F,results.txt!$M38)</f>
        <v>36</v>
      </c>
      <c r="S38">
        <f>INDEX(script.out!G:G,results.txt!$M38)</f>
        <v>0.38518176693563499</v>
      </c>
      <c r="T38" t="str">
        <f>INDEX(script.out!H:H,results.txt!$M38)</f>
        <v>{</v>
      </c>
      <c r="U38">
        <f>INDEX(script.out!I:I,results.txt!$M38)</f>
        <v>1.0161370000000001</v>
      </c>
      <c r="V38">
        <f>INDEX(script.out!J:J,results.txt!$M38)</f>
        <v>254.78200000000001</v>
      </c>
      <c r="W38">
        <f>INDEX(script.out!K:K,results.txt!$M38)</f>
        <v>344.95125999999999</v>
      </c>
      <c r="X38" t="str">
        <f>INDEX(script.out!L:L,results.txt!$M38)</f>
        <v>}</v>
      </c>
      <c r="Y38" t="str">
        <f>INDEX(script.out!M:M,results.txt!$M38)</f>
        <v>{</v>
      </c>
      <c r="Z38">
        <f>INDEX(script.out!N:N,results.txt!$M38)</f>
        <v>30.5302342025116</v>
      </c>
      <c r="AA38">
        <f>INDEX(script.out!O:O,results.txt!$M38)</f>
        <v>14</v>
      </c>
      <c r="AB38">
        <f>INDEX(script.out!P:P,results.txt!$M38)</f>
        <v>7073.47</v>
      </c>
      <c r="AC38" t="str">
        <f>INDEX(script.out!Q:Q,results.txt!$M38)</f>
        <v>}</v>
      </c>
      <c r="AD38">
        <f t="shared" si="0"/>
        <v>1</v>
      </c>
    </row>
    <row r="39" spans="1:30" x14ac:dyDescent="0.25">
      <c r="A39" s="12" t="s">
        <v>2</v>
      </c>
      <c r="B39" s="12">
        <v>-3</v>
      </c>
      <c r="C39" s="12">
        <v>1.0346299999999999</v>
      </c>
      <c r="D39" s="12">
        <v>2.2357499999999999E-2</v>
      </c>
      <c r="E39" s="12">
        <v>0.68294600000000005</v>
      </c>
      <c r="F39" s="12">
        <v>-3</v>
      </c>
      <c r="G39" s="12">
        <v>11.038500000000001</v>
      </c>
      <c r="H39" s="12">
        <v>56.25</v>
      </c>
      <c r="I39" s="12">
        <v>230.179</v>
      </c>
      <c r="J39" s="12" t="s">
        <v>3</v>
      </c>
      <c r="K39" s="12">
        <v>1</v>
      </c>
      <c r="M39">
        <f>MATCH(C39,script.out!B:B,0)</f>
        <v>374</v>
      </c>
      <c r="N39">
        <f>INDEX(script.out!B:B,results.txt!$M39)</f>
        <v>1.0346299999999999</v>
      </c>
      <c r="O39">
        <f>INDEX(script.out!C:C,results.txt!$M39)</f>
        <v>2.2357499999999999E-2</v>
      </c>
      <c r="P39">
        <f>INDEX(script.out!D:D,results.txt!$M39)</f>
        <v>0.68294600000000005</v>
      </c>
      <c r="Q39">
        <f>INDEX(script.out!E:E,results.txt!$M39)</f>
        <v>11.0384867421684</v>
      </c>
      <c r="R39">
        <f>INDEX(script.out!F:F,results.txt!$M39)</f>
        <v>56.25</v>
      </c>
      <c r="S39">
        <f>INDEX(script.out!G:G,results.txt!$M39)</f>
        <v>230.178776674798</v>
      </c>
      <c r="T39" t="str">
        <f>INDEX(script.out!H:H,results.txt!$M39)</f>
        <v>{</v>
      </c>
      <c r="U39">
        <f>INDEX(script.out!I:I,results.txt!$M39)</f>
        <v>1.1276999999999999</v>
      </c>
      <c r="V39">
        <f>INDEX(script.out!J:J,results.txt!$M39)</f>
        <v>111.17874999999999</v>
      </c>
      <c r="W39">
        <f>INDEX(script.out!K:K,results.txt!$M39)</f>
        <v>412.93813999999998</v>
      </c>
      <c r="X39" t="str">
        <f>INDEX(script.out!L:L,results.txt!$M39)</f>
        <v>}</v>
      </c>
      <c r="Y39" t="str">
        <f>INDEX(script.out!M:M,results.txt!$M39)</f>
        <v>{</v>
      </c>
      <c r="Z39">
        <f>INDEX(script.out!N:N,results.txt!$M39)</f>
        <v>13.3224218188195</v>
      </c>
      <c r="AA39">
        <f>INDEX(script.out!O:O,results.txt!$M39)</f>
        <v>15.5</v>
      </c>
      <c r="AB39">
        <f>INDEX(script.out!P:P,results.txt!$M39)</f>
        <v>1762.35</v>
      </c>
      <c r="AC39" t="str">
        <f>INDEX(script.out!Q:Q,results.txt!$M39)</f>
        <v>}</v>
      </c>
      <c r="AD39">
        <f t="shared" si="0"/>
        <v>1</v>
      </c>
    </row>
    <row r="40" spans="1:30" x14ac:dyDescent="0.25">
      <c r="A40" s="12" t="s">
        <v>2</v>
      </c>
      <c r="B40" s="12">
        <v>-3</v>
      </c>
      <c r="C40" s="12">
        <v>1.06498</v>
      </c>
      <c r="D40" s="12">
        <v>0.104049</v>
      </c>
      <c r="E40" s="12">
        <v>0.65315599999999996</v>
      </c>
      <c r="F40" s="12">
        <v>-3</v>
      </c>
      <c r="G40" s="12">
        <v>67.517799999999994</v>
      </c>
      <c r="H40" s="12">
        <v>36</v>
      </c>
      <c r="I40" s="12">
        <v>135.572</v>
      </c>
      <c r="J40" s="12" t="s">
        <v>3</v>
      </c>
      <c r="K40" s="12">
        <v>1</v>
      </c>
      <c r="M40">
        <f>MATCH(C40,script.out!B:B,0)</f>
        <v>379</v>
      </c>
      <c r="N40">
        <f>INDEX(script.out!B:B,results.txt!$M40)</f>
        <v>1.06498</v>
      </c>
      <c r="O40">
        <f>INDEX(script.out!C:C,results.txt!$M40)</f>
        <v>0.104049</v>
      </c>
      <c r="P40">
        <f>INDEX(script.out!D:D,results.txt!$M40)</f>
        <v>0.65315599999999996</v>
      </c>
      <c r="Q40">
        <f>INDEX(script.out!E:E,results.txt!$M40)</f>
        <v>67.517792222981697</v>
      </c>
      <c r="R40">
        <f>INDEX(script.out!F:F,results.txt!$M40)</f>
        <v>36</v>
      </c>
      <c r="S40">
        <f>INDEX(script.out!G:G,results.txt!$M40)</f>
        <v>135.57188975117199</v>
      </c>
      <c r="T40" t="str">
        <f>INDEX(script.out!H:H,results.txt!$M40)</f>
        <v>{</v>
      </c>
      <c r="U40">
        <f>INDEX(script.out!I:I,results.txt!$M40)</f>
        <v>1.15198</v>
      </c>
      <c r="V40">
        <f>INDEX(script.out!J:J,results.txt!$M40)</f>
        <v>152.02449999999999</v>
      </c>
      <c r="W40">
        <f>INDEX(script.out!K:K,results.txt!$M40)</f>
        <v>395.36203999999998</v>
      </c>
      <c r="X40" t="str">
        <f>INDEX(script.out!L:L,results.txt!$M40)</f>
        <v>}</v>
      </c>
      <c r="Y40" t="str">
        <f>INDEX(script.out!M:M,results.txt!$M40)</f>
        <v>{</v>
      </c>
      <c r="Z40">
        <f>INDEX(script.out!N:N,results.txt!$M40)</f>
        <v>18.216921091441801</v>
      </c>
      <c r="AA40">
        <f>INDEX(script.out!O:O,results.txt!$M40)</f>
        <v>14</v>
      </c>
      <c r="AB40">
        <f>INDEX(script.out!P:P,results.txt!$M40)</f>
        <v>3050.11</v>
      </c>
      <c r="AC40" t="str">
        <f>INDEX(script.out!Q:Q,results.txt!$M40)</f>
        <v>}</v>
      </c>
      <c r="AD40">
        <f t="shared" si="0"/>
        <v>1</v>
      </c>
    </row>
    <row r="41" spans="1:30" x14ac:dyDescent="0.25">
      <c r="A41" s="12" t="s">
        <v>2</v>
      </c>
      <c r="B41" s="12">
        <v>-3</v>
      </c>
      <c r="C41" s="12">
        <v>1.0560400000000001</v>
      </c>
      <c r="D41" s="12">
        <v>0.10141600000000001</v>
      </c>
      <c r="E41" s="12">
        <v>0.64420699999999997</v>
      </c>
      <c r="F41" s="12">
        <v>-3</v>
      </c>
      <c r="G41" s="12">
        <v>64.950199999999995</v>
      </c>
      <c r="H41" s="12">
        <v>36</v>
      </c>
      <c r="I41" s="12">
        <v>135.78100000000001</v>
      </c>
      <c r="J41" s="12" t="s">
        <v>3</v>
      </c>
      <c r="K41" s="12">
        <v>0</v>
      </c>
      <c r="M41">
        <f>MATCH(C41,script.out!B:B,0)</f>
        <v>380</v>
      </c>
      <c r="N41">
        <f>INDEX(script.out!B:B,results.txt!$M41)</f>
        <v>1.0560400000000001</v>
      </c>
      <c r="O41">
        <f>INDEX(script.out!C:C,results.txt!$M41)</f>
        <v>0.10141600000000001</v>
      </c>
      <c r="P41">
        <f>INDEX(script.out!D:D,results.txt!$M41)</f>
        <v>0.64420699999999997</v>
      </c>
      <c r="Q41">
        <f>INDEX(script.out!E:E,results.txt!$M41)</f>
        <v>64.950163218979995</v>
      </c>
      <c r="R41">
        <f>INDEX(script.out!F:F,results.txt!$M41)</f>
        <v>36</v>
      </c>
      <c r="S41">
        <f>INDEX(script.out!G:G,results.txt!$M41)</f>
        <v>135.781235120285</v>
      </c>
      <c r="T41" t="str">
        <f>INDEX(script.out!H:H,results.txt!$M41)</f>
        <v>{</v>
      </c>
      <c r="U41">
        <f>INDEX(script.out!I:I,results.txt!$M41)</f>
        <v>1.14483</v>
      </c>
      <c r="V41">
        <f>INDEX(script.out!J:J,results.txt!$M41)</f>
        <v>150.708</v>
      </c>
      <c r="W41">
        <f>INDEX(script.out!K:K,results.txt!$M41)</f>
        <v>390.08213000000001</v>
      </c>
      <c r="X41" t="str">
        <f>INDEX(script.out!L:L,results.txt!$M41)</f>
        <v>}</v>
      </c>
      <c r="Y41" t="str">
        <f>INDEX(script.out!M:M,results.txt!$M41)</f>
        <v>{</v>
      </c>
      <c r="Z41">
        <f>INDEX(script.out!N:N,results.txt!$M41)</f>
        <v>18.059166409684</v>
      </c>
      <c r="AA41">
        <f>INDEX(script.out!O:O,results.txt!$M41)</f>
        <v>14</v>
      </c>
      <c r="AB41">
        <f>INDEX(script.out!P:P,results.txt!$M41)</f>
        <v>3046.83</v>
      </c>
      <c r="AC41" t="str">
        <f>INDEX(script.out!Q:Q,results.txt!$M41)</f>
        <v>}</v>
      </c>
      <c r="AD41">
        <f t="shared" si="0"/>
        <v>1</v>
      </c>
    </row>
    <row r="42" spans="1:30" x14ac:dyDescent="0.25">
      <c r="A42" s="12" t="s">
        <v>2</v>
      </c>
      <c r="B42" s="12">
        <v>-3</v>
      </c>
      <c r="C42" s="12">
        <v>1.10616</v>
      </c>
      <c r="D42" s="12">
        <v>-3.3149600000000001E-2</v>
      </c>
      <c r="E42" s="12">
        <v>0.65562799999999999</v>
      </c>
      <c r="F42" s="12">
        <v>-3</v>
      </c>
      <c r="G42" s="13">
        <v>1.05897E-5</v>
      </c>
      <c r="H42" s="12">
        <v>72.25</v>
      </c>
      <c r="I42" s="12">
        <v>298.19099999999997</v>
      </c>
      <c r="J42" s="12" t="s">
        <v>3</v>
      </c>
      <c r="K42" s="12">
        <v>0</v>
      </c>
      <c r="M42">
        <f>MATCH(C42,script.out!B:B,0)</f>
        <v>398</v>
      </c>
      <c r="N42">
        <f>INDEX(script.out!B:B,results.txt!$M42)</f>
        <v>1.10616</v>
      </c>
      <c r="O42">
        <f>INDEX(script.out!C:C,results.txt!$M42)</f>
        <v>-3.3149600000000001E-2</v>
      </c>
      <c r="P42">
        <f>INDEX(script.out!D:D,results.txt!$M42)</f>
        <v>0.65562799999999999</v>
      </c>
      <c r="Q42">
        <f>INDEX(script.out!E:E,results.txt!$M42)</f>
        <v>1.05896649895015E-5</v>
      </c>
      <c r="R42">
        <f>INDEX(script.out!F:F,results.txt!$M42)</f>
        <v>72.25</v>
      </c>
      <c r="S42">
        <f>INDEX(script.out!G:G,results.txt!$M42)</f>
        <v>298.19054199948198</v>
      </c>
      <c r="T42" t="str">
        <f>INDEX(script.out!H:H,results.txt!$M42)</f>
        <v>{</v>
      </c>
      <c r="U42">
        <f>INDEX(script.out!I:I,results.txt!$M42)</f>
        <v>1.18492</v>
      </c>
      <c r="V42">
        <f>INDEX(script.out!J:J,results.txt!$M42)</f>
        <v>83.425200000000004</v>
      </c>
      <c r="W42">
        <f>INDEX(script.out!K:K,results.txt!$M42)</f>
        <v>396.82051999999999</v>
      </c>
      <c r="X42" t="str">
        <f>INDEX(script.out!L:L,results.txt!$M42)</f>
        <v>}</v>
      </c>
      <c r="Y42" t="str">
        <f>INDEX(script.out!M:M,results.txt!$M42)</f>
        <v>{</v>
      </c>
      <c r="Z42">
        <f>INDEX(script.out!N:N,results.txt!$M42)</f>
        <v>9.9967458234544608</v>
      </c>
      <c r="AA42">
        <f>INDEX(script.out!O:O,results.txt!$M42)</f>
        <v>16.5</v>
      </c>
      <c r="AB42">
        <f>INDEX(script.out!P:P,results.txt!$M42)</f>
        <v>997.10900000000004</v>
      </c>
      <c r="AC42" t="str">
        <f>INDEX(script.out!Q:Q,results.txt!$M42)</f>
        <v>}</v>
      </c>
      <c r="AD42">
        <f t="shared" si="0"/>
        <v>1</v>
      </c>
    </row>
    <row r="43" spans="1:30" x14ac:dyDescent="0.25">
      <c r="A43" s="12" t="s">
        <v>2</v>
      </c>
      <c r="B43" s="12">
        <v>-3</v>
      </c>
      <c r="C43" s="12">
        <v>1.01922</v>
      </c>
      <c r="D43" s="12">
        <v>2.8004000000000001E-2</v>
      </c>
      <c r="E43" s="12">
        <v>0.68145199999999995</v>
      </c>
      <c r="F43" s="12">
        <v>-3</v>
      </c>
      <c r="G43" s="12">
        <v>13.4009</v>
      </c>
      <c r="H43" s="12">
        <v>56.25</v>
      </c>
      <c r="I43" s="12">
        <v>226.30099999999999</v>
      </c>
      <c r="J43" s="12" t="s">
        <v>3</v>
      </c>
      <c r="K43" s="12">
        <v>1</v>
      </c>
      <c r="M43">
        <f>MATCH(C43,script.out!B:B,0)</f>
        <v>403</v>
      </c>
      <c r="N43">
        <f>INDEX(script.out!B:B,results.txt!$M43)</f>
        <v>1.01922</v>
      </c>
      <c r="O43">
        <f>INDEX(script.out!C:C,results.txt!$M43)</f>
        <v>2.8004000000000001E-2</v>
      </c>
      <c r="P43">
        <f>INDEX(script.out!D:D,results.txt!$M43)</f>
        <v>0.68145199999999995</v>
      </c>
      <c r="Q43">
        <f>INDEX(script.out!E:E,results.txt!$M43)</f>
        <v>13.400934037732499</v>
      </c>
      <c r="R43">
        <f>INDEX(script.out!F:F,results.txt!$M43)</f>
        <v>56.25</v>
      </c>
      <c r="S43">
        <f>INDEX(script.out!G:G,results.txt!$M43)</f>
        <v>226.301328249953</v>
      </c>
      <c r="T43" t="str">
        <f>INDEX(script.out!H:H,results.txt!$M43)</f>
        <v>{</v>
      </c>
      <c r="U43">
        <f>INDEX(script.out!I:I,results.txt!$M43)</f>
        <v>1.11537</v>
      </c>
      <c r="V43">
        <f>INDEX(script.out!J:J,results.txt!$M43)</f>
        <v>114.002</v>
      </c>
      <c r="W43">
        <f>INDEX(script.out!K:K,results.txt!$M43)</f>
        <v>412.05667999999997</v>
      </c>
      <c r="X43" t="str">
        <f>INDEX(script.out!L:L,results.txt!$M43)</f>
        <v>}</v>
      </c>
      <c r="Y43" t="str">
        <f>INDEX(script.out!M:M,results.txt!$M43)</f>
        <v>{</v>
      </c>
      <c r="Z43">
        <f>INDEX(script.out!N:N,results.txt!$M43)</f>
        <v>13.660728621153501</v>
      </c>
      <c r="AA43">
        <f>INDEX(script.out!O:O,results.txt!$M43)</f>
        <v>15.5</v>
      </c>
      <c r="AB43">
        <f>INDEX(script.out!P:P,results.txt!$M43)</f>
        <v>1809.19</v>
      </c>
      <c r="AC43" t="str">
        <f>INDEX(script.out!Q:Q,results.txt!$M43)</f>
        <v>}</v>
      </c>
      <c r="AD43">
        <f t="shared" si="0"/>
        <v>1</v>
      </c>
    </row>
    <row r="44" spans="1:30" x14ac:dyDescent="0.25">
      <c r="A44" s="12" t="s">
        <v>2</v>
      </c>
      <c r="B44" s="12">
        <v>-3</v>
      </c>
      <c r="C44" s="12">
        <v>1.0328299999999999</v>
      </c>
      <c r="D44" s="12">
        <v>0.26362799999999997</v>
      </c>
      <c r="E44" s="12">
        <v>0.567554</v>
      </c>
      <c r="F44" s="12">
        <v>-3</v>
      </c>
      <c r="G44" s="12">
        <v>316.05700000000002</v>
      </c>
      <c r="H44" s="12">
        <v>36</v>
      </c>
      <c r="I44" s="12">
        <v>41.265000000000001</v>
      </c>
      <c r="J44" s="12" t="s">
        <v>3</v>
      </c>
      <c r="K44" s="12">
        <v>1</v>
      </c>
      <c r="M44">
        <f>MATCH(C44,script.out!B:B,0)</f>
        <v>413</v>
      </c>
      <c r="N44">
        <f>INDEX(script.out!B:B,results.txt!$M44)</f>
        <v>1.0328299999999999</v>
      </c>
      <c r="O44">
        <f>INDEX(script.out!C:C,results.txt!$M44)</f>
        <v>0.26362799999999997</v>
      </c>
      <c r="P44">
        <f>INDEX(script.out!D:D,results.txt!$M44)</f>
        <v>0.567554</v>
      </c>
      <c r="Q44">
        <f>INDEX(script.out!E:E,results.txt!$M44)</f>
        <v>316.05746757308202</v>
      </c>
      <c r="R44">
        <f>INDEX(script.out!F:F,results.txt!$M44)</f>
        <v>36</v>
      </c>
      <c r="S44">
        <f>INDEX(script.out!G:G,results.txt!$M44)</f>
        <v>41.264960048039001</v>
      </c>
      <c r="T44" t="str">
        <f>INDEX(script.out!H:H,results.txt!$M44)</f>
        <v>{</v>
      </c>
      <c r="U44">
        <f>INDEX(script.out!I:I,results.txt!$M44)</f>
        <v>1.12626</v>
      </c>
      <c r="V44">
        <f>INDEX(script.out!J:J,results.txt!$M44)</f>
        <v>231.81399999999999</v>
      </c>
      <c r="W44">
        <f>INDEX(script.out!K:K,results.txt!$M44)</f>
        <v>344.85685999999998</v>
      </c>
      <c r="X44" t="str">
        <f>INDEX(script.out!L:L,results.txt!$M44)</f>
        <v>}</v>
      </c>
      <c r="Y44" t="str">
        <f>INDEX(script.out!M:M,results.txt!$M44)</f>
        <v>{</v>
      </c>
      <c r="Z44">
        <f>INDEX(script.out!N:N,results.txt!$M44)</f>
        <v>27.778005162927599</v>
      </c>
      <c r="AA44">
        <f>INDEX(script.out!O:O,results.txt!$M44)</f>
        <v>14</v>
      </c>
      <c r="AB44">
        <f>INDEX(script.out!P:P,results.txt!$M44)</f>
        <v>4955.32</v>
      </c>
      <c r="AC44" t="str">
        <f>INDEX(script.out!Q:Q,results.txt!$M44)</f>
        <v>}</v>
      </c>
      <c r="AD44">
        <f t="shared" si="0"/>
        <v>1</v>
      </c>
    </row>
    <row r="45" spans="1:30" x14ac:dyDescent="0.25">
      <c r="A45" s="12" t="s">
        <v>2</v>
      </c>
      <c r="B45" s="12">
        <v>-3</v>
      </c>
      <c r="C45" s="12">
        <v>0.966557</v>
      </c>
      <c r="D45" s="12">
        <v>0.11336300000000001</v>
      </c>
      <c r="E45" s="12">
        <v>0.597163</v>
      </c>
      <c r="F45" s="12">
        <v>-3</v>
      </c>
      <c r="G45" s="12">
        <v>77</v>
      </c>
      <c r="H45" s="12">
        <v>42.25</v>
      </c>
      <c r="I45" s="12">
        <v>110.19199999999999</v>
      </c>
      <c r="J45" s="12" t="s">
        <v>3</v>
      </c>
      <c r="K45" s="12">
        <v>1</v>
      </c>
      <c r="M45">
        <f>MATCH(C45,script.out!B:B,0)</f>
        <v>416</v>
      </c>
      <c r="N45">
        <f>INDEX(script.out!B:B,results.txt!$M45)</f>
        <v>0.966557</v>
      </c>
      <c r="O45">
        <f>INDEX(script.out!C:C,results.txt!$M45)</f>
        <v>0.11336300000000001</v>
      </c>
      <c r="P45">
        <f>INDEX(script.out!D:D,results.txt!$M45)</f>
        <v>0.597163</v>
      </c>
      <c r="Q45">
        <f>INDEX(script.out!E:E,results.txt!$M45)</f>
        <v>76.999994052185301</v>
      </c>
      <c r="R45">
        <f>INDEX(script.out!F:F,results.txt!$M45)</f>
        <v>42.25</v>
      </c>
      <c r="S45">
        <f>INDEX(script.out!G:G,results.txt!$M45)</f>
        <v>110.19189806793</v>
      </c>
      <c r="T45" t="str">
        <f>INDEX(script.out!H:H,results.txt!$M45)</f>
        <v>{</v>
      </c>
      <c r="U45">
        <f>INDEX(script.out!I:I,results.txt!$M45)</f>
        <v>1.073245</v>
      </c>
      <c r="V45">
        <f>INDEX(script.out!J:J,results.txt!$M45)</f>
        <v>156.6815</v>
      </c>
      <c r="W45">
        <f>INDEX(script.out!K:K,results.txt!$M45)</f>
        <v>362.32616999999999</v>
      </c>
      <c r="X45" t="str">
        <f>INDEX(script.out!L:L,results.txt!$M45)</f>
        <v>}</v>
      </c>
      <c r="Y45" t="str">
        <f>INDEX(script.out!M:M,results.txt!$M45)</f>
        <v>{</v>
      </c>
      <c r="Z45">
        <f>INDEX(script.out!N:N,results.txt!$M45)</f>
        <v>18.774964048483898</v>
      </c>
      <c r="AA45">
        <f>INDEX(script.out!O:O,results.txt!$M45)</f>
        <v>14.5</v>
      </c>
      <c r="AB45">
        <f>INDEX(script.out!P:P,results.txt!$M45)</f>
        <v>3468.51</v>
      </c>
      <c r="AC45" t="str">
        <f>INDEX(script.out!Q:Q,results.txt!$M45)</f>
        <v>}</v>
      </c>
      <c r="AD45">
        <f t="shared" si="0"/>
        <v>1</v>
      </c>
    </row>
    <row r="46" spans="1:30" x14ac:dyDescent="0.25">
      <c r="A46" s="12" t="s">
        <v>2</v>
      </c>
      <c r="B46" s="12">
        <v>-3</v>
      </c>
      <c r="C46" s="12">
        <v>1.03687</v>
      </c>
      <c r="D46" s="12">
        <v>9.6456100000000006E-3</v>
      </c>
      <c r="E46" s="12">
        <v>0.62546900000000005</v>
      </c>
      <c r="F46" s="12">
        <v>-3</v>
      </c>
      <c r="G46" s="12">
        <v>6.5576800000000004</v>
      </c>
      <c r="H46" s="12">
        <v>64</v>
      </c>
      <c r="I46" s="12">
        <v>252.93799999999999</v>
      </c>
      <c r="J46" s="12" t="s">
        <v>3</v>
      </c>
      <c r="K46" s="12">
        <v>0</v>
      </c>
      <c r="M46">
        <f>MATCH(C46,script.out!B:B,0)</f>
        <v>417</v>
      </c>
      <c r="N46">
        <f>INDEX(script.out!B:B,results.txt!$M46)</f>
        <v>1.03687</v>
      </c>
      <c r="O46">
        <f>INDEX(script.out!C:C,results.txt!$M46)</f>
        <v>9.6456100000000006E-3</v>
      </c>
      <c r="P46">
        <f>INDEX(script.out!D:D,results.txt!$M46)</f>
        <v>0.62546900000000005</v>
      </c>
      <c r="Q46">
        <f>INDEX(script.out!E:E,results.txt!$M46)</f>
        <v>6.5576773585659502</v>
      </c>
      <c r="R46">
        <f>INDEX(script.out!F:F,results.txt!$M46)</f>
        <v>64</v>
      </c>
      <c r="S46">
        <f>INDEX(script.out!G:G,results.txt!$M46)</f>
        <v>252.93808745280501</v>
      </c>
      <c r="T46" t="str">
        <f>INDEX(script.out!H:H,results.txt!$M46)</f>
        <v>{</v>
      </c>
      <c r="U46">
        <f>INDEX(script.out!I:I,results.txt!$M46)</f>
        <v>1.1294900000000001</v>
      </c>
      <c r="V46">
        <f>INDEX(script.out!J:J,results.txt!$M46)</f>
        <v>104.822805</v>
      </c>
      <c r="W46">
        <f>INDEX(script.out!K:K,results.txt!$M46)</f>
        <v>379.02670999999998</v>
      </c>
      <c r="X46" t="str">
        <f>INDEX(script.out!L:L,results.txt!$M46)</f>
        <v>}</v>
      </c>
      <c r="Y46" t="str">
        <f>INDEX(script.out!M:M,results.txt!$M46)</f>
        <v>{</v>
      </c>
      <c r="Z46">
        <f>INDEX(script.out!N:N,results.txt!$M46)</f>
        <v>12.560796235268599</v>
      </c>
      <c r="AA46">
        <f>INDEX(script.out!O:O,results.txt!$M46)</f>
        <v>16</v>
      </c>
      <c r="AB46">
        <f>INDEX(script.out!P:P,results.txt!$M46)</f>
        <v>1495.03</v>
      </c>
      <c r="AC46" t="str">
        <f>INDEX(script.out!Q:Q,results.txt!$M46)</f>
        <v>}</v>
      </c>
      <c r="AD46">
        <f t="shared" si="0"/>
        <v>1</v>
      </c>
    </row>
    <row r="47" spans="1:30" x14ac:dyDescent="0.25">
      <c r="A47" s="12" t="s">
        <v>2</v>
      </c>
      <c r="B47" s="12">
        <v>-3</v>
      </c>
      <c r="C47" s="12">
        <v>0.49803900000000001</v>
      </c>
      <c r="D47" s="12">
        <v>8.3862800000000001E-2</v>
      </c>
      <c r="E47" s="12">
        <v>0.26502399999999998</v>
      </c>
      <c r="F47" s="12">
        <v>-3</v>
      </c>
      <c r="G47" s="12">
        <v>49.104700000000001</v>
      </c>
      <c r="H47" s="12">
        <v>81</v>
      </c>
      <c r="I47" s="12">
        <v>4.97229E-2</v>
      </c>
      <c r="J47" s="12" t="s">
        <v>3</v>
      </c>
      <c r="K47" s="12">
        <v>0</v>
      </c>
      <c r="M47">
        <f>MATCH(C47,script.out!B:B,0)</f>
        <v>437</v>
      </c>
      <c r="N47">
        <f>INDEX(script.out!B:B,results.txt!$M47)</f>
        <v>0.49803900000000001</v>
      </c>
      <c r="O47">
        <f>INDEX(script.out!C:C,results.txt!$M47)</f>
        <v>8.3862800000000001E-2</v>
      </c>
      <c r="P47">
        <f>INDEX(script.out!D:D,results.txt!$M47)</f>
        <v>0.26502399999999998</v>
      </c>
      <c r="Q47">
        <f>INDEX(script.out!E:E,results.txt!$M47)</f>
        <v>49.104727176795798</v>
      </c>
      <c r="R47">
        <f>INDEX(script.out!F:F,results.txt!$M47)</f>
        <v>81</v>
      </c>
      <c r="S47">
        <f>INDEX(script.out!G:G,results.txt!$M47)</f>
        <v>4.9722890598611298E-2</v>
      </c>
      <c r="T47" t="str">
        <f>INDEX(script.out!H:H,results.txt!$M47)</f>
        <v>{</v>
      </c>
      <c r="U47">
        <f>INDEX(script.out!I:I,results.txt!$M47)</f>
        <v>0.69843100000000002</v>
      </c>
      <c r="V47">
        <f>INDEX(script.out!J:J,results.txt!$M47)</f>
        <v>141.9314</v>
      </c>
      <c r="W47">
        <f>INDEX(script.out!K:K,results.txt!$M47)</f>
        <v>166.36416</v>
      </c>
      <c r="X47" t="str">
        <f>INDEX(script.out!L:L,results.txt!$M47)</f>
        <v>}</v>
      </c>
      <c r="Y47" t="str">
        <f>INDEX(script.out!M:M,results.txt!$M47)</f>
        <v>{</v>
      </c>
      <c r="Z47">
        <f>INDEX(script.out!N:N,results.txt!$M47)</f>
        <v>17.007476519889</v>
      </c>
      <c r="AA47">
        <f>INDEX(script.out!O:O,results.txt!$M47)</f>
        <v>17</v>
      </c>
      <c r="AB47">
        <f>INDEX(script.out!P:P,results.txt!$M47)</f>
        <v>7218.61</v>
      </c>
      <c r="AC47" t="str">
        <f>INDEX(script.out!Q:Q,results.txt!$M47)</f>
        <v>}</v>
      </c>
      <c r="AD47">
        <f t="shared" si="0"/>
        <v>1</v>
      </c>
    </row>
    <row r="48" spans="1:30" x14ac:dyDescent="0.25">
      <c r="A48" s="12" t="s">
        <v>2</v>
      </c>
      <c r="B48" s="12">
        <v>-3</v>
      </c>
      <c r="C48" s="12">
        <v>0.48423100000000002</v>
      </c>
      <c r="D48" s="12">
        <v>5.8242099999999998E-2</v>
      </c>
      <c r="E48" s="12">
        <v>0.18962100000000001</v>
      </c>
      <c r="F48" s="12">
        <v>-3</v>
      </c>
      <c r="G48" s="12">
        <v>29.947500000000002</v>
      </c>
      <c r="H48" s="12">
        <v>90.25</v>
      </c>
      <c r="I48" s="12">
        <v>8.3795199999999994</v>
      </c>
      <c r="J48" s="12" t="s">
        <v>3</v>
      </c>
      <c r="K48" s="12">
        <v>0</v>
      </c>
      <c r="M48">
        <f>MATCH(C48,script.out!B:B,0)</f>
        <v>438</v>
      </c>
      <c r="N48">
        <f>INDEX(script.out!B:B,results.txt!$M48)</f>
        <v>0.48423100000000002</v>
      </c>
      <c r="O48">
        <f>INDEX(script.out!C:C,results.txt!$M48)</f>
        <v>5.8242099999999998E-2</v>
      </c>
      <c r="P48">
        <f>INDEX(script.out!D:D,results.txt!$M48)</f>
        <v>0.18962100000000001</v>
      </c>
      <c r="Q48">
        <f>INDEX(script.out!E:E,results.txt!$M48)</f>
        <v>29.9474573158735</v>
      </c>
      <c r="R48">
        <f>INDEX(script.out!F:F,results.txt!$M48)</f>
        <v>90.25</v>
      </c>
      <c r="S48">
        <f>INDEX(script.out!G:G,results.txt!$M48)</f>
        <v>8.3795180814411694</v>
      </c>
      <c r="T48" t="str">
        <f>INDEX(script.out!H:H,results.txt!$M48)</f>
        <v>{</v>
      </c>
      <c r="U48">
        <f>INDEX(script.out!I:I,results.txt!$M48)</f>
        <v>0.687384</v>
      </c>
      <c r="V48">
        <f>INDEX(script.out!J:J,results.txt!$M48)</f>
        <v>129.12105</v>
      </c>
      <c r="W48">
        <f>INDEX(script.out!K:K,results.txt!$M48)</f>
        <v>121.87639</v>
      </c>
      <c r="X48" t="str">
        <f>INDEX(script.out!L:L,results.txt!$M48)</f>
        <v>}</v>
      </c>
      <c r="Y48" t="str">
        <f>INDEX(script.out!M:M,results.txt!$M48)</f>
        <v>{</v>
      </c>
      <c r="Z48">
        <f>INDEX(script.out!N:N,results.txt!$M48)</f>
        <v>15.472427004161201</v>
      </c>
      <c r="AA48">
        <f>INDEX(script.out!O:O,results.txt!$M48)</f>
        <v>17.5</v>
      </c>
      <c r="AB48">
        <f>INDEX(script.out!P:P,results.txt!$M48)</f>
        <v>8356.58</v>
      </c>
      <c r="AC48" t="str">
        <f>INDEX(script.out!Q:Q,results.txt!$M48)</f>
        <v>}</v>
      </c>
      <c r="AD48">
        <f t="shared" si="0"/>
        <v>1</v>
      </c>
    </row>
    <row r="49" spans="1:30" x14ac:dyDescent="0.25">
      <c r="A49" s="12" t="s">
        <v>2</v>
      </c>
      <c r="B49" s="12">
        <v>-3</v>
      </c>
      <c r="C49" s="12">
        <v>0.94018999999999997</v>
      </c>
      <c r="D49" s="12">
        <v>-2.6837800000000002E-3</v>
      </c>
      <c r="E49" s="12">
        <v>0.73713499999999998</v>
      </c>
      <c r="F49" s="12">
        <v>-3</v>
      </c>
      <c r="G49" s="12">
        <v>3.32</v>
      </c>
      <c r="H49" s="12">
        <v>72.25</v>
      </c>
      <c r="I49" s="12">
        <v>272.59100000000001</v>
      </c>
      <c r="J49" s="12" t="s">
        <v>3</v>
      </c>
      <c r="K49" s="12">
        <v>1</v>
      </c>
      <c r="M49">
        <f>MATCH(C49,script.out!B:B,0)</f>
        <v>439</v>
      </c>
      <c r="N49">
        <f>INDEX(script.out!B:B,results.txt!$M49)</f>
        <v>0.94018999999999997</v>
      </c>
      <c r="O49">
        <f>INDEX(script.out!C:C,results.txt!$M49)</f>
        <v>-2.6837800000000002E-3</v>
      </c>
      <c r="P49">
        <f>INDEX(script.out!D:D,results.txt!$M49)</f>
        <v>0.73713499999999998</v>
      </c>
      <c r="Q49">
        <f>INDEX(script.out!E:E,results.txt!$M49)</f>
        <v>3.3200043859745998</v>
      </c>
      <c r="R49">
        <f>INDEX(script.out!F:F,results.txt!$M49)</f>
        <v>72.25</v>
      </c>
      <c r="S49">
        <f>INDEX(script.out!G:G,results.txt!$M49)</f>
        <v>272.59095599849798</v>
      </c>
      <c r="T49" t="str">
        <f>INDEX(script.out!H:H,results.txt!$M49)</f>
        <v>{</v>
      </c>
      <c r="U49">
        <f>INDEX(script.out!I:I,results.txt!$M49)</f>
        <v>1.0521499999999999</v>
      </c>
      <c r="V49">
        <f>INDEX(script.out!J:J,results.txt!$M49)</f>
        <v>98.658109999999994</v>
      </c>
      <c r="W49">
        <f>INDEX(script.out!K:K,results.txt!$M49)</f>
        <v>444.90965</v>
      </c>
      <c r="X49" t="str">
        <f>INDEX(script.out!L:L,results.txt!$M49)</f>
        <v>}</v>
      </c>
      <c r="Y49" t="str">
        <f>INDEX(script.out!M:M,results.txt!$M49)</f>
        <v>{</v>
      </c>
      <c r="Z49">
        <f>INDEX(script.out!N:N,results.txt!$M49)</f>
        <v>11.8220879193866</v>
      </c>
      <c r="AA49">
        <f>INDEX(script.out!O:O,results.txt!$M49)</f>
        <v>16.5</v>
      </c>
      <c r="AB49">
        <f>INDEX(script.out!P:P,results.txt!$M49)</f>
        <v>1273.73</v>
      </c>
      <c r="AC49" t="str">
        <f>INDEX(script.out!Q:Q,results.txt!$M49)</f>
        <v>}</v>
      </c>
      <c r="AD49">
        <f t="shared" si="0"/>
        <v>1</v>
      </c>
    </row>
    <row r="50" spans="1:30" x14ac:dyDescent="0.25">
      <c r="A50" s="12" t="s">
        <v>2</v>
      </c>
      <c r="B50" s="12">
        <v>-3</v>
      </c>
      <c r="C50" s="12">
        <v>0.88895100000000005</v>
      </c>
      <c r="D50" s="12">
        <v>0.174619</v>
      </c>
      <c r="E50" s="12">
        <v>0.49713400000000002</v>
      </c>
      <c r="F50" s="12">
        <v>-3</v>
      </c>
      <c r="G50" s="12">
        <v>154.88</v>
      </c>
      <c r="H50" s="12">
        <v>42.25</v>
      </c>
      <c r="I50" s="12">
        <v>50.846699999999998</v>
      </c>
      <c r="J50" s="12" t="s">
        <v>3</v>
      </c>
      <c r="K50" s="12">
        <v>1</v>
      </c>
      <c r="M50">
        <f>MATCH(C50,script.out!B:B,0)</f>
        <v>467</v>
      </c>
      <c r="N50">
        <f>INDEX(script.out!B:B,results.txt!$M50)</f>
        <v>0.88895100000000005</v>
      </c>
      <c r="O50">
        <f>INDEX(script.out!C:C,results.txt!$M50)</f>
        <v>0.174619</v>
      </c>
      <c r="P50">
        <f>INDEX(script.out!D:D,results.txt!$M50)</f>
        <v>0.49713400000000002</v>
      </c>
      <c r="Q50">
        <f>INDEX(script.out!E:E,results.txt!$M50)</f>
        <v>154.88006806085701</v>
      </c>
      <c r="R50">
        <f>INDEX(script.out!F:F,results.txt!$M50)</f>
        <v>42.25</v>
      </c>
      <c r="S50">
        <f>INDEX(script.out!G:G,results.txt!$M50)</f>
        <v>50.846667592418797</v>
      </c>
      <c r="T50" t="str">
        <f>INDEX(script.out!H:H,results.txt!$M50)</f>
        <v>{</v>
      </c>
      <c r="U50">
        <f>INDEX(script.out!I:I,results.txt!$M50)</f>
        <v>1.0111600000000001</v>
      </c>
      <c r="V50">
        <f>INDEX(script.out!J:J,results.txt!$M50)</f>
        <v>187.30950000000001</v>
      </c>
      <c r="W50">
        <f>INDEX(script.out!K:K,results.txt!$M50)</f>
        <v>303.30905999999999</v>
      </c>
      <c r="X50" t="str">
        <f>INDEX(script.out!L:L,results.txt!$M50)</f>
        <v>}</v>
      </c>
      <c r="Y50" t="str">
        <f>INDEX(script.out!M:M,results.txt!$M50)</f>
        <v>{</v>
      </c>
      <c r="Z50">
        <f>INDEX(script.out!N:N,results.txt!$M50)</f>
        <v>22.4450820833314</v>
      </c>
      <c r="AA50">
        <f>INDEX(script.out!O:O,results.txt!$M50)</f>
        <v>14.5</v>
      </c>
      <c r="AB50">
        <f>INDEX(script.out!P:P,results.txt!$M50)</f>
        <v>4697.3</v>
      </c>
      <c r="AC50" t="str">
        <f>INDEX(script.out!Q:Q,results.txt!$M50)</f>
        <v>}</v>
      </c>
      <c r="AD50">
        <f t="shared" si="0"/>
        <v>1</v>
      </c>
    </row>
    <row r="51" spans="1:30" x14ac:dyDescent="0.25">
      <c r="A51" s="12" t="s">
        <v>2</v>
      </c>
      <c r="B51" s="12">
        <v>-3</v>
      </c>
      <c r="C51" s="12">
        <v>1.10267</v>
      </c>
      <c r="D51" s="12">
        <v>2.9383399999999998E-3</v>
      </c>
      <c r="E51" s="12">
        <v>0.70021100000000003</v>
      </c>
      <c r="F51" s="12">
        <v>-3</v>
      </c>
      <c r="G51" s="12">
        <v>4.6609999999999996</v>
      </c>
      <c r="H51" s="12">
        <v>56.25</v>
      </c>
      <c r="I51" s="12">
        <v>270.43700000000001</v>
      </c>
      <c r="J51" s="12" t="s">
        <v>3</v>
      </c>
      <c r="K51" s="12">
        <v>0</v>
      </c>
      <c r="M51">
        <f>MATCH(C51,script.out!B:B,0)</f>
        <v>469</v>
      </c>
      <c r="N51">
        <f>INDEX(script.out!B:B,results.txt!$M51)</f>
        <v>1.10267</v>
      </c>
      <c r="O51">
        <f>INDEX(script.out!C:C,results.txt!$M51)</f>
        <v>2.9383399999999998E-3</v>
      </c>
      <c r="P51">
        <f>INDEX(script.out!D:D,results.txt!$M51)</f>
        <v>0.70021100000000003</v>
      </c>
      <c r="Q51">
        <f>INDEX(script.out!E:E,results.txt!$M51)</f>
        <v>4.6609960510381496</v>
      </c>
      <c r="R51">
        <f>INDEX(script.out!F:F,results.txt!$M51)</f>
        <v>56.25</v>
      </c>
      <c r="S51">
        <f>INDEX(script.out!G:G,results.txt!$M51)</f>
        <v>270.43667335785301</v>
      </c>
      <c r="T51" t="str">
        <f>INDEX(script.out!H:H,results.txt!$M51)</f>
        <v>{</v>
      </c>
      <c r="U51">
        <f>INDEX(script.out!I:I,results.txt!$M51)</f>
        <v>1.1821299999999999</v>
      </c>
      <c r="V51">
        <f>INDEX(script.out!J:J,results.txt!$M51)</f>
        <v>101.46917000000001</v>
      </c>
      <c r="W51">
        <f>INDEX(script.out!K:K,results.txt!$M51)</f>
        <v>423.12448999999998</v>
      </c>
      <c r="X51" t="str">
        <f>INDEX(script.out!L:L,results.txt!$M51)</f>
        <v>}</v>
      </c>
      <c r="Y51" t="str">
        <f>INDEX(script.out!M:M,results.txt!$M51)</f>
        <v>{</v>
      </c>
      <c r="Z51">
        <f>INDEX(script.out!N:N,results.txt!$M51)</f>
        <v>12.158934008032199</v>
      </c>
      <c r="AA51">
        <f>INDEX(script.out!O:O,results.txt!$M51)</f>
        <v>15.5</v>
      </c>
      <c r="AB51">
        <f>INDEX(script.out!P:P,results.txt!$M51)</f>
        <v>1297.5899999999999</v>
      </c>
      <c r="AC51" t="str">
        <f>INDEX(script.out!Q:Q,results.txt!$M51)</f>
        <v>}</v>
      </c>
      <c r="AD51">
        <f t="shared" si="0"/>
        <v>1</v>
      </c>
    </row>
    <row r="52" spans="1:30" x14ac:dyDescent="0.25">
      <c r="A52" s="12" t="s">
        <v>2</v>
      </c>
      <c r="B52" s="12">
        <v>-3</v>
      </c>
      <c r="C52" s="12">
        <v>1.08531</v>
      </c>
      <c r="D52" s="12">
        <v>8.5301100000000005E-2</v>
      </c>
      <c r="E52" s="12">
        <v>0.629355</v>
      </c>
      <c r="F52" s="12">
        <v>-3</v>
      </c>
      <c r="G52" s="12">
        <v>50.319899999999997</v>
      </c>
      <c r="H52" s="12">
        <v>42.25</v>
      </c>
      <c r="I52" s="12">
        <v>186.43700000000001</v>
      </c>
      <c r="J52" s="12" t="s">
        <v>3</v>
      </c>
      <c r="K52" s="12">
        <v>0</v>
      </c>
      <c r="M52">
        <f>MATCH(C52,script.out!B:B,0)</f>
        <v>470</v>
      </c>
      <c r="N52">
        <f>INDEX(script.out!B:B,results.txt!$M52)</f>
        <v>1.08531</v>
      </c>
      <c r="O52">
        <f>INDEX(script.out!C:C,results.txt!$M52)</f>
        <v>8.5301100000000005E-2</v>
      </c>
      <c r="P52">
        <f>INDEX(script.out!D:D,results.txt!$M52)</f>
        <v>0.629355</v>
      </c>
      <c r="Q52">
        <f>INDEX(script.out!E:E,results.txt!$M52)</f>
        <v>50.3198907205309</v>
      </c>
      <c r="R52">
        <f>INDEX(script.out!F:F,results.txt!$M52)</f>
        <v>42.25</v>
      </c>
      <c r="S52">
        <f>INDEX(script.out!G:G,results.txt!$M52)</f>
        <v>186.43695318746401</v>
      </c>
      <c r="T52" t="str">
        <f>INDEX(script.out!H:H,results.txt!$M52)</f>
        <v>{</v>
      </c>
      <c r="U52">
        <f>INDEX(script.out!I:I,results.txt!$M52)</f>
        <v>1.1682399999999999</v>
      </c>
      <c r="V52">
        <f>INDEX(script.out!J:J,results.txt!$M52)</f>
        <v>142.65055000000001</v>
      </c>
      <c r="W52">
        <f>INDEX(script.out!K:K,results.txt!$M52)</f>
        <v>381.31945000000002</v>
      </c>
      <c r="X52" t="str">
        <f>INDEX(script.out!L:L,results.txt!$M52)</f>
        <v>}</v>
      </c>
      <c r="Y52" t="str">
        <f>INDEX(script.out!M:M,results.txt!$M52)</f>
        <v>{</v>
      </c>
      <c r="Z52">
        <f>INDEX(script.out!N:N,results.txt!$M52)</f>
        <v>17.093651437766699</v>
      </c>
      <c r="AA52">
        <f>INDEX(script.out!O:O,results.txt!$M52)</f>
        <v>14.5</v>
      </c>
      <c r="AB52">
        <f>INDEX(script.out!P:P,results.txt!$M52)</f>
        <v>2316.2199999999998</v>
      </c>
      <c r="AC52" t="str">
        <f>INDEX(script.out!Q:Q,results.txt!$M52)</f>
        <v>}</v>
      </c>
      <c r="AD52">
        <f t="shared" si="0"/>
        <v>1</v>
      </c>
    </row>
    <row r="53" spans="1:30" x14ac:dyDescent="0.25">
      <c r="A53" s="12" t="s">
        <v>2</v>
      </c>
      <c r="B53" s="12">
        <v>-3</v>
      </c>
      <c r="C53" s="12">
        <v>0.98506499999999997</v>
      </c>
      <c r="D53" s="12">
        <v>0.28023100000000001</v>
      </c>
      <c r="E53" s="12">
        <v>0.97312799999999999</v>
      </c>
      <c r="F53" s="12">
        <v>-3</v>
      </c>
      <c r="G53" s="12">
        <v>352.41699999999997</v>
      </c>
      <c r="H53" s="12">
        <v>30.25</v>
      </c>
      <c r="I53" s="12">
        <v>73.499899999999997</v>
      </c>
      <c r="J53" s="12" t="s">
        <v>3</v>
      </c>
      <c r="K53" s="12">
        <v>1</v>
      </c>
      <c r="M53">
        <f>MATCH(C53,script.out!B:B,0)</f>
        <v>478</v>
      </c>
      <c r="N53">
        <f>INDEX(script.out!B:B,results.txt!$M53)</f>
        <v>0.98506499999999997</v>
      </c>
      <c r="O53">
        <f>INDEX(script.out!C:C,results.txt!$M53)</f>
        <v>0.28023100000000001</v>
      </c>
      <c r="P53">
        <f>INDEX(script.out!D:D,results.txt!$M53)</f>
        <v>0.97312799999999999</v>
      </c>
      <c r="Q53">
        <f>INDEX(script.out!E:E,results.txt!$M53)</f>
        <v>352.41668193472401</v>
      </c>
      <c r="R53">
        <f>INDEX(script.out!F:F,results.txt!$M53)</f>
        <v>30.25</v>
      </c>
      <c r="S53">
        <f>INDEX(script.out!G:G,results.txt!$M53)</f>
        <v>73.499852192906701</v>
      </c>
      <c r="T53" t="str">
        <f>INDEX(script.out!H:H,results.txt!$M53)</f>
        <v>{</v>
      </c>
      <c r="U53">
        <f>INDEX(script.out!I:I,results.txt!$M53)</f>
        <v>1.088052</v>
      </c>
      <c r="V53">
        <f>INDEX(script.out!J:J,results.txt!$M53)</f>
        <v>240.1155</v>
      </c>
      <c r="W53">
        <f>INDEX(script.out!K:K,results.txt!$M53)</f>
        <v>584.14552000000003</v>
      </c>
      <c r="X53" t="str">
        <f>INDEX(script.out!L:L,results.txt!$M53)</f>
        <v>}</v>
      </c>
      <c r="Y53" t="str">
        <f>INDEX(script.out!M:M,results.txt!$M53)</f>
        <v>{</v>
      </c>
      <c r="Z53">
        <f>INDEX(script.out!N:N,results.txt!$M53)</f>
        <v>28.7727643658232</v>
      </c>
      <c r="AA53">
        <f>INDEX(script.out!O:O,results.txt!$M53)</f>
        <v>13.5</v>
      </c>
      <c r="AB53">
        <f>INDEX(script.out!P:P,results.txt!$M53)</f>
        <v>4170.78</v>
      </c>
      <c r="AC53" t="str">
        <f>INDEX(script.out!Q:Q,results.txt!$M53)</f>
        <v>}</v>
      </c>
      <c r="AD53">
        <f t="shared" si="0"/>
        <v>1</v>
      </c>
    </row>
    <row r="54" spans="1:30" x14ac:dyDescent="0.25">
      <c r="A54" s="12" t="s">
        <v>2</v>
      </c>
      <c r="B54" s="12">
        <v>-3</v>
      </c>
      <c r="C54" s="12">
        <v>0.81649400000000005</v>
      </c>
      <c r="D54" s="12">
        <v>0.18428800000000001</v>
      </c>
      <c r="E54" s="12">
        <v>0.390376</v>
      </c>
      <c r="F54" s="12">
        <v>-3</v>
      </c>
      <c r="G54" s="12">
        <v>169.63499999999999</v>
      </c>
      <c r="H54" s="12">
        <v>49</v>
      </c>
      <c r="I54" s="12">
        <v>14.4344</v>
      </c>
      <c r="J54" s="12" t="s">
        <v>3</v>
      </c>
      <c r="K54" s="12">
        <v>1</v>
      </c>
      <c r="M54">
        <f>MATCH(C54,script.out!B:B,0)</f>
        <v>488</v>
      </c>
      <c r="N54">
        <f>INDEX(script.out!B:B,results.txt!$M54)</f>
        <v>0.81649400000000005</v>
      </c>
      <c r="O54">
        <f>INDEX(script.out!C:C,results.txt!$M54)</f>
        <v>0.18428800000000001</v>
      </c>
      <c r="P54">
        <f>INDEX(script.out!D:D,results.txt!$M54)</f>
        <v>0.390376</v>
      </c>
      <c r="Q54">
        <f>INDEX(script.out!E:E,results.txt!$M54)</f>
        <v>169.63485629453299</v>
      </c>
      <c r="R54">
        <f>INDEX(script.out!F:F,results.txt!$M54)</f>
        <v>49</v>
      </c>
      <c r="S54">
        <f>INDEX(script.out!G:G,results.txt!$M54)</f>
        <v>14.4343786293863</v>
      </c>
      <c r="T54" t="str">
        <f>INDEX(script.out!H:H,results.txt!$M54)</f>
        <v>{</v>
      </c>
      <c r="U54">
        <f>INDEX(script.out!I:I,results.txt!$M54)</f>
        <v>0.95319500000000001</v>
      </c>
      <c r="V54">
        <f>INDEX(script.out!J:J,results.txt!$M54)</f>
        <v>192.14400000000001</v>
      </c>
      <c r="W54">
        <f>INDEX(script.out!K:K,results.txt!$M54)</f>
        <v>240.32184000000001</v>
      </c>
      <c r="X54" t="str">
        <f>INDEX(script.out!L:L,results.txt!$M54)</f>
        <v>}</v>
      </c>
      <c r="Y54" t="str">
        <f>INDEX(script.out!M:M,results.txt!$M54)</f>
        <v>{</v>
      </c>
      <c r="Z54">
        <f>INDEX(script.out!N:N,results.txt!$M54)</f>
        <v>23.024394661347301</v>
      </c>
      <c r="AA54">
        <f>INDEX(script.out!O:O,results.txt!$M54)</f>
        <v>15</v>
      </c>
      <c r="AB54">
        <f>INDEX(script.out!P:P,results.txt!$M54)</f>
        <v>5913.27</v>
      </c>
      <c r="AC54" t="str">
        <f>INDEX(script.out!Q:Q,results.txt!$M54)</f>
        <v>}</v>
      </c>
      <c r="AD54">
        <f t="shared" si="0"/>
        <v>1</v>
      </c>
    </row>
    <row r="55" spans="1:30" x14ac:dyDescent="0.25">
      <c r="A55" s="12" t="s">
        <v>2</v>
      </c>
      <c r="B55" s="12">
        <v>-3</v>
      </c>
      <c r="C55" s="12">
        <v>0.97189800000000004</v>
      </c>
      <c r="D55" s="12">
        <v>0.33537</v>
      </c>
      <c r="E55" s="12">
        <v>0.59831800000000002</v>
      </c>
      <c r="F55" s="12">
        <v>-3</v>
      </c>
      <c r="G55" s="12">
        <v>487.36700000000002</v>
      </c>
      <c r="H55" s="12">
        <v>30.25</v>
      </c>
      <c r="I55" s="12">
        <v>0.41519499999999998</v>
      </c>
      <c r="J55" s="12" t="s">
        <v>3</v>
      </c>
      <c r="K55" s="12">
        <v>0</v>
      </c>
      <c r="M55">
        <f>MATCH(C55,script.out!B:B,0)</f>
        <v>489</v>
      </c>
      <c r="N55">
        <f>INDEX(script.out!B:B,results.txt!$M55)</f>
        <v>0.97189800000000004</v>
      </c>
      <c r="O55">
        <f>INDEX(script.out!C:C,results.txt!$M55)</f>
        <v>0.33537</v>
      </c>
      <c r="P55">
        <f>INDEX(script.out!D:D,results.txt!$M55)</f>
        <v>0.59831800000000002</v>
      </c>
      <c r="Q55">
        <f>INDEX(script.out!E:E,results.txt!$M55)</f>
        <v>487.36681269450997</v>
      </c>
      <c r="R55">
        <f>INDEX(script.out!F:F,results.txt!$M55)</f>
        <v>30.25</v>
      </c>
      <c r="S55">
        <f>INDEX(script.out!G:G,results.txt!$M55)</f>
        <v>0.41519486657909499</v>
      </c>
      <c r="T55" t="str">
        <f>INDEX(script.out!H:H,results.txt!$M55)</f>
        <v>{</v>
      </c>
      <c r="U55">
        <f>INDEX(script.out!I:I,results.txt!$M55)</f>
        <v>1.077518</v>
      </c>
      <c r="V55">
        <f>INDEX(script.out!J:J,results.txt!$M55)</f>
        <v>267.685</v>
      </c>
      <c r="W55">
        <f>INDEX(script.out!K:K,results.txt!$M55)</f>
        <v>363.00761999999997</v>
      </c>
      <c r="X55" t="str">
        <f>INDEX(script.out!L:L,results.txt!$M55)</f>
        <v>}</v>
      </c>
      <c r="Y55" t="str">
        <f>INDEX(script.out!M:M,results.txt!$M55)</f>
        <v>{</v>
      </c>
      <c r="Z55">
        <f>INDEX(script.out!N:N,results.txt!$M55)</f>
        <v>32.076385861243402</v>
      </c>
      <c r="AA55">
        <f>INDEX(script.out!O:O,results.txt!$M55)</f>
        <v>13.5</v>
      </c>
      <c r="AB55">
        <f>INDEX(script.out!P:P,results.txt!$M55)</f>
        <v>7064.81</v>
      </c>
      <c r="AC55" t="str">
        <f>INDEX(script.out!Q:Q,results.txt!$M55)</f>
        <v>}</v>
      </c>
      <c r="AD55">
        <f t="shared" si="0"/>
        <v>1</v>
      </c>
    </row>
    <row r="56" spans="1:30" x14ac:dyDescent="0.25">
      <c r="A56" s="12" t="s">
        <v>2</v>
      </c>
      <c r="B56" s="12">
        <v>-3</v>
      </c>
      <c r="C56" s="12">
        <v>1.0082899999999999</v>
      </c>
      <c r="D56" s="12">
        <v>7.0639199999999996E-3</v>
      </c>
      <c r="E56" s="12">
        <v>0.65167799999999998</v>
      </c>
      <c r="F56" s="12">
        <v>-3</v>
      </c>
      <c r="G56" s="12">
        <v>5.78939</v>
      </c>
      <c r="H56" s="12">
        <v>64</v>
      </c>
      <c r="I56" s="12">
        <v>257.399</v>
      </c>
      <c r="J56" s="12" t="s">
        <v>3</v>
      </c>
      <c r="K56" s="12">
        <v>0</v>
      </c>
      <c r="M56">
        <f>MATCH(C56,script.out!B:B,0)</f>
        <v>493</v>
      </c>
      <c r="N56">
        <f>INDEX(script.out!B:B,results.txt!$M56)</f>
        <v>1.0082899999999999</v>
      </c>
      <c r="O56">
        <f>INDEX(script.out!C:C,results.txt!$M56)</f>
        <v>7.0639199999999996E-3</v>
      </c>
      <c r="P56">
        <f>INDEX(script.out!D:D,results.txt!$M56)</f>
        <v>0.65167799999999998</v>
      </c>
      <c r="Q56">
        <f>INDEX(script.out!E:E,results.txt!$M56)</f>
        <v>5.7893930633781201</v>
      </c>
      <c r="R56">
        <f>INDEX(script.out!F:F,results.txt!$M56)</f>
        <v>64</v>
      </c>
      <c r="S56">
        <f>INDEX(script.out!G:G,results.txt!$M56)</f>
        <v>257.399386628635</v>
      </c>
      <c r="T56" t="str">
        <f>INDEX(script.out!H:H,results.txt!$M56)</f>
        <v>{</v>
      </c>
      <c r="U56">
        <f>INDEX(script.out!I:I,results.txt!$M56)</f>
        <v>1.10663</v>
      </c>
      <c r="V56">
        <f>INDEX(script.out!J:J,results.txt!$M56)</f>
        <v>103.53196</v>
      </c>
      <c r="W56">
        <f>INDEX(script.out!K:K,results.txt!$M56)</f>
        <v>394.49002000000002</v>
      </c>
      <c r="X56" t="str">
        <f>INDEX(script.out!L:L,results.txt!$M56)</f>
        <v>}</v>
      </c>
      <c r="Y56" t="str">
        <f>INDEX(script.out!M:M,results.txt!$M56)</f>
        <v>{</v>
      </c>
      <c r="Z56">
        <f>INDEX(script.out!N:N,results.txt!$M56)</f>
        <v>12.406115762671799</v>
      </c>
      <c r="AA56">
        <f>INDEX(script.out!O:O,results.txt!$M56)</f>
        <v>16</v>
      </c>
      <c r="AB56">
        <f>INDEX(script.out!P:P,results.txt!$M56)</f>
        <v>1444.06</v>
      </c>
      <c r="AC56" t="str">
        <f>INDEX(script.out!Q:Q,results.txt!$M56)</f>
        <v>}</v>
      </c>
      <c r="AD56">
        <f t="shared" si="0"/>
        <v>1</v>
      </c>
    </row>
    <row r="57" spans="1:30" x14ac:dyDescent="0.25">
      <c r="A57" s="12" t="s">
        <v>2</v>
      </c>
      <c r="B57" s="12">
        <v>-3</v>
      </c>
      <c r="C57" s="12">
        <v>0.54724600000000001</v>
      </c>
      <c r="D57" s="12">
        <v>2.8610500000000001E-2</v>
      </c>
      <c r="E57" s="12">
        <v>0.16910900000000001</v>
      </c>
      <c r="F57" s="12">
        <v>-3</v>
      </c>
      <c r="G57" s="12">
        <v>13.6683</v>
      </c>
      <c r="H57" s="12">
        <v>100</v>
      </c>
      <c r="I57" s="12">
        <v>0.345808</v>
      </c>
      <c r="J57" s="12" t="s">
        <v>3</v>
      </c>
      <c r="K57" s="12">
        <v>0</v>
      </c>
      <c r="M57">
        <f>MATCH(C57,script.out!B:B,0)</f>
        <v>496</v>
      </c>
      <c r="N57">
        <f>INDEX(script.out!B:B,results.txt!$M57)</f>
        <v>0.54724600000000001</v>
      </c>
      <c r="O57">
        <f>INDEX(script.out!C:C,results.txt!$M57)</f>
        <v>2.8610500000000001E-2</v>
      </c>
      <c r="P57">
        <f>INDEX(script.out!D:D,results.txt!$M57)</f>
        <v>0.16910900000000001</v>
      </c>
      <c r="Q57">
        <f>INDEX(script.out!E:E,results.txt!$M57)</f>
        <v>13.6683023327585</v>
      </c>
      <c r="R57">
        <f>INDEX(script.out!F:F,results.txt!$M57)</f>
        <v>100</v>
      </c>
      <c r="S57">
        <f>INDEX(script.out!G:G,results.txt!$M57)</f>
        <v>0.345808441358603</v>
      </c>
      <c r="T57" t="str">
        <f>INDEX(script.out!H:H,results.txt!$M57)</f>
        <v>{</v>
      </c>
      <c r="U57">
        <f>INDEX(script.out!I:I,results.txt!$M57)</f>
        <v>0.73779600000000001</v>
      </c>
      <c r="V57">
        <f>INDEX(script.out!J:J,results.txt!$M57)</f>
        <v>114.30525</v>
      </c>
      <c r="W57">
        <f>INDEX(script.out!K:K,results.txt!$M57)</f>
        <v>109.77431</v>
      </c>
      <c r="X57" t="str">
        <f>INDEX(script.out!L:L,results.txt!$M57)</f>
        <v>}</v>
      </c>
      <c r="Y57" t="str">
        <f>INDEX(script.out!M:M,results.txt!$M57)</f>
        <v>{</v>
      </c>
      <c r="Z57">
        <f>INDEX(script.out!N:N,results.txt!$M57)</f>
        <v>13.6970667200848</v>
      </c>
      <c r="AA57">
        <f>INDEX(script.out!O:O,results.txt!$M57)</f>
        <v>18</v>
      </c>
      <c r="AB57">
        <f>INDEX(script.out!P:P,results.txt!$M57)</f>
        <v>7514.64</v>
      </c>
      <c r="AC57" t="str">
        <f>INDEX(script.out!Q:Q,results.txt!$M57)</f>
        <v>}</v>
      </c>
      <c r="AD57">
        <f t="shared" si="0"/>
        <v>1</v>
      </c>
    </row>
    <row r="58" spans="1:30" x14ac:dyDescent="0.25">
      <c r="A58" s="12" t="s">
        <v>2</v>
      </c>
      <c r="B58" s="12">
        <v>-3</v>
      </c>
      <c r="C58" s="12">
        <v>0.58903499999999998</v>
      </c>
      <c r="D58" s="12">
        <v>-2.26424E-2</v>
      </c>
      <c r="E58" s="12">
        <v>0.14132400000000001</v>
      </c>
      <c r="F58" s="12">
        <v>-3</v>
      </c>
      <c r="G58" s="12">
        <v>0.39222499999999999</v>
      </c>
      <c r="H58" s="12">
        <v>132.25</v>
      </c>
      <c r="I58" s="12">
        <v>23.522500000000001</v>
      </c>
      <c r="J58" s="12" t="s">
        <v>3</v>
      </c>
      <c r="K58" s="12">
        <v>0</v>
      </c>
      <c r="M58">
        <f>MATCH(C58,script.out!B:B,0)</f>
        <v>503</v>
      </c>
      <c r="N58">
        <f>INDEX(script.out!B:B,results.txt!$M58)</f>
        <v>0.58903499999999998</v>
      </c>
      <c r="O58">
        <f>INDEX(script.out!C:C,results.txt!$M58)</f>
        <v>-2.26424E-2</v>
      </c>
      <c r="P58">
        <f>INDEX(script.out!D:D,results.txt!$M58)</f>
        <v>0.14132400000000001</v>
      </c>
      <c r="Q58">
        <f>INDEX(script.out!E:E,results.txt!$M58)</f>
        <v>0.39222497592724698</v>
      </c>
      <c r="R58">
        <f>INDEX(script.out!F:F,results.txt!$M58)</f>
        <v>132.25</v>
      </c>
      <c r="S58">
        <f>INDEX(script.out!G:G,results.txt!$M58)</f>
        <v>23.522500000000001</v>
      </c>
      <c r="T58" t="str">
        <f>INDEX(script.out!H:H,results.txt!$M58)</f>
        <v>{</v>
      </c>
      <c r="U58">
        <f>INDEX(script.out!I:I,results.txt!$M58)</f>
        <v>0.77122800000000002</v>
      </c>
      <c r="V58">
        <f>INDEX(script.out!J:J,results.txt!$M58)</f>
        <v>88.678799999999995</v>
      </c>
      <c r="W58">
        <f>INDEX(script.out!K:K,results.txt!$M58)</f>
        <v>93.381159999999994</v>
      </c>
      <c r="X58" t="str">
        <f>INDEX(script.out!L:L,results.txt!$M58)</f>
        <v>}</v>
      </c>
      <c r="Y58" t="str">
        <f>INDEX(script.out!M:M,results.txt!$M58)</f>
        <v>{</v>
      </c>
      <c r="Z58">
        <f>INDEX(script.out!N:N,results.txt!$M58)</f>
        <v>10.6262786727386</v>
      </c>
      <c r="AA58">
        <f>INDEX(script.out!O:O,results.txt!$M58)</f>
        <v>19.5</v>
      </c>
      <c r="AB58">
        <f>INDEX(script.out!P:P,results.txt!$M58)</f>
        <v>5529.75</v>
      </c>
      <c r="AC58" t="str">
        <f>INDEX(script.out!Q:Q,results.txt!$M58)</f>
        <v>}</v>
      </c>
      <c r="AD58">
        <f t="shared" si="0"/>
        <v>1</v>
      </c>
    </row>
    <row r="59" spans="1:30" x14ac:dyDescent="0.25">
      <c r="A59" s="12" t="s">
        <v>2</v>
      </c>
      <c r="B59" s="12">
        <v>-3</v>
      </c>
      <c r="C59" s="12">
        <v>1.0341</v>
      </c>
      <c r="D59" s="12">
        <v>2.1169E-2</v>
      </c>
      <c r="E59" s="12">
        <v>0.63848000000000005</v>
      </c>
      <c r="F59" s="12">
        <v>-3</v>
      </c>
      <c r="G59" s="12">
        <v>10.570399999999999</v>
      </c>
      <c r="H59" s="12">
        <v>64</v>
      </c>
      <c r="I59" s="12">
        <v>248.036</v>
      </c>
      <c r="J59" s="12" t="s">
        <v>3</v>
      </c>
      <c r="K59" s="12">
        <v>1</v>
      </c>
      <c r="M59">
        <f>MATCH(C59,script.out!B:B,0)</f>
        <v>504</v>
      </c>
      <c r="N59">
        <f>INDEX(script.out!B:B,results.txt!$M59)</f>
        <v>1.0341</v>
      </c>
      <c r="O59">
        <f>INDEX(script.out!C:C,results.txt!$M59)</f>
        <v>2.1169E-2</v>
      </c>
      <c r="P59">
        <f>INDEX(script.out!D:D,results.txt!$M59)</f>
        <v>0.63848000000000005</v>
      </c>
      <c r="Q59">
        <f>INDEX(script.out!E:E,results.txt!$M59)</f>
        <v>10.5703893810875</v>
      </c>
      <c r="R59">
        <f>INDEX(script.out!F:F,results.txt!$M59)</f>
        <v>64</v>
      </c>
      <c r="S59">
        <f>INDEX(script.out!G:G,results.txt!$M59)</f>
        <v>248.03574729667801</v>
      </c>
      <c r="T59" t="str">
        <f>INDEX(script.out!H:H,results.txt!$M59)</f>
        <v>{</v>
      </c>
      <c r="U59">
        <f>INDEX(script.out!I:I,results.txt!$M59)</f>
        <v>1.1272</v>
      </c>
      <c r="V59">
        <f>INDEX(script.out!J:J,results.txt!$M59)</f>
        <v>110.58450000000001</v>
      </c>
      <c r="W59">
        <f>INDEX(script.out!K:K,results.txt!$M59)</f>
        <v>386.70319999999998</v>
      </c>
      <c r="X59" t="str">
        <f>INDEX(script.out!L:L,results.txt!$M59)</f>
        <v>}</v>
      </c>
      <c r="Y59" t="str">
        <f>INDEX(script.out!M:M,results.txt!$M59)</f>
        <v>{</v>
      </c>
      <c r="Z59">
        <f>INDEX(script.out!N:N,results.txt!$M59)</f>
        <v>13.251213524376301</v>
      </c>
      <c r="AA59">
        <f>INDEX(script.out!O:O,results.txt!$M59)</f>
        <v>16</v>
      </c>
      <c r="AB59">
        <f>INDEX(script.out!P:P,results.txt!$M59)</f>
        <v>1551.56</v>
      </c>
      <c r="AC59" t="str">
        <f>INDEX(script.out!Q:Q,results.txt!$M59)</f>
        <v>}</v>
      </c>
      <c r="AD59">
        <f t="shared" si="0"/>
        <v>1</v>
      </c>
    </row>
    <row r="60" spans="1:30" x14ac:dyDescent="0.25">
      <c r="A60" s="12" t="s">
        <v>2</v>
      </c>
      <c r="B60" s="12">
        <v>-3</v>
      </c>
      <c r="C60" s="12">
        <v>0.97984899999999997</v>
      </c>
      <c r="D60" s="12">
        <v>0.121187</v>
      </c>
      <c r="E60" s="12">
        <v>0.53483199999999997</v>
      </c>
      <c r="F60" s="12">
        <v>-3</v>
      </c>
      <c r="G60" s="12">
        <v>85.446600000000004</v>
      </c>
      <c r="H60" s="12">
        <v>42.25</v>
      </c>
      <c r="I60" s="12">
        <v>87.457899999999995</v>
      </c>
      <c r="J60" s="12" t="s">
        <v>3</v>
      </c>
      <c r="K60" s="12">
        <v>1</v>
      </c>
      <c r="M60">
        <f>MATCH(C60,script.out!B:B,0)</f>
        <v>515</v>
      </c>
      <c r="N60">
        <f>INDEX(script.out!B:B,results.txt!$M60)</f>
        <v>0.97984899999999997</v>
      </c>
      <c r="O60">
        <f>INDEX(script.out!C:C,results.txt!$M60)</f>
        <v>0.121187</v>
      </c>
      <c r="P60">
        <f>INDEX(script.out!D:D,results.txt!$M60)</f>
        <v>0.53483199999999997</v>
      </c>
      <c r="Q60">
        <f>INDEX(script.out!E:E,results.txt!$M60)</f>
        <v>85.446627725776395</v>
      </c>
      <c r="R60">
        <f>INDEX(script.out!F:F,results.txt!$M60)</f>
        <v>42.25</v>
      </c>
      <c r="S60">
        <f>INDEX(script.out!G:G,results.txt!$M60)</f>
        <v>87.457854258585101</v>
      </c>
      <c r="T60" t="str">
        <f>INDEX(script.out!H:H,results.txt!$M60)</f>
        <v>{</v>
      </c>
      <c r="U60">
        <f>INDEX(script.out!I:I,results.txt!$M60)</f>
        <v>1.083879</v>
      </c>
      <c r="V60">
        <f>INDEX(script.out!J:J,results.txt!$M60)</f>
        <v>160.59350000000001</v>
      </c>
      <c r="W60">
        <f>INDEX(script.out!K:K,results.txt!$M60)</f>
        <v>325.55088000000001</v>
      </c>
      <c r="X60" t="str">
        <f>INDEX(script.out!L:L,results.txt!$M60)</f>
        <v>}</v>
      </c>
      <c r="Y60" t="str">
        <f>INDEX(script.out!M:M,results.txt!$M60)</f>
        <v>{</v>
      </c>
      <c r="Z60">
        <f>INDEX(script.out!N:N,results.txt!$M60)</f>
        <v>19.243734511861302</v>
      </c>
      <c r="AA60">
        <f>INDEX(script.out!O:O,results.txt!$M60)</f>
        <v>14.5</v>
      </c>
      <c r="AB60">
        <f>INDEX(script.out!P:P,results.txt!$M60)</f>
        <v>3886.56</v>
      </c>
      <c r="AC60" t="str">
        <f>INDEX(script.out!Q:Q,results.txt!$M60)</f>
        <v>}</v>
      </c>
      <c r="AD60">
        <f t="shared" si="0"/>
        <v>1</v>
      </c>
    </row>
    <row r="61" spans="1:30" x14ac:dyDescent="0.25">
      <c r="A61" s="12" t="s">
        <v>2</v>
      </c>
      <c r="B61" s="12">
        <v>-3</v>
      </c>
      <c r="C61" s="12">
        <v>7.9056799999999997E-2</v>
      </c>
      <c r="D61" s="12">
        <v>8.1458799999999994E-3</v>
      </c>
      <c r="E61" s="12">
        <v>5.9854200000000003E-2</v>
      </c>
      <c r="F61" s="12">
        <v>-3</v>
      </c>
      <c r="G61" s="12">
        <v>6.10555</v>
      </c>
      <c r="H61" s="12">
        <v>121</v>
      </c>
      <c r="I61" s="12">
        <v>4.7760800000000003</v>
      </c>
      <c r="J61" s="12" t="s">
        <v>3</v>
      </c>
      <c r="K61" s="12">
        <v>0</v>
      </c>
      <c r="M61">
        <f>MATCH(C61,script.out!B:B,0)</f>
        <v>523</v>
      </c>
      <c r="N61">
        <f>INDEX(script.out!B:B,results.txt!$M61)</f>
        <v>7.9056799999999997E-2</v>
      </c>
      <c r="O61">
        <f>INDEX(script.out!C:C,results.txt!$M61)</f>
        <v>8.1458799999999994E-3</v>
      </c>
      <c r="P61">
        <f>INDEX(script.out!D:D,results.txt!$M61)</f>
        <v>5.9854200000000003E-2</v>
      </c>
      <c r="Q61">
        <f>INDEX(script.out!E:E,results.txt!$M61)</f>
        <v>6.1055483098314101</v>
      </c>
      <c r="R61">
        <f>INDEX(script.out!F:F,results.txt!$M61)</f>
        <v>121</v>
      </c>
      <c r="S61">
        <f>INDEX(script.out!G:G,results.txt!$M61)</f>
        <v>4.7760809337586698</v>
      </c>
      <c r="T61" t="str">
        <f>INDEX(script.out!H:H,results.txt!$M61)</f>
        <v>{</v>
      </c>
      <c r="U61">
        <f>INDEX(script.out!I:I,results.txt!$M61)</f>
        <v>0.3632454</v>
      </c>
      <c r="V61">
        <f>INDEX(script.out!J:J,results.txt!$M61)</f>
        <v>104.07294</v>
      </c>
      <c r="W61">
        <f>INDEX(script.out!K:K,results.txt!$M61)</f>
        <v>45.313977999999999</v>
      </c>
      <c r="X61" t="str">
        <f>INDEX(script.out!L:L,results.txt!$M61)</f>
        <v>}</v>
      </c>
      <c r="Y61" t="str">
        <f>INDEX(script.out!M:M,results.txt!$M61)</f>
        <v>{</v>
      </c>
      <c r="Z61">
        <f>INDEX(script.out!N:N,results.txt!$M61)</f>
        <v>12.4709407742459</v>
      </c>
      <c r="AA61">
        <f>INDEX(script.out!O:O,results.txt!$M61)</f>
        <v>19</v>
      </c>
      <c r="AB61">
        <f>INDEX(script.out!P:P,results.txt!$M61)</f>
        <v>8097.68</v>
      </c>
      <c r="AC61" t="str">
        <f>INDEX(script.out!Q:Q,results.txt!$M61)</f>
        <v>}</v>
      </c>
      <c r="AD61">
        <f t="shared" si="0"/>
        <v>1</v>
      </c>
    </row>
    <row r="62" spans="1:30" x14ac:dyDescent="0.25">
      <c r="A62" s="12" t="s">
        <v>2</v>
      </c>
      <c r="B62" s="12">
        <v>-3</v>
      </c>
      <c r="C62" s="12">
        <v>1.1535500000000001</v>
      </c>
      <c r="D62" s="12">
        <v>0.15155099999999999</v>
      </c>
      <c r="E62" s="12">
        <v>0.76579399999999997</v>
      </c>
      <c r="F62" s="12">
        <v>-3</v>
      </c>
      <c r="G62" s="12">
        <v>122.389</v>
      </c>
      <c r="H62" s="12">
        <v>30.25</v>
      </c>
      <c r="I62" s="12">
        <v>143.226</v>
      </c>
      <c r="J62" s="12" t="s">
        <v>3</v>
      </c>
      <c r="K62" s="12">
        <v>0</v>
      </c>
      <c r="M62">
        <f>MATCH(C62,script.out!B:B,0)</f>
        <v>529</v>
      </c>
      <c r="N62">
        <f>INDEX(script.out!B:B,results.txt!$M62)</f>
        <v>1.1535500000000001</v>
      </c>
      <c r="O62">
        <f>INDEX(script.out!C:C,results.txt!$M62)</f>
        <v>0.15155099999999999</v>
      </c>
      <c r="P62">
        <f>INDEX(script.out!D:D,results.txt!$M62)</f>
        <v>0.76579399999999997</v>
      </c>
      <c r="Q62">
        <f>INDEX(script.out!E:E,results.txt!$M62)</f>
        <v>122.389440654073</v>
      </c>
      <c r="R62">
        <f>INDEX(script.out!F:F,results.txt!$M62)</f>
        <v>30.25</v>
      </c>
      <c r="S62">
        <f>INDEX(script.out!G:G,results.txt!$M62)</f>
        <v>143.22646626684099</v>
      </c>
      <c r="T62" t="str">
        <f>INDEX(script.out!H:H,results.txt!$M62)</f>
        <v>{</v>
      </c>
      <c r="U62">
        <f>INDEX(script.out!I:I,results.txt!$M62)</f>
        <v>1.2228399999999999</v>
      </c>
      <c r="V62">
        <f>INDEX(script.out!J:J,results.txt!$M62)</f>
        <v>175.77549999999999</v>
      </c>
      <c r="W62">
        <f>INDEX(script.out!K:K,results.txt!$M62)</f>
        <v>461.81846000000002</v>
      </c>
      <c r="X62" t="str">
        <f>INDEX(script.out!L:L,results.txt!$M62)</f>
        <v>}</v>
      </c>
      <c r="Y62" t="str">
        <f>INDEX(script.out!M:M,results.txt!$M62)</f>
        <v>{</v>
      </c>
      <c r="Z62">
        <f>INDEX(script.out!N:N,results.txt!$M62)</f>
        <v>21.062976121011602</v>
      </c>
      <c r="AA62">
        <f>INDEX(script.out!O:O,results.txt!$M62)</f>
        <v>13.5</v>
      </c>
      <c r="AB62">
        <f>INDEX(script.out!P:P,results.txt!$M62)</f>
        <v>2931.78</v>
      </c>
      <c r="AC62" t="str">
        <f>INDEX(script.out!Q:Q,results.txt!$M62)</f>
        <v>}</v>
      </c>
      <c r="AD62">
        <f t="shared" si="0"/>
        <v>1</v>
      </c>
    </row>
    <row r="63" spans="1:30" x14ac:dyDescent="0.25">
      <c r="A63" s="12" t="s">
        <v>2</v>
      </c>
      <c r="B63" s="12">
        <v>-3</v>
      </c>
      <c r="C63" s="12">
        <v>1.04844</v>
      </c>
      <c r="D63" s="12">
        <v>0.106104</v>
      </c>
      <c r="E63" s="12">
        <v>0.63535299999999995</v>
      </c>
      <c r="F63" s="12">
        <v>-3</v>
      </c>
      <c r="G63" s="12">
        <v>69.556399999999996</v>
      </c>
      <c r="H63" s="12">
        <v>36</v>
      </c>
      <c r="I63" s="12">
        <v>131.08199999999999</v>
      </c>
      <c r="J63" s="12" t="s">
        <v>3</v>
      </c>
      <c r="K63" s="12">
        <v>1</v>
      </c>
      <c r="M63">
        <f>MATCH(C63,script.out!B:B,0)</f>
        <v>531</v>
      </c>
      <c r="N63">
        <f>INDEX(script.out!B:B,results.txt!$M63)</f>
        <v>1.04844</v>
      </c>
      <c r="O63">
        <f>INDEX(script.out!C:C,results.txt!$M63)</f>
        <v>0.106104</v>
      </c>
      <c r="P63">
        <f>INDEX(script.out!D:D,results.txt!$M63)</f>
        <v>0.63535299999999995</v>
      </c>
      <c r="Q63">
        <f>INDEX(script.out!E:E,results.txt!$M63)</f>
        <v>69.556354528330402</v>
      </c>
      <c r="R63">
        <f>INDEX(script.out!F:F,results.txt!$M63)</f>
        <v>36</v>
      </c>
      <c r="S63">
        <f>INDEX(script.out!G:G,results.txt!$M63)</f>
        <v>131.082424056295</v>
      </c>
      <c r="T63" t="str">
        <f>INDEX(script.out!H:H,results.txt!$M63)</f>
        <v>{</v>
      </c>
      <c r="U63">
        <f>INDEX(script.out!I:I,results.txt!$M63)</f>
        <v>1.1387499999999999</v>
      </c>
      <c r="V63">
        <f>INDEX(script.out!J:J,results.txt!$M63)</f>
        <v>153.05199999999999</v>
      </c>
      <c r="W63">
        <f>INDEX(script.out!K:K,results.txt!$M63)</f>
        <v>384.85827</v>
      </c>
      <c r="X63" t="str">
        <f>INDEX(script.out!L:L,results.txt!$M63)</f>
        <v>}</v>
      </c>
      <c r="Y63" t="str">
        <f>INDEX(script.out!M:M,results.txt!$M63)</f>
        <v>{</v>
      </c>
      <c r="Z63">
        <f>INDEX(script.out!N:N,results.txt!$M63)</f>
        <v>18.3400452353887</v>
      </c>
      <c r="AA63">
        <f>INDEX(script.out!O:O,results.txt!$M63)</f>
        <v>14</v>
      </c>
      <c r="AB63">
        <f>INDEX(script.out!P:P,results.txt!$M63)</f>
        <v>3121.07</v>
      </c>
      <c r="AC63" t="str">
        <f>INDEX(script.out!Q:Q,results.txt!$M63)</f>
        <v>}</v>
      </c>
      <c r="AD63">
        <f t="shared" si="0"/>
        <v>1</v>
      </c>
    </row>
    <row r="64" spans="1:30" x14ac:dyDescent="0.25">
      <c r="A64" s="12" t="s">
        <v>2</v>
      </c>
      <c r="B64" s="12">
        <v>-3</v>
      </c>
      <c r="C64" s="12">
        <v>0.48207100000000003</v>
      </c>
      <c r="D64" s="12">
        <v>-3.8701399999999997E-2</v>
      </c>
      <c r="E64" s="12">
        <v>0.14272000000000001</v>
      </c>
      <c r="F64" s="12">
        <v>-3</v>
      </c>
      <c r="G64" s="12">
        <v>0.11282</v>
      </c>
      <c r="H64" s="12">
        <v>144</v>
      </c>
      <c r="I64" s="12">
        <v>21.435099999999998</v>
      </c>
      <c r="J64" s="12" t="s">
        <v>3</v>
      </c>
      <c r="K64" s="12">
        <v>0</v>
      </c>
      <c r="M64">
        <f>MATCH(C64,script.out!B:B,0)</f>
        <v>538</v>
      </c>
      <c r="N64">
        <f>INDEX(script.out!B:B,results.txt!$M64)</f>
        <v>0.48207100000000003</v>
      </c>
      <c r="O64">
        <f>INDEX(script.out!C:C,results.txt!$M64)</f>
        <v>-3.8701399999999997E-2</v>
      </c>
      <c r="P64">
        <f>INDEX(script.out!D:D,results.txt!$M64)</f>
        <v>0.14272000000000001</v>
      </c>
      <c r="Q64">
        <f>INDEX(script.out!E:E,results.txt!$M64)</f>
        <v>0.112820132395655</v>
      </c>
      <c r="R64">
        <f>INDEX(script.out!F:F,results.txt!$M64)</f>
        <v>144</v>
      </c>
      <c r="S64">
        <f>INDEX(script.out!G:G,results.txt!$M64)</f>
        <v>21.435124146368899</v>
      </c>
      <c r="T64" t="str">
        <f>INDEX(script.out!H:H,results.txt!$M64)</f>
        <v>{</v>
      </c>
      <c r="U64">
        <f>INDEX(script.out!I:I,results.txt!$M64)</f>
        <v>0.68565600000000004</v>
      </c>
      <c r="V64">
        <f>INDEX(script.out!J:J,results.txt!$M64)</f>
        <v>80.649299999999997</v>
      </c>
      <c r="W64">
        <f>INDEX(script.out!K:K,results.txt!$M64)</f>
        <v>94.204800000000006</v>
      </c>
      <c r="X64" t="str">
        <f>INDEX(script.out!L:L,results.txt!$M64)</f>
        <v>}</v>
      </c>
      <c r="Y64" t="str">
        <f>INDEX(script.out!M:M,results.txt!$M64)</f>
        <v>{</v>
      </c>
      <c r="Z64">
        <f>INDEX(script.out!N:N,results.txt!$M64)</f>
        <v>9.6641129171943998</v>
      </c>
      <c r="AA64">
        <f>INDEX(script.out!O:O,results.txt!$M64)</f>
        <v>20</v>
      </c>
      <c r="AB64">
        <f>INDEX(script.out!P:P,results.txt!$M64)</f>
        <v>5610.12</v>
      </c>
      <c r="AC64" t="str">
        <f>INDEX(script.out!Q:Q,results.txt!$M64)</f>
        <v>}</v>
      </c>
      <c r="AD64">
        <f t="shared" si="0"/>
        <v>1</v>
      </c>
    </row>
    <row r="65" spans="1:30" x14ac:dyDescent="0.25">
      <c r="A65" s="12" t="s">
        <v>2</v>
      </c>
      <c r="B65" s="12">
        <v>-3</v>
      </c>
      <c r="C65" s="12">
        <v>1.0087699999999999</v>
      </c>
      <c r="D65" s="12">
        <v>-1.37647E-2</v>
      </c>
      <c r="E65" s="12">
        <v>0.62114599999999998</v>
      </c>
      <c r="F65" s="12">
        <v>-3</v>
      </c>
      <c r="G65" s="12">
        <v>1.34138</v>
      </c>
      <c r="H65" s="12">
        <v>81</v>
      </c>
      <c r="I65" s="12">
        <v>277.75400000000002</v>
      </c>
      <c r="J65" s="12" t="s">
        <v>3</v>
      </c>
      <c r="K65" s="12">
        <v>0</v>
      </c>
      <c r="M65">
        <f>MATCH(C65,script.out!B:B,0)</f>
        <v>540</v>
      </c>
      <c r="N65">
        <f>INDEX(script.out!B:B,results.txt!$M65)</f>
        <v>1.0087699999999999</v>
      </c>
      <c r="O65">
        <f>INDEX(script.out!C:C,results.txt!$M65)</f>
        <v>-1.37647E-2</v>
      </c>
      <c r="P65">
        <f>INDEX(script.out!D:D,results.txt!$M65)</f>
        <v>0.62114599999999998</v>
      </c>
      <c r="Q65">
        <f>INDEX(script.out!E:E,results.txt!$M65)</f>
        <v>1.34138315007831</v>
      </c>
      <c r="R65">
        <f>INDEX(script.out!F:F,results.txt!$M65)</f>
        <v>81</v>
      </c>
      <c r="S65">
        <f>INDEX(script.out!G:G,results.txt!$M65)</f>
        <v>277.75372959204299</v>
      </c>
      <c r="T65" t="str">
        <f>INDEX(script.out!H:H,results.txt!$M65)</f>
        <v>{</v>
      </c>
      <c r="U65">
        <f>INDEX(script.out!I:I,results.txt!$M65)</f>
        <v>1.10701</v>
      </c>
      <c r="V65">
        <f>INDEX(script.out!J:J,results.txt!$M65)</f>
        <v>93.117649999999998</v>
      </c>
      <c r="W65">
        <f>INDEX(script.out!K:K,results.txt!$M65)</f>
        <v>376.47613999999999</v>
      </c>
      <c r="X65" t="str">
        <f>INDEX(script.out!L:L,results.txt!$M65)</f>
        <v>}</v>
      </c>
      <c r="Y65" t="str">
        <f>INDEX(script.out!M:M,results.txt!$M65)</f>
        <v>{</v>
      </c>
      <c r="Z65">
        <f>INDEX(script.out!N:N,results.txt!$M65)</f>
        <v>11.158180966031701</v>
      </c>
      <c r="AA65">
        <f>INDEX(script.out!O:O,results.txt!$M65)</f>
        <v>17</v>
      </c>
      <c r="AB65">
        <f>INDEX(script.out!P:P,results.txt!$M65)</f>
        <v>1216.93</v>
      </c>
      <c r="AC65" t="str">
        <f>INDEX(script.out!Q:Q,results.txt!$M65)</f>
        <v>}</v>
      </c>
      <c r="AD65">
        <f t="shared" si="0"/>
        <v>1</v>
      </c>
    </row>
    <row r="66" spans="1:30" x14ac:dyDescent="0.25">
      <c r="A66" s="12" t="s">
        <v>2</v>
      </c>
      <c r="B66" s="12">
        <v>-3</v>
      </c>
      <c r="C66" s="12">
        <v>1.09198</v>
      </c>
      <c r="D66" s="12">
        <v>0.336783</v>
      </c>
      <c r="E66" s="12">
        <v>0.58521400000000001</v>
      </c>
      <c r="F66" s="12">
        <v>-3</v>
      </c>
      <c r="G66" s="12">
        <v>491.11200000000002</v>
      </c>
      <c r="H66" s="12">
        <v>25</v>
      </c>
      <c r="I66" s="12">
        <v>0.19220400000000001</v>
      </c>
      <c r="J66" s="12" t="s">
        <v>3</v>
      </c>
      <c r="K66" s="12">
        <v>0</v>
      </c>
      <c r="M66">
        <f>MATCH(C66,script.out!B:B,0)</f>
        <v>542</v>
      </c>
      <c r="N66">
        <f>INDEX(script.out!B:B,results.txt!$M66)</f>
        <v>1.09198</v>
      </c>
      <c r="O66">
        <f>INDEX(script.out!C:C,results.txt!$M66)</f>
        <v>0.336783</v>
      </c>
      <c r="P66">
        <f>INDEX(script.out!D:D,results.txt!$M66)</f>
        <v>0.58521400000000001</v>
      </c>
      <c r="Q66">
        <f>INDEX(script.out!E:E,results.txt!$M66)</f>
        <v>491.11191301715502</v>
      </c>
      <c r="R66">
        <f>INDEX(script.out!F:F,results.txt!$M66)</f>
        <v>25</v>
      </c>
      <c r="S66">
        <f>INDEX(script.out!G:G,results.txt!$M66)</f>
        <v>0.19220416888722</v>
      </c>
      <c r="T66" t="str">
        <f>INDEX(script.out!H:H,results.txt!$M66)</f>
        <v>{</v>
      </c>
      <c r="U66">
        <f>INDEX(script.out!I:I,results.txt!$M66)</f>
        <v>1.1735800000000001</v>
      </c>
      <c r="V66">
        <f>INDEX(script.out!J:J,results.txt!$M66)</f>
        <v>268.39150000000001</v>
      </c>
      <c r="W66">
        <f>INDEX(script.out!K:K,results.txt!$M66)</f>
        <v>355.27625999999998</v>
      </c>
      <c r="X66" t="str">
        <f>INDEX(script.out!L:L,results.txt!$M66)</f>
        <v>}</v>
      </c>
      <c r="Y66" t="str">
        <f>INDEX(script.out!M:M,results.txt!$M66)</f>
        <v>{</v>
      </c>
      <c r="Z66">
        <f>INDEX(script.out!N:N,results.txt!$M66)</f>
        <v>32.161044944161702</v>
      </c>
      <c r="AA66">
        <f>INDEX(script.out!O:O,results.txt!$M66)</f>
        <v>13</v>
      </c>
      <c r="AB66">
        <f>INDEX(script.out!P:P,results.txt!$M66)</f>
        <v>7139.98</v>
      </c>
      <c r="AC66" t="str">
        <f>INDEX(script.out!Q:Q,results.txt!$M66)</f>
        <v>}</v>
      </c>
      <c r="AD66">
        <f t="shared" si="0"/>
        <v>1</v>
      </c>
    </row>
    <row r="67" spans="1:30" x14ac:dyDescent="0.25">
      <c r="A67" s="12" t="s">
        <v>2</v>
      </c>
      <c r="B67" s="12">
        <v>-3</v>
      </c>
      <c r="C67" s="12">
        <v>0.97248500000000004</v>
      </c>
      <c r="D67" s="12">
        <v>0.105519</v>
      </c>
      <c r="E67" s="12">
        <v>0.585781</v>
      </c>
      <c r="F67" s="12">
        <v>-3</v>
      </c>
      <c r="G67" s="12">
        <v>68.972899999999996</v>
      </c>
      <c r="H67" s="12">
        <v>42.25</v>
      </c>
      <c r="I67" s="12">
        <v>112.02800000000001</v>
      </c>
      <c r="J67" s="12" t="s">
        <v>3</v>
      </c>
      <c r="K67" s="12">
        <v>0</v>
      </c>
      <c r="M67">
        <f>MATCH(C67,script.out!B:B,0)</f>
        <v>543</v>
      </c>
      <c r="N67">
        <f>INDEX(script.out!B:B,results.txt!$M67)</f>
        <v>0.97248500000000004</v>
      </c>
      <c r="O67">
        <f>INDEX(script.out!C:C,results.txt!$M67)</f>
        <v>0.105519</v>
      </c>
      <c r="P67">
        <f>INDEX(script.out!D:D,results.txt!$M67)</f>
        <v>0.585781</v>
      </c>
      <c r="Q67">
        <f>INDEX(script.out!E:E,results.txt!$M67)</f>
        <v>68.972946876563597</v>
      </c>
      <c r="R67">
        <f>INDEX(script.out!F:F,results.txt!$M67)</f>
        <v>42.25</v>
      </c>
      <c r="S67">
        <f>INDEX(script.out!G:G,results.txt!$M67)</f>
        <v>112.028015450553</v>
      </c>
      <c r="T67" t="str">
        <f>INDEX(script.out!H:H,results.txt!$M67)</f>
        <v>{</v>
      </c>
      <c r="U67">
        <f>INDEX(script.out!I:I,results.txt!$M67)</f>
        <v>1.0779879999999999</v>
      </c>
      <c r="V67">
        <f>INDEX(script.out!J:J,results.txt!$M67)</f>
        <v>152.7595</v>
      </c>
      <c r="W67">
        <f>INDEX(script.out!K:K,results.txt!$M67)</f>
        <v>355.61079000000001</v>
      </c>
      <c r="X67" t="str">
        <f>INDEX(script.out!L:L,results.txt!$M67)</f>
        <v>}</v>
      </c>
      <c r="Y67" t="str">
        <f>INDEX(script.out!M:M,results.txt!$M67)</f>
        <v>{</v>
      </c>
      <c r="Z67">
        <f>INDEX(script.out!N:N,results.txt!$M67)</f>
        <v>18.3049952966009</v>
      </c>
      <c r="AA67">
        <f>INDEX(script.out!O:O,results.txt!$M67)</f>
        <v>14.5</v>
      </c>
      <c r="AB67">
        <f>INDEX(script.out!P:P,results.txt!$M67)</f>
        <v>3436.72</v>
      </c>
      <c r="AC67" t="str">
        <f>INDEX(script.out!Q:Q,results.txt!$M67)</f>
        <v>}</v>
      </c>
      <c r="AD67">
        <f t="shared" si="0"/>
        <v>1</v>
      </c>
    </row>
    <row r="68" spans="1:30" x14ac:dyDescent="0.25">
      <c r="A68" s="12" t="s">
        <v>2</v>
      </c>
      <c r="B68" s="12">
        <v>-3</v>
      </c>
      <c r="C68" s="12">
        <v>0.121097</v>
      </c>
      <c r="D68" s="12">
        <v>-2.8728400000000001E-2</v>
      </c>
      <c r="E68" s="12">
        <v>0.222551</v>
      </c>
      <c r="F68" s="12">
        <v>-3</v>
      </c>
      <c r="G68" s="12">
        <v>6.8455199999999994E-2</v>
      </c>
      <c r="H68" s="12">
        <v>132.25</v>
      </c>
      <c r="I68" s="12">
        <v>137.191</v>
      </c>
      <c r="J68" s="12" t="s">
        <v>3</v>
      </c>
      <c r="K68" s="12">
        <v>0</v>
      </c>
      <c r="M68">
        <f>MATCH(C68,script.out!B:B,0)</f>
        <v>545</v>
      </c>
      <c r="N68">
        <f>INDEX(script.out!B:B,results.txt!$M68)</f>
        <v>0.121097</v>
      </c>
      <c r="O68">
        <f>INDEX(script.out!C:C,results.txt!$M68)</f>
        <v>-2.8728400000000001E-2</v>
      </c>
      <c r="P68">
        <f>INDEX(script.out!D:D,results.txt!$M68)</f>
        <v>0.222551</v>
      </c>
      <c r="Q68">
        <f>INDEX(script.out!E:E,results.txt!$M68)</f>
        <v>6.8455217753633904E-2</v>
      </c>
      <c r="R68">
        <f>INDEX(script.out!F:F,results.txt!$M68)</f>
        <v>132.25</v>
      </c>
      <c r="S68">
        <f>INDEX(script.out!G:G,results.txt!$M68)</f>
        <v>137.19083907749999</v>
      </c>
      <c r="T68" t="str">
        <f>INDEX(script.out!H:H,results.txt!$M68)</f>
        <v>{</v>
      </c>
      <c r="U68">
        <f>INDEX(script.out!I:I,results.txt!$M68)</f>
        <v>0.39687699999999998</v>
      </c>
      <c r="V68">
        <f>INDEX(script.out!J:J,results.txt!$M68)</f>
        <v>85.635800000000003</v>
      </c>
      <c r="W68">
        <f>INDEX(script.out!K:K,results.txt!$M68)</f>
        <v>141.30509000000001</v>
      </c>
      <c r="X68" t="str">
        <f>INDEX(script.out!L:L,results.txt!$M68)</f>
        <v>}</v>
      </c>
      <c r="Y68" t="str">
        <f>INDEX(script.out!M:M,results.txt!$M68)</f>
        <v>{</v>
      </c>
      <c r="Z68">
        <f>INDEX(script.out!N:N,results.txt!$M68)</f>
        <v>10.2616394804948</v>
      </c>
      <c r="AA68">
        <f>INDEX(script.out!O:O,results.txt!$M68)</f>
        <v>19.5</v>
      </c>
      <c r="AB68">
        <f>INDEX(script.out!P:P,results.txt!$M68)</f>
        <v>3024.81</v>
      </c>
      <c r="AC68" t="str">
        <f>INDEX(script.out!Q:Q,results.txt!$M68)</f>
        <v>}</v>
      </c>
      <c r="AD68">
        <f t="shared" ref="AD68:AD131" si="1">IF(A68="all",1)+IF(A68="nonDominatedFront",2)</f>
        <v>1</v>
      </c>
    </row>
    <row r="69" spans="1:30" x14ac:dyDescent="0.25">
      <c r="A69" s="12" t="s">
        <v>2</v>
      </c>
      <c r="B69" s="12">
        <v>-3</v>
      </c>
      <c r="C69" s="12">
        <v>0.82816299999999998</v>
      </c>
      <c r="D69" s="12">
        <v>0.158081</v>
      </c>
      <c r="E69" s="12">
        <v>0.357595</v>
      </c>
      <c r="F69" s="12">
        <v>-3</v>
      </c>
      <c r="G69" s="12">
        <v>131.19900000000001</v>
      </c>
      <c r="H69" s="12">
        <v>56.25</v>
      </c>
      <c r="I69" s="12">
        <v>12.030799999999999</v>
      </c>
      <c r="J69" s="12" t="s">
        <v>3</v>
      </c>
      <c r="K69" s="12">
        <v>1</v>
      </c>
      <c r="M69">
        <f>MATCH(C69,script.out!B:B,0)</f>
        <v>561</v>
      </c>
      <c r="N69">
        <f>INDEX(script.out!B:B,results.txt!$M69)</f>
        <v>0.82816299999999998</v>
      </c>
      <c r="O69">
        <f>INDEX(script.out!C:C,results.txt!$M69)</f>
        <v>0.158081</v>
      </c>
      <c r="P69">
        <f>INDEX(script.out!D:D,results.txt!$M69)</f>
        <v>0.357595</v>
      </c>
      <c r="Q69">
        <f>INDEX(script.out!E:E,results.txt!$M69)</f>
        <v>131.199094369779</v>
      </c>
      <c r="R69">
        <f>INDEX(script.out!F:F,results.txt!$M69)</f>
        <v>56.25</v>
      </c>
      <c r="S69">
        <f>INDEX(script.out!G:G,results.txt!$M69)</f>
        <v>12.0308248481891</v>
      </c>
      <c r="T69" t="str">
        <f>INDEX(script.out!H:H,results.txt!$M69)</f>
        <v>{</v>
      </c>
      <c r="U69">
        <f>INDEX(script.out!I:I,results.txt!$M69)</f>
        <v>0.96253</v>
      </c>
      <c r="V69">
        <f>INDEX(script.out!J:J,results.txt!$M69)</f>
        <v>179.04050000000001</v>
      </c>
      <c r="W69">
        <f>INDEX(script.out!K:K,results.txt!$M69)</f>
        <v>220.98105000000001</v>
      </c>
      <c r="X69" t="str">
        <f>INDEX(script.out!L:L,results.txt!$M69)</f>
        <v>}</v>
      </c>
      <c r="Y69" t="str">
        <f>INDEX(script.out!M:M,results.txt!$M69)</f>
        <v>{</v>
      </c>
      <c r="Z69">
        <f>INDEX(script.out!N:N,results.txt!$M69)</f>
        <v>21.4542173180789</v>
      </c>
      <c r="AA69">
        <f>INDEX(script.out!O:O,results.txt!$M69)</f>
        <v>15.5</v>
      </c>
      <c r="AB69">
        <f>INDEX(script.out!P:P,results.txt!$M69)</f>
        <v>6033.98</v>
      </c>
      <c r="AC69" t="str">
        <f>INDEX(script.out!Q:Q,results.txt!$M69)</f>
        <v>}</v>
      </c>
      <c r="AD69">
        <f t="shared" si="1"/>
        <v>1</v>
      </c>
    </row>
    <row r="70" spans="1:30" x14ac:dyDescent="0.25">
      <c r="A70" s="12" t="s">
        <v>2</v>
      </c>
      <c r="B70" s="12">
        <v>-3</v>
      </c>
      <c r="C70" s="12">
        <v>0.97855899999999996</v>
      </c>
      <c r="D70" s="12">
        <v>9.5137700000000006E-2</v>
      </c>
      <c r="E70" s="12">
        <v>0.71626000000000001</v>
      </c>
      <c r="F70" s="12">
        <v>-3</v>
      </c>
      <c r="G70" s="12">
        <v>59.028599999999997</v>
      </c>
      <c r="H70" s="12">
        <v>42.25</v>
      </c>
      <c r="I70" s="12">
        <v>154.89099999999999</v>
      </c>
      <c r="J70" s="12" t="s">
        <v>3</v>
      </c>
      <c r="K70" s="12">
        <v>0</v>
      </c>
      <c r="M70">
        <f>MATCH(C70,script.out!B:B,0)</f>
        <v>566</v>
      </c>
      <c r="N70">
        <f>INDEX(script.out!B:B,results.txt!$M70)</f>
        <v>0.97855899999999996</v>
      </c>
      <c r="O70">
        <f>INDEX(script.out!C:C,results.txt!$M70)</f>
        <v>9.5137700000000006E-2</v>
      </c>
      <c r="P70">
        <f>INDEX(script.out!D:D,results.txt!$M70)</f>
        <v>0.71626000000000001</v>
      </c>
      <c r="Q70">
        <f>INDEX(script.out!E:E,results.txt!$M70)</f>
        <v>59.028576178408102</v>
      </c>
      <c r="R70">
        <f>INDEX(script.out!F:F,results.txt!$M70)</f>
        <v>42.25</v>
      </c>
      <c r="S70">
        <f>INDEX(script.out!G:G,results.txt!$M70)</f>
        <v>154.89064073634799</v>
      </c>
      <c r="T70" t="str">
        <f>INDEX(script.out!H:H,results.txt!$M70)</f>
        <v>{</v>
      </c>
      <c r="U70">
        <f>INDEX(script.out!I:I,results.txt!$M70)</f>
        <v>1.0828469999999999</v>
      </c>
      <c r="V70">
        <f>INDEX(script.out!J:J,results.txt!$M70)</f>
        <v>147.56885</v>
      </c>
      <c r="W70">
        <f>INDEX(script.out!K:K,results.txt!$M70)</f>
        <v>432.59339999999997</v>
      </c>
      <c r="X70" t="str">
        <f>INDEX(script.out!L:L,results.txt!$M70)</f>
        <v>}</v>
      </c>
      <c r="Y70" t="str">
        <f>INDEX(script.out!M:M,results.txt!$M70)</f>
        <v>{</v>
      </c>
      <c r="Z70">
        <f>INDEX(script.out!N:N,results.txt!$M70)</f>
        <v>17.683005673459299</v>
      </c>
      <c r="AA70">
        <f>INDEX(script.out!O:O,results.txt!$M70)</f>
        <v>14.5</v>
      </c>
      <c r="AB70">
        <f>INDEX(script.out!P:P,results.txt!$M70)</f>
        <v>2757.39</v>
      </c>
      <c r="AC70" t="str">
        <f>INDEX(script.out!Q:Q,results.txt!$M70)</f>
        <v>}</v>
      </c>
      <c r="AD70">
        <f t="shared" si="1"/>
        <v>1</v>
      </c>
    </row>
    <row r="71" spans="1:30" x14ac:dyDescent="0.25">
      <c r="A71" s="12" t="s">
        <v>2</v>
      </c>
      <c r="B71" s="12">
        <v>-3</v>
      </c>
      <c r="C71" s="12">
        <v>0.56523000000000001</v>
      </c>
      <c r="D71" s="12">
        <v>9.6899600000000002E-2</v>
      </c>
      <c r="E71" s="12">
        <v>0.30128700000000003</v>
      </c>
      <c r="F71" s="12">
        <v>-3</v>
      </c>
      <c r="G71" s="12">
        <v>60.661799999999999</v>
      </c>
      <c r="H71" s="12">
        <v>72.25</v>
      </c>
      <c r="I71" s="12">
        <v>0.56192500000000001</v>
      </c>
      <c r="J71" s="12" t="s">
        <v>3</v>
      </c>
      <c r="K71" s="12">
        <v>0</v>
      </c>
      <c r="M71">
        <f>MATCH(C71,script.out!B:B,0)</f>
        <v>575</v>
      </c>
      <c r="N71">
        <f>INDEX(script.out!B:B,results.txt!$M71)</f>
        <v>0.56523000000000001</v>
      </c>
      <c r="O71">
        <f>INDEX(script.out!C:C,results.txt!$M71)</f>
        <v>9.6899600000000002E-2</v>
      </c>
      <c r="P71">
        <f>INDEX(script.out!D:D,results.txt!$M71)</f>
        <v>0.30128700000000003</v>
      </c>
      <c r="Q71">
        <f>INDEX(script.out!E:E,results.txt!$M71)</f>
        <v>60.661805500033502</v>
      </c>
      <c r="R71">
        <f>INDEX(script.out!F:F,results.txt!$M71)</f>
        <v>72.25</v>
      </c>
      <c r="S71">
        <f>INDEX(script.out!G:G,results.txt!$M71)</f>
        <v>0.56192480465378103</v>
      </c>
      <c r="T71" t="str">
        <f>INDEX(script.out!H:H,results.txt!$M71)</f>
        <v>{</v>
      </c>
      <c r="U71">
        <f>INDEX(script.out!I:I,results.txt!$M71)</f>
        <v>0.75217999999999996</v>
      </c>
      <c r="V71">
        <f>INDEX(script.out!J:J,results.txt!$M71)</f>
        <v>148.44980000000001</v>
      </c>
      <c r="W71">
        <f>INDEX(script.out!K:K,results.txt!$M71)</f>
        <v>187.75933000000001</v>
      </c>
      <c r="X71" t="str">
        <f>INDEX(script.out!L:L,results.txt!$M71)</f>
        <v>}</v>
      </c>
      <c r="Y71" t="str">
        <f>INDEX(script.out!M:M,results.txt!$M71)</f>
        <v>{</v>
      </c>
      <c r="Z71">
        <f>INDEX(script.out!N:N,results.txt!$M71)</f>
        <v>17.788568899357099</v>
      </c>
      <c r="AA71">
        <f>INDEX(script.out!O:O,results.txt!$M71)</f>
        <v>16.5</v>
      </c>
      <c r="AB71">
        <f>INDEX(script.out!P:P,results.txt!$M71)</f>
        <v>7026.39</v>
      </c>
      <c r="AC71" t="str">
        <f>INDEX(script.out!Q:Q,results.txt!$M71)</f>
        <v>}</v>
      </c>
      <c r="AD71">
        <f t="shared" si="1"/>
        <v>1</v>
      </c>
    </row>
    <row r="72" spans="1:30" x14ac:dyDescent="0.25">
      <c r="A72" s="12" t="s">
        <v>2</v>
      </c>
      <c r="B72" s="12">
        <v>-3</v>
      </c>
      <c r="C72" s="12">
        <v>1.0621799999999999</v>
      </c>
      <c r="D72" s="12">
        <v>-2.95004E-2</v>
      </c>
      <c r="E72" s="12">
        <v>0.59887699999999999</v>
      </c>
      <c r="F72" s="12">
        <v>-3</v>
      </c>
      <c r="G72" s="12">
        <v>4.6390899999999999E-2</v>
      </c>
      <c r="H72" s="12">
        <v>81</v>
      </c>
      <c r="I72" s="12">
        <v>284.12200000000001</v>
      </c>
      <c r="J72" s="12" t="s">
        <v>3</v>
      </c>
      <c r="K72" s="12">
        <v>0</v>
      </c>
      <c r="M72">
        <f>MATCH(C72,script.out!B:B,0)</f>
        <v>578</v>
      </c>
      <c r="N72">
        <f>INDEX(script.out!B:B,results.txt!$M72)</f>
        <v>1.0621799999999999</v>
      </c>
      <c r="O72">
        <f>INDEX(script.out!C:C,results.txt!$M72)</f>
        <v>-2.95004E-2</v>
      </c>
      <c r="P72">
        <f>INDEX(script.out!D:D,results.txt!$M72)</f>
        <v>0.59887699999999999</v>
      </c>
      <c r="Q72">
        <f>INDEX(script.out!E:E,results.txt!$M72)</f>
        <v>4.6390932641731303E-2</v>
      </c>
      <c r="R72">
        <f>INDEX(script.out!F:F,results.txt!$M72)</f>
        <v>81</v>
      </c>
      <c r="S72">
        <f>INDEX(script.out!G:G,results.txt!$M72)</f>
        <v>284.12196515744</v>
      </c>
      <c r="T72" t="str">
        <f>INDEX(script.out!H:H,results.txt!$M72)</f>
        <v>{</v>
      </c>
      <c r="U72">
        <f>INDEX(script.out!I:I,results.txt!$M72)</f>
        <v>1.14974</v>
      </c>
      <c r="V72">
        <f>INDEX(script.out!J:J,results.txt!$M72)</f>
        <v>85.249799999999993</v>
      </c>
      <c r="W72">
        <f>INDEX(script.out!K:K,results.txt!$M72)</f>
        <v>363.33742999999998</v>
      </c>
      <c r="X72" t="str">
        <f>INDEX(script.out!L:L,results.txt!$M72)</f>
        <v>}</v>
      </c>
      <c r="Y72" t="str">
        <f>INDEX(script.out!M:M,results.txt!$M72)</f>
        <v>{</v>
      </c>
      <c r="Z72">
        <f>INDEX(script.out!N:N,results.txt!$M72)</f>
        <v>10.21538554418</v>
      </c>
      <c r="AA72">
        <f>INDEX(script.out!O:O,results.txt!$M72)</f>
        <v>17</v>
      </c>
      <c r="AB72">
        <f>INDEX(script.out!P:P,results.txt!$M72)</f>
        <v>1147.5899999999999</v>
      </c>
      <c r="AC72" t="str">
        <f>INDEX(script.out!Q:Q,results.txt!$M72)</f>
        <v>}</v>
      </c>
      <c r="AD72">
        <f t="shared" si="1"/>
        <v>1</v>
      </c>
    </row>
    <row r="73" spans="1:30" x14ac:dyDescent="0.25">
      <c r="A73" s="12" t="s">
        <v>2</v>
      </c>
      <c r="B73" s="12">
        <v>-3</v>
      </c>
      <c r="C73" s="12">
        <v>0.98132900000000001</v>
      </c>
      <c r="D73" s="12">
        <v>0.30221900000000002</v>
      </c>
      <c r="E73" s="12">
        <v>0.60231999999999997</v>
      </c>
      <c r="F73" s="12">
        <v>-3</v>
      </c>
      <c r="G73" s="12">
        <v>403.61500000000001</v>
      </c>
      <c r="H73" s="12">
        <v>30.25</v>
      </c>
      <c r="I73" s="12">
        <v>3.5229699999999999</v>
      </c>
      <c r="J73" s="12" t="s">
        <v>3</v>
      </c>
      <c r="K73" s="12">
        <v>0</v>
      </c>
      <c r="M73">
        <f>MATCH(C73,script.out!B:B,0)</f>
        <v>581</v>
      </c>
      <c r="N73">
        <f>INDEX(script.out!B:B,results.txt!$M73)</f>
        <v>0.98132900000000001</v>
      </c>
      <c r="O73">
        <f>INDEX(script.out!C:C,results.txt!$M73)</f>
        <v>0.30221900000000002</v>
      </c>
      <c r="P73">
        <f>INDEX(script.out!D:D,results.txt!$M73)</f>
        <v>0.60231999999999997</v>
      </c>
      <c r="Q73">
        <f>INDEX(script.out!E:E,results.txt!$M73)</f>
        <v>403.61463927497999</v>
      </c>
      <c r="R73">
        <f>INDEX(script.out!F:F,results.txt!$M73)</f>
        <v>30.25</v>
      </c>
      <c r="S73">
        <f>INDEX(script.out!G:G,results.txt!$M73)</f>
        <v>3.5229747277162602</v>
      </c>
      <c r="T73" t="str">
        <f>INDEX(script.out!H:H,results.txt!$M73)</f>
        <v>{</v>
      </c>
      <c r="U73">
        <f>INDEX(script.out!I:I,results.txt!$M73)</f>
        <v>1.0850630000000001</v>
      </c>
      <c r="V73">
        <f>INDEX(script.out!J:J,results.txt!$M73)</f>
        <v>251.1095</v>
      </c>
      <c r="W73">
        <f>INDEX(script.out!K:K,results.txt!$M73)</f>
        <v>365.36880000000002</v>
      </c>
      <c r="X73" t="str">
        <f>INDEX(script.out!L:L,results.txt!$M73)</f>
        <v>}</v>
      </c>
      <c r="Y73" t="str">
        <f>INDEX(script.out!M:M,results.txt!$M73)</f>
        <v>{</v>
      </c>
      <c r="Z73">
        <f>INDEX(script.out!N:N,results.txt!$M73)</f>
        <v>30.090162748842499</v>
      </c>
      <c r="AA73">
        <f>INDEX(script.out!O:O,results.txt!$M73)</f>
        <v>13.5</v>
      </c>
      <c r="AB73">
        <f>INDEX(script.out!P:P,results.txt!$M73)</f>
        <v>6614.91</v>
      </c>
      <c r="AC73" t="str">
        <f>INDEX(script.out!Q:Q,results.txt!$M73)</f>
        <v>}</v>
      </c>
      <c r="AD73">
        <f t="shared" si="1"/>
        <v>1</v>
      </c>
    </row>
    <row r="74" spans="1:30" x14ac:dyDescent="0.25">
      <c r="A74" s="12" t="s">
        <v>2</v>
      </c>
      <c r="B74" s="12">
        <v>-3</v>
      </c>
      <c r="C74" s="12">
        <v>0.54321600000000003</v>
      </c>
      <c r="D74" s="12">
        <v>5.3594799999999998E-2</v>
      </c>
      <c r="E74" s="12">
        <v>0.25451499999999999</v>
      </c>
      <c r="F74" s="12">
        <v>-3</v>
      </c>
      <c r="G74" s="12">
        <v>26.977499999999999</v>
      </c>
      <c r="H74" s="12">
        <v>90.25</v>
      </c>
      <c r="I74" s="12">
        <v>13.946</v>
      </c>
      <c r="J74" s="12" t="s">
        <v>3</v>
      </c>
      <c r="K74" s="12">
        <v>0</v>
      </c>
      <c r="M74">
        <f>MATCH(C74,script.out!B:B,0)</f>
        <v>590</v>
      </c>
      <c r="N74">
        <f>INDEX(script.out!B:B,results.txt!$M74)</f>
        <v>0.54321600000000003</v>
      </c>
      <c r="O74">
        <f>INDEX(script.out!C:C,results.txt!$M74)</f>
        <v>5.3594799999999998E-2</v>
      </c>
      <c r="P74">
        <f>INDEX(script.out!D:D,results.txt!$M74)</f>
        <v>0.25451499999999999</v>
      </c>
      <c r="Q74">
        <f>INDEX(script.out!E:E,results.txt!$M74)</f>
        <v>26.9774977937107</v>
      </c>
      <c r="R74">
        <f>INDEX(script.out!F:F,results.txt!$M74)</f>
        <v>90.25</v>
      </c>
      <c r="S74">
        <f>INDEX(script.out!G:G,results.txt!$M74)</f>
        <v>13.9460298359917</v>
      </c>
      <c r="T74" t="str">
        <f>INDEX(script.out!H:H,results.txt!$M74)</f>
        <v>{</v>
      </c>
      <c r="U74">
        <f>INDEX(script.out!I:I,results.txt!$M74)</f>
        <v>0.734572</v>
      </c>
      <c r="V74">
        <f>INDEX(script.out!J:J,results.txt!$M74)</f>
        <v>126.7974</v>
      </c>
      <c r="W74">
        <f>INDEX(script.out!K:K,results.txt!$M74)</f>
        <v>160.16385</v>
      </c>
      <c r="X74" t="str">
        <f>INDEX(script.out!L:L,results.txt!$M74)</f>
        <v>}</v>
      </c>
      <c r="Y74" t="str">
        <f>INDEX(script.out!M:M,results.txt!$M74)</f>
        <v>{</v>
      </c>
      <c r="Z74">
        <f>INDEX(script.out!N:N,results.txt!$M74)</f>
        <v>15.1939866955654</v>
      </c>
      <c r="AA74">
        <f>INDEX(script.out!O:O,results.txt!$M74)</f>
        <v>17.5</v>
      </c>
      <c r="AB74">
        <f>INDEX(script.out!P:P,results.txt!$M74)</f>
        <v>5936.93</v>
      </c>
      <c r="AC74" t="str">
        <f>INDEX(script.out!Q:Q,results.txt!$M74)</f>
        <v>}</v>
      </c>
      <c r="AD74">
        <f t="shared" si="1"/>
        <v>1</v>
      </c>
    </row>
    <row r="75" spans="1:30" x14ac:dyDescent="0.25">
      <c r="A75" s="12" t="s">
        <v>2</v>
      </c>
      <c r="B75" s="12">
        <v>-3</v>
      </c>
      <c r="C75" s="12">
        <v>0.44580399999999998</v>
      </c>
      <c r="D75" s="12">
        <v>3.7364399999999999E-2</v>
      </c>
      <c r="E75" s="12">
        <v>0.17447599999999999</v>
      </c>
      <c r="F75" s="12">
        <v>-3</v>
      </c>
      <c r="G75" s="12">
        <v>17.8215</v>
      </c>
      <c r="H75" s="12">
        <v>110.25</v>
      </c>
      <c r="I75" s="12">
        <v>2.88255E-2</v>
      </c>
      <c r="J75" s="12" t="s">
        <v>3</v>
      </c>
      <c r="K75" s="12">
        <v>0</v>
      </c>
      <c r="M75">
        <f>MATCH(C75,script.out!B:B,0)</f>
        <v>592</v>
      </c>
      <c r="N75">
        <f>INDEX(script.out!B:B,results.txt!$M75)</f>
        <v>0.44580399999999998</v>
      </c>
      <c r="O75">
        <f>INDEX(script.out!C:C,results.txt!$M75)</f>
        <v>3.7364399999999999E-2</v>
      </c>
      <c r="P75">
        <f>INDEX(script.out!D:D,results.txt!$M75)</f>
        <v>0.17447599999999999</v>
      </c>
      <c r="Q75">
        <f>INDEX(script.out!E:E,results.txt!$M75)</f>
        <v>17.821497975026499</v>
      </c>
      <c r="R75">
        <f>INDEX(script.out!F:F,results.txt!$M75)</f>
        <v>110.25</v>
      </c>
      <c r="S75">
        <f>INDEX(script.out!G:G,results.txt!$M75)</f>
        <v>2.8825527491086501E-2</v>
      </c>
      <c r="T75" t="str">
        <f>INDEX(script.out!H:H,results.txt!$M75)</f>
        <v>{</v>
      </c>
      <c r="U75">
        <f>INDEX(script.out!I:I,results.txt!$M75)</f>
        <v>0.65664299999999998</v>
      </c>
      <c r="V75">
        <f>INDEX(script.out!J:J,results.txt!$M75)</f>
        <v>118.68219999999999</v>
      </c>
      <c r="W75">
        <f>INDEX(script.out!K:K,results.txt!$M75)</f>
        <v>112.94083999999999</v>
      </c>
      <c r="X75" t="str">
        <f>INDEX(script.out!L:L,results.txt!$M75)</f>
        <v>}</v>
      </c>
      <c r="Y75" t="str">
        <f>INDEX(script.out!M:M,results.txt!$M75)</f>
        <v>{</v>
      </c>
      <c r="Z75">
        <f>INDEX(script.out!N:N,results.txt!$M75)</f>
        <v>14.2215516075285</v>
      </c>
      <c r="AA75">
        <f>INDEX(script.out!O:O,results.txt!$M75)</f>
        <v>18.5</v>
      </c>
      <c r="AB75">
        <f>INDEX(script.out!P:P,results.txt!$M75)</f>
        <v>7238.03</v>
      </c>
      <c r="AC75" t="str">
        <f>INDEX(script.out!Q:Q,results.txt!$M75)</f>
        <v>}</v>
      </c>
      <c r="AD75">
        <f t="shared" si="1"/>
        <v>1</v>
      </c>
    </row>
    <row r="76" spans="1:30" x14ac:dyDescent="0.25">
      <c r="A76" s="12" t="s">
        <v>2</v>
      </c>
      <c r="B76" s="12">
        <v>-3</v>
      </c>
      <c r="C76" s="12">
        <v>0.81321299999999996</v>
      </c>
      <c r="D76" s="12">
        <v>9.8258499999999999E-2</v>
      </c>
      <c r="E76" s="12">
        <v>0.33741199999999999</v>
      </c>
      <c r="F76" s="12">
        <v>-3</v>
      </c>
      <c r="G76" s="12">
        <v>61.936700000000002</v>
      </c>
      <c r="H76" s="12">
        <v>56.25</v>
      </c>
      <c r="I76" s="12">
        <v>25.4389</v>
      </c>
      <c r="J76" s="12" t="s">
        <v>3</v>
      </c>
      <c r="K76" s="12">
        <v>0</v>
      </c>
      <c r="M76">
        <f>MATCH(C76,script.out!B:B,0)</f>
        <v>593</v>
      </c>
      <c r="N76">
        <f>INDEX(script.out!B:B,results.txt!$M76)</f>
        <v>0.81321299999999996</v>
      </c>
      <c r="O76">
        <f>INDEX(script.out!C:C,results.txt!$M76)</f>
        <v>9.8258499999999999E-2</v>
      </c>
      <c r="P76">
        <f>INDEX(script.out!D:D,results.txt!$M76)</f>
        <v>0.33741199999999999</v>
      </c>
      <c r="Q76">
        <f>INDEX(script.out!E:E,results.txt!$M76)</f>
        <v>61.936689270979002</v>
      </c>
      <c r="R76">
        <f>INDEX(script.out!F:F,results.txt!$M76)</f>
        <v>56.25</v>
      </c>
      <c r="S76">
        <f>INDEX(script.out!G:G,results.txt!$M76)</f>
        <v>25.438895871645698</v>
      </c>
      <c r="T76" t="str">
        <f>INDEX(script.out!H:H,results.txt!$M76)</f>
        <v>{</v>
      </c>
      <c r="U76">
        <f>INDEX(script.out!I:I,results.txt!$M76)</f>
        <v>0.95057000000000003</v>
      </c>
      <c r="V76">
        <f>INDEX(script.out!J:J,results.txt!$M76)</f>
        <v>149.12925000000001</v>
      </c>
      <c r="W76">
        <f>INDEX(script.out!K:K,results.txt!$M76)</f>
        <v>209.07308</v>
      </c>
      <c r="X76" t="str">
        <f>INDEX(script.out!L:L,results.txt!$M76)</f>
        <v>}</v>
      </c>
      <c r="Y76" t="str">
        <f>INDEX(script.out!M:M,results.txt!$M76)</f>
        <v>{</v>
      </c>
      <c r="Z76">
        <f>INDEX(script.out!N:N,results.txt!$M76)</f>
        <v>17.869986611867802</v>
      </c>
      <c r="AA76">
        <f>INDEX(script.out!O:O,results.txt!$M76)</f>
        <v>15.5</v>
      </c>
      <c r="AB76">
        <f>INDEX(script.out!P:P,results.txt!$M76)</f>
        <v>5459.05</v>
      </c>
      <c r="AC76" t="str">
        <f>INDEX(script.out!Q:Q,results.txt!$M76)</f>
        <v>}</v>
      </c>
      <c r="AD76">
        <f t="shared" si="1"/>
        <v>1</v>
      </c>
    </row>
    <row r="77" spans="1:30" x14ac:dyDescent="0.25">
      <c r="A77" s="12" t="s">
        <v>2</v>
      </c>
      <c r="B77" s="12">
        <v>-3</v>
      </c>
      <c r="C77" s="12">
        <v>0.91211900000000001</v>
      </c>
      <c r="D77" s="12">
        <v>6.0631900000000002E-2</v>
      </c>
      <c r="E77" s="12">
        <v>0.552458</v>
      </c>
      <c r="F77" s="12">
        <v>-3</v>
      </c>
      <c r="G77" s="12">
        <v>31.5351</v>
      </c>
      <c r="H77" s="12">
        <v>56.25</v>
      </c>
      <c r="I77" s="12">
        <v>169.7</v>
      </c>
      <c r="J77" s="12" t="s">
        <v>3</v>
      </c>
      <c r="K77" s="12">
        <v>0</v>
      </c>
      <c r="M77">
        <f>MATCH(C77,script.out!B:B,0)</f>
        <v>595</v>
      </c>
      <c r="N77">
        <f>INDEX(script.out!B:B,results.txt!$M77)</f>
        <v>0.91211900000000001</v>
      </c>
      <c r="O77">
        <f>INDEX(script.out!C:C,results.txt!$M77)</f>
        <v>6.0631900000000002E-2</v>
      </c>
      <c r="P77">
        <f>INDEX(script.out!D:D,results.txt!$M77)</f>
        <v>0.552458</v>
      </c>
      <c r="Q77">
        <f>INDEX(script.out!E:E,results.txt!$M77)</f>
        <v>31.535081261781301</v>
      </c>
      <c r="R77">
        <f>INDEX(script.out!F:F,results.txt!$M77)</f>
        <v>56.25</v>
      </c>
      <c r="S77">
        <f>INDEX(script.out!G:G,results.txt!$M77)</f>
        <v>169.69951687821299</v>
      </c>
      <c r="T77" t="str">
        <f>INDEX(script.out!H:H,results.txt!$M77)</f>
        <v>{</v>
      </c>
      <c r="U77">
        <f>INDEX(script.out!I:I,results.txt!$M77)</f>
        <v>1.029695</v>
      </c>
      <c r="V77">
        <f>INDEX(script.out!J:J,results.txt!$M77)</f>
        <v>130.31594999999999</v>
      </c>
      <c r="W77">
        <f>INDEX(script.out!K:K,results.txt!$M77)</f>
        <v>335.95022</v>
      </c>
      <c r="X77" t="str">
        <f>INDEX(script.out!L:L,results.txt!$M77)</f>
        <v>}</v>
      </c>
      <c r="Y77" t="str">
        <f>INDEX(script.out!M:M,results.txt!$M77)</f>
        <v>{</v>
      </c>
      <c r="Z77">
        <f>INDEX(script.out!N:N,results.txt!$M77)</f>
        <v>15.6156104976913</v>
      </c>
      <c r="AA77">
        <f>INDEX(script.out!O:O,results.txt!$M77)</f>
        <v>15.5</v>
      </c>
      <c r="AB77">
        <f>INDEX(script.out!P:P,results.txt!$M77)</f>
        <v>2545.19</v>
      </c>
      <c r="AC77" t="str">
        <f>INDEX(script.out!Q:Q,results.txt!$M77)</f>
        <v>}</v>
      </c>
      <c r="AD77">
        <f t="shared" si="1"/>
        <v>1</v>
      </c>
    </row>
    <row r="78" spans="1:30" x14ac:dyDescent="0.25">
      <c r="A78" s="12" t="s">
        <v>2</v>
      </c>
      <c r="B78" s="12">
        <v>-3</v>
      </c>
      <c r="C78" s="12">
        <v>0.823766</v>
      </c>
      <c r="D78" s="12">
        <v>7.7853599999999995E-2</v>
      </c>
      <c r="E78" s="12">
        <v>0.658609</v>
      </c>
      <c r="F78" s="12">
        <v>-3</v>
      </c>
      <c r="G78" s="12">
        <v>44.188400000000001</v>
      </c>
      <c r="H78" s="12">
        <v>56.25</v>
      </c>
      <c r="I78" s="12">
        <v>143.608</v>
      </c>
      <c r="J78" s="12" t="s">
        <v>3</v>
      </c>
      <c r="K78" s="12">
        <v>0</v>
      </c>
      <c r="M78">
        <f>MATCH(C78,script.out!B:B,0)</f>
        <v>597</v>
      </c>
      <c r="N78">
        <f>INDEX(script.out!B:B,results.txt!$M78)</f>
        <v>0.823766</v>
      </c>
      <c r="O78">
        <f>INDEX(script.out!C:C,results.txt!$M78)</f>
        <v>7.7853599999999995E-2</v>
      </c>
      <c r="P78">
        <f>INDEX(script.out!D:D,results.txt!$M78)</f>
        <v>0.658609</v>
      </c>
      <c r="Q78">
        <f>INDEX(script.out!E:E,results.txt!$M78)</f>
        <v>44.188442008211801</v>
      </c>
      <c r="R78">
        <f>INDEX(script.out!F:F,results.txt!$M78)</f>
        <v>56.25</v>
      </c>
      <c r="S78">
        <f>INDEX(script.out!G:G,results.txt!$M78)</f>
        <v>143.60771957890699</v>
      </c>
      <c r="T78" t="str">
        <f>INDEX(script.out!H:H,results.txt!$M78)</f>
        <v>{</v>
      </c>
      <c r="U78">
        <f>INDEX(script.out!I:I,results.txt!$M78)</f>
        <v>0.95901199999999998</v>
      </c>
      <c r="V78">
        <f>INDEX(script.out!J:J,results.txt!$M78)</f>
        <v>138.92679999999999</v>
      </c>
      <c r="W78">
        <f>INDEX(script.out!K:K,results.txt!$M78)</f>
        <v>398.57931000000002</v>
      </c>
      <c r="X78" t="str">
        <f>INDEX(script.out!L:L,results.txt!$M78)</f>
        <v>}</v>
      </c>
      <c r="Y78" t="str">
        <f>INDEX(script.out!M:M,results.txt!$M78)</f>
        <v>{</v>
      </c>
      <c r="Z78">
        <f>INDEX(script.out!N:N,results.txt!$M78)</f>
        <v>16.647438755506599</v>
      </c>
      <c r="AA78">
        <f>INDEX(script.out!O:O,results.txt!$M78)</f>
        <v>15.5</v>
      </c>
      <c r="AB78">
        <f>INDEX(script.out!P:P,results.txt!$M78)</f>
        <v>2925.97</v>
      </c>
      <c r="AC78" t="str">
        <f>INDEX(script.out!Q:Q,results.txt!$M78)</f>
        <v>}</v>
      </c>
      <c r="AD78">
        <f t="shared" si="1"/>
        <v>1</v>
      </c>
    </row>
    <row r="79" spans="1:30" x14ac:dyDescent="0.25">
      <c r="A79" s="12" t="s">
        <v>2</v>
      </c>
      <c r="B79" s="12">
        <v>-3</v>
      </c>
      <c r="C79" s="12">
        <v>1.1364099999999999</v>
      </c>
      <c r="D79" s="12">
        <v>5.5244500000000002E-2</v>
      </c>
      <c r="E79" s="12">
        <v>0.63690199999999997</v>
      </c>
      <c r="F79" s="12">
        <v>-3</v>
      </c>
      <c r="G79" s="12">
        <v>28.013999999999999</v>
      </c>
      <c r="H79" s="12">
        <v>42.25</v>
      </c>
      <c r="I79" s="12">
        <v>206.87100000000001</v>
      </c>
      <c r="J79" s="12" t="s">
        <v>3</v>
      </c>
      <c r="K79" s="12">
        <v>0</v>
      </c>
      <c r="M79">
        <f>MATCH(C79,script.out!B:B,0)</f>
        <v>600</v>
      </c>
      <c r="N79">
        <f>INDEX(script.out!B:B,results.txt!$M79)</f>
        <v>1.1364099999999999</v>
      </c>
      <c r="O79">
        <f>INDEX(script.out!C:C,results.txt!$M79)</f>
        <v>5.5244500000000002E-2</v>
      </c>
      <c r="P79">
        <f>INDEX(script.out!D:D,results.txt!$M79)</f>
        <v>0.63690199999999997</v>
      </c>
      <c r="Q79">
        <f>INDEX(script.out!E:E,results.txt!$M79)</f>
        <v>28.0140231876657</v>
      </c>
      <c r="R79">
        <f>INDEX(script.out!F:F,results.txt!$M79)</f>
        <v>42.25</v>
      </c>
      <c r="S79">
        <f>INDEX(script.out!G:G,results.txt!$M79)</f>
        <v>206.87108305498199</v>
      </c>
      <c r="T79" t="str">
        <f>INDEX(script.out!H:H,results.txt!$M79)</f>
        <v>{</v>
      </c>
      <c r="U79">
        <f>INDEX(script.out!I:I,results.txt!$M79)</f>
        <v>1.20912</v>
      </c>
      <c r="V79">
        <f>INDEX(script.out!J:J,results.txt!$M79)</f>
        <v>127.62224999999999</v>
      </c>
      <c r="W79">
        <f>INDEX(script.out!K:K,results.txt!$M79)</f>
        <v>385.77217999999999</v>
      </c>
      <c r="X79" t="str">
        <f>INDEX(script.out!L:L,results.txt!$M79)</f>
        <v>}</v>
      </c>
      <c r="Y79" t="str">
        <f>INDEX(script.out!M:M,results.txt!$M79)</f>
        <v>{</v>
      </c>
      <c r="Z79">
        <f>INDEX(script.out!N:N,results.txt!$M79)</f>
        <v>15.292827522947</v>
      </c>
      <c r="AA79">
        <f>INDEX(script.out!O:O,results.txt!$M79)</f>
        <v>14.5</v>
      </c>
      <c r="AB79">
        <f>INDEX(script.out!P:P,results.txt!$M79)</f>
        <v>2050.1999999999998</v>
      </c>
      <c r="AC79" t="str">
        <f>INDEX(script.out!Q:Q,results.txt!$M79)</f>
        <v>}</v>
      </c>
      <c r="AD79">
        <f t="shared" si="1"/>
        <v>1</v>
      </c>
    </row>
    <row r="80" spans="1:30" x14ac:dyDescent="0.25">
      <c r="A80" s="12" t="s">
        <v>2</v>
      </c>
      <c r="B80" s="12">
        <v>-3</v>
      </c>
      <c r="C80" s="12">
        <v>0.97584599999999999</v>
      </c>
      <c r="D80" s="12">
        <v>0.32963599999999998</v>
      </c>
      <c r="E80" s="12">
        <v>0.59702299999999997</v>
      </c>
      <c r="F80" s="12">
        <v>-3</v>
      </c>
      <c r="G80" s="12">
        <v>472.31599999999997</v>
      </c>
      <c r="H80" s="12">
        <v>30.25</v>
      </c>
      <c r="I80" s="12">
        <v>0.68585600000000002</v>
      </c>
      <c r="J80" s="12" t="s">
        <v>3</v>
      </c>
      <c r="K80" s="12">
        <v>0</v>
      </c>
      <c r="M80">
        <f>MATCH(C80,script.out!B:B,0)</f>
        <v>602</v>
      </c>
      <c r="N80">
        <f>INDEX(script.out!B:B,results.txt!$M80)</f>
        <v>0.97584599999999999</v>
      </c>
      <c r="O80">
        <f>INDEX(script.out!C:C,results.txt!$M80)</f>
        <v>0.32963599999999998</v>
      </c>
      <c r="P80">
        <f>INDEX(script.out!D:D,results.txt!$M80)</f>
        <v>0.59702299999999997</v>
      </c>
      <c r="Q80">
        <f>INDEX(script.out!E:E,results.txt!$M80)</f>
        <v>472.31618436547899</v>
      </c>
      <c r="R80">
        <f>INDEX(script.out!F:F,results.txt!$M80)</f>
        <v>30.25</v>
      </c>
      <c r="S80">
        <f>INDEX(script.out!G:G,results.txt!$M80)</f>
        <v>0.68585624620003705</v>
      </c>
      <c r="T80" t="str">
        <f>INDEX(script.out!H:H,results.txt!$M80)</f>
        <v>{</v>
      </c>
      <c r="U80">
        <f>INDEX(script.out!I:I,results.txt!$M80)</f>
        <v>1.080676</v>
      </c>
      <c r="V80">
        <f>INDEX(script.out!J:J,results.txt!$M80)</f>
        <v>264.81799999999998</v>
      </c>
      <c r="W80">
        <f>INDEX(script.out!K:K,results.txt!$M80)</f>
        <v>362.24356999999998</v>
      </c>
      <c r="X80" t="str">
        <f>INDEX(script.out!L:L,results.txt!$M80)</f>
        <v>}</v>
      </c>
      <c r="Y80" t="str">
        <f>INDEX(script.out!M:M,results.txt!$M80)</f>
        <v>{</v>
      </c>
      <c r="Z80">
        <f>INDEX(script.out!N:N,results.txt!$M80)</f>
        <v>31.732836546697602</v>
      </c>
      <c r="AA80">
        <f>INDEX(script.out!O:O,results.txt!$M80)</f>
        <v>13.5</v>
      </c>
      <c r="AB80">
        <f>INDEX(script.out!P:P,results.txt!$M80)</f>
        <v>6997.72</v>
      </c>
      <c r="AC80" t="str">
        <f>INDEX(script.out!Q:Q,results.txt!$M80)</f>
        <v>}</v>
      </c>
      <c r="AD80">
        <f t="shared" si="1"/>
        <v>1</v>
      </c>
    </row>
    <row r="81" spans="1:30" x14ac:dyDescent="0.25">
      <c r="A81" s="12" t="s">
        <v>2</v>
      </c>
      <c r="B81" s="12">
        <v>-3</v>
      </c>
      <c r="C81" s="12">
        <v>0.91884299999999997</v>
      </c>
      <c r="D81" s="12">
        <v>1.7326600000000001E-2</v>
      </c>
      <c r="E81" s="12">
        <v>0.56180099999999999</v>
      </c>
      <c r="F81" s="12">
        <v>-3</v>
      </c>
      <c r="G81" s="12">
        <v>9.1264299999999992</v>
      </c>
      <c r="H81" s="12">
        <v>72.25</v>
      </c>
      <c r="I81" s="12">
        <v>230.62299999999999</v>
      </c>
      <c r="J81" s="12" t="s">
        <v>3</v>
      </c>
      <c r="K81" s="12">
        <v>0</v>
      </c>
      <c r="M81">
        <f>MATCH(C81,script.out!B:B,0)</f>
        <v>603</v>
      </c>
      <c r="N81">
        <f>INDEX(script.out!B:B,results.txt!$M81)</f>
        <v>0.91884299999999997</v>
      </c>
      <c r="O81">
        <f>INDEX(script.out!C:C,results.txt!$M81)</f>
        <v>1.7326600000000001E-2</v>
      </c>
      <c r="P81">
        <f>INDEX(script.out!D:D,results.txt!$M81)</f>
        <v>0.56180099999999999</v>
      </c>
      <c r="Q81">
        <f>INDEX(script.out!E:E,results.txt!$M81)</f>
        <v>9.1264309502655703</v>
      </c>
      <c r="R81">
        <f>INDEX(script.out!F:F,results.txt!$M81)</f>
        <v>72.25</v>
      </c>
      <c r="S81">
        <f>INDEX(script.out!G:G,results.txt!$M81)</f>
        <v>230.62291717095101</v>
      </c>
      <c r="T81" t="str">
        <f>INDEX(script.out!H:H,results.txt!$M81)</f>
        <v>{</v>
      </c>
      <c r="U81">
        <f>INDEX(script.out!I:I,results.txt!$M81)</f>
        <v>1.035074</v>
      </c>
      <c r="V81">
        <f>INDEX(script.out!J:J,results.txt!$M81)</f>
        <v>108.66330000000001</v>
      </c>
      <c r="W81">
        <f>INDEX(script.out!K:K,results.txt!$M81)</f>
        <v>341.46258999999998</v>
      </c>
      <c r="X81" t="str">
        <f>INDEX(script.out!L:L,results.txt!$M81)</f>
        <v>}</v>
      </c>
      <c r="Y81" t="str">
        <f>INDEX(script.out!M:M,results.txt!$M81)</f>
        <v>{</v>
      </c>
      <c r="Z81">
        <f>INDEX(script.out!N:N,results.txt!$M81)</f>
        <v>13.020998336686899</v>
      </c>
      <c r="AA81">
        <f>INDEX(script.out!O:O,results.txt!$M81)</f>
        <v>16.5</v>
      </c>
      <c r="AB81">
        <f>INDEX(script.out!P:P,results.txt!$M81)</f>
        <v>1757.01</v>
      </c>
      <c r="AC81" t="str">
        <f>INDEX(script.out!Q:Q,results.txt!$M81)</f>
        <v>}</v>
      </c>
      <c r="AD81">
        <f t="shared" si="1"/>
        <v>1</v>
      </c>
    </row>
    <row r="82" spans="1:30" x14ac:dyDescent="0.25">
      <c r="A82" s="12" t="s">
        <v>2</v>
      </c>
      <c r="B82" s="12">
        <v>-3</v>
      </c>
      <c r="C82" s="12">
        <v>0.190052</v>
      </c>
      <c r="D82" s="12">
        <v>5.5054199999999998E-2</v>
      </c>
      <c r="E82" s="12">
        <v>0.14002999999999999</v>
      </c>
      <c r="F82" s="12">
        <v>-3</v>
      </c>
      <c r="G82" s="12">
        <v>27.8935</v>
      </c>
      <c r="H82" s="12">
        <v>100</v>
      </c>
      <c r="I82" s="12">
        <v>1.07989E-2</v>
      </c>
      <c r="J82" s="12" t="s">
        <v>3</v>
      </c>
      <c r="K82" s="12">
        <v>0</v>
      </c>
      <c r="M82">
        <f>MATCH(C82,script.out!B:B,0)</f>
        <v>609</v>
      </c>
      <c r="N82">
        <f>INDEX(script.out!B:B,results.txt!$M82)</f>
        <v>0.190052</v>
      </c>
      <c r="O82">
        <f>INDEX(script.out!C:C,results.txt!$M82)</f>
        <v>5.5054199999999998E-2</v>
      </c>
      <c r="P82">
        <f>INDEX(script.out!D:D,results.txt!$M82)</f>
        <v>0.14002999999999999</v>
      </c>
      <c r="Q82">
        <f>INDEX(script.out!E:E,results.txt!$M82)</f>
        <v>27.893458563471</v>
      </c>
      <c r="R82">
        <f>INDEX(script.out!F:F,results.txt!$M82)</f>
        <v>100</v>
      </c>
      <c r="S82">
        <f>INDEX(script.out!G:G,results.txt!$M82)</f>
        <v>1.0798910865077799E-2</v>
      </c>
      <c r="T82" t="str">
        <f>INDEX(script.out!H:H,results.txt!$M82)</f>
        <v>{</v>
      </c>
      <c r="U82">
        <f>INDEX(script.out!I:I,results.txt!$M82)</f>
        <v>0.45204100000000003</v>
      </c>
      <c r="V82">
        <f>INDEX(script.out!J:J,results.txt!$M82)</f>
        <v>127.5271</v>
      </c>
      <c r="W82">
        <f>INDEX(script.out!K:K,results.txt!$M82)</f>
        <v>92.617699999999999</v>
      </c>
      <c r="X82" t="str">
        <f>INDEX(script.out!L:L,results.txt!$M82)</f>
        <v>}</v>
      </c>
      <c r="Y82" t="str">
        <f>INDEX(script.out!M:M,results.txt!$M82)</f>
        <v>{</v>
      </c>
      <c r="Z82">
        <f>INDEX(script.out!N:N,results.txt!$M82)</f>
        <v>15.2814258078165</v>
      </c>
      <c r="AA82">
        <f>INDEX(script.out!O:O,results.txt!$M82)</f>
        <v>18</v>
      </c>
      <c r="AB82">
        <f>INDEX(script.out!P:P,results.txt!$M82)</f>
        <v>7262.07</v>
      </c>
      <c r="AC82" t="str">
        <f>INDEX(script.out!Q:Q,results.txt!$M82)</f>
        <v>}</v>
      </c>
      <c r="AD82">
        <f t="shared" si="1"/>
        <v>1</v>
      </c>
    </row>
    <row r="83" spans="1:30" x14ac:dyDescent="0.25">
      <c r="A83" s="12" t="s">
        <v>2</v>
      </c>
      <c r="B83" s="12">
        <v>-3</v>
      </c>
      <c r="C83" s="12">
        <v>0.92207799999999995</v>
      </c>
      <c r="D83" s="12">
        <v>5.4322199999999998E-3</v>
      </c>
      <c r="E83" s="12">
        <v>0.61616499999999996</v>
      </c>
      <c r="F83" s="12">
        <v>-3</v>
      </c>
      <c r="G83" s="12">
        <v>5.3285</v>
      </c>
      <c r="H83" s="12">
        <v>72.25</v>
      </c>
      <c r="I83" s="12">
        <v>248.83199999999999</v>
      </c>
      <c r="J83" s="12" t="s">
        <v>3</v>
      </c>
      <c r="K83" s="12">
        <v>0</v>
      </c>
      <c r="M83">
        <f>MATCH(C83,script.out!B:B,0)</f>
        <v>611</v>
      </c>
      <c r="N83">
        <f>INDEX(script.out!B:B,results.txt!$M83)</f>
        <v>0.92207799999999995</v>
      </c>
      <c r="O83">
        <f>INDEX(script.out!C:C,results.txt!$M83)</f>
        <v>5.4322199999999998E-3</v>
      </c>
      <c r="P83">
        <f>INDEX(script.out!D:D,results.txt!$M83)</f>
        <v>0.61616499999999996</v>
      </c>
      <c r="Q83">
        <f>INDEX(script.out!E:E,results.txt!$M83)</f>
        <v>5.3284953959554304</v>
      </c>
      <c r="R83">
        <f>INDEX(script.out!F:F,results.txt!$M83)</f>
        <v>72.25</v>
      </c>
      <c r="S83">
        <f>INDEX(script.out!G:G,results.txt!$M83)</f>
        <v>248.83204110039401</v>
      </c>
      <c r="T83" t="str">
        <f>INDEX(script.out!H:H,results.txt!$M83)</f>
        <v>{</v>
      </c>
      <c r="U83">
        <f>INDEX(script.out!I:I,results.txt!$M83)</f>
        <v>1.0376620000000001</v>
      </c>
      <c r="V83">
        <f>INDEX(script.out!J:J,results.txt!$M83)</f>
        <v>102.71611</v>
      </c>
      <c r="W83">
        <f>INDEX(script.out!K:K,results.txt!$M83)</f>
        <v>373.53735</v>
      </c>
      <c r="X83" t="str">
        <f>INDEX(script.out!L:L,results.txt!$M83)</f>
        <v>}</v>
      </c>
      <c r="Y83" t="str">
        <f>INDEX(script.out!M:M,results.txt!$M83)</f>
        <v>{</v>
      </c>
      <c r="Z83">
        <f>INDEX(script.out!N:N,results.txt!$M83)</f>
        <v>12.3083533949452</v>
      </c>
      <c r="AA83">
        <f>INDEX(script.out!O:O,results.txt!$M83)</f>
        <v>16.5</v>
      </c>
      <c r="AB83">
        <f>INDEX(script.out!P:P,results.txt!$M83)</f>
        <v>1542.34</v>
      </c>
      <c r="AC83" t="str">
        <f>INDEX(script.out!Q:Q,results.txt!$M83)</f>
        <v>}</v>
      </c>
      <c r="AD83">
        <f t="shared" si="1"/>
        <v>1</v>
      </c>
    </row>
    <row r="84" spans="1:30" x14ac:dyDescent="0.25">
      <c r="A84" s="12" t="s">
        <v>2</v>
      </c>
      <c r="B84" s="12">
        <v>-3</v>
      </c>
      <c r="C84" s="12">
        <v>0.90659400000000001</v>
      </c>
      <c r="D84" s="12">
        <v>0.30770199999999998</v>
      </c>
      <c r="E84" s="12">
        <v>0.57460999999999995</v>
      </c>
      <c r="F84" s="12">
        <v>-3</v>
      </c>
      <c r="G84" s="12">
        <v>416.92200000000003</v>
      </c>
      <c r="H84" s="12">
        <v>36</v>
      </c>
      <c r="I84" s="12">
        <v>0.82491199999999998</v>
      </c>
      <c r="J84" s="12" t="s">
        <v>3</v>
      </c>
      <c r="K84" s="12">
        <v>0</v>
      </c>
      <c r="M84">
        <f>MATCH(C84,script.out!B:B,0)</f>
        <v>613</v>
      </c>
      <c r="N84">
        <f>INDEX(script.out!B:B,results.txt!$M84)</f>
        <v>0.90659400000000001</v>
      </c>
      <c r="O84">
        <f>INDEX(script.out!C:C,results.txt!$M84)</f>
        <v>0.30770199999999998</v>
      </c>
      <c r="P84">
        <f>INDEX(script.out!D:D,results.txt!$M84)</f>
        <v>0.57460999999999995</v>
      </c>
      <c r="Q84">
        <f>INDEX(script.out!E:E,results.txt!$M84)</f>
        <v>416.922229241048</v>
      </c>
      <c r="R84">
        <f>INDEX(script.out!F:F,results.txt!$M84)</f>
        <v>36</v>
      </c>
      <c r="S84">
        <f>INDEX(script.out!G:G,results.txt!$M84)</f>
        <v>0.82491184162131703</v>
      </c>
      <c r="T84" t="str">
        <f>INDEX(script.out!H:H,results.txt!$M84)</f>
        <v>{</v>
      </c>
      <c r="U84">
        <f>INDEX(script.out!I:I,results.txt!$M84)</f>
        <v>1.0252749999999999</v>
      </c>
      <c r="V84">
        <f>INDEX(script.out!J:J,results.txt!$M84)</f>
        <v>253.851</v>
      </c>
      <c r="W84">
        <f>INDEX(script.out!K:K,results.txt!$M84)</f>
        <v>349.01990000000001</v>
      </c>
      <c r="X84" t="str">
        <f>INDEX(script.out!L:L,results.txt!$M84)</f>
        <v>}</v>
      </c>
      <c r="Y84" t="str">
        <f>INDEX(script.out!M:M,results.txt!$M84)</f>
        <v>{</v>
      </c>
      <c r="Z84">
        <f>INDEX(script.out!N:N,results.txt!$M84)</f>
        <v>30.418673542643401</v>
      </c>
      <c r="AA84">
        <f>INDEX(script.out!O:O,results.txt!$M84)</f>
        <v>14</v>
      </c>
      <c r="AB84">
        <f>INDEX(script.out!P:P,results.txt!$M84)</f>
        <v>6968.49</v>
      </c>
      <c r="AC84" t="str">
        <f>INDEX(script.out!Q:Q,results.txt!$M84)</f>
        <v>}</v>
      </c>
      <c r="AD84">
        <f t="shared" si="1"/>
        <v>1</v>
      </c>
    </row>
    <row r="85" spans="1:30" x14ac:dyDescent="0.25">
      <c r="A85" s="12" t="s">
        <v>2</v>
      </c>
      <c r="B85" s="12">
        <v>-3</v>
      </c>
      <c r="C85" s="12">
        <v>1.0446200000000001</v>
      </c>
      <c r="D85" s="12">
        <v>0.13877500000000001</v>
      </c>
      <c r="E85" s="12">
        <v>0.63427999999999995</v>
      </c>
      <c r="F85" s="12">
        <v>-3</v>
      </c>
      <c r="G85" s="12">
        <v>106.039</v>
      </c>
      <c r="H85" s="12">
        <v>36</v>
      </c>
      <c r="I85" s="12">
        <v>111.089</v>
      </c>
      <c r="J85" s="12" t="s">
        <v>3</v>
      </c>
      <c r="K85" s="12">
        <v>0</v>
      </c>
      <c r="M85">
        <f>MATCH(C85,script.out!B:B,0)</f>
        <v>627</v>
      </c>
      <c r="N85">
        <f>INDEX(script.out!B:B,results.txt!$M85)</f>
        <v>1.0446200000000001</v>
      </c>
      <c r="O85">
        <f>INDEX(script.out!C:C,results.txt!$M85)</f>
        <v>0.13877500000000001</v>
      </c>
      <c r="P85">
        <f>INDEX(script.out!D:D,results.txt!$M85)</f>
        <v>0.63427999999999995</v>
      </c>
      <c r="Q85">
        <f>INDEX(script.out!E:E,results.txt!$M85)</f>
        <v>106.038700330285</v>
      </c>
      <c r="R85">
        <f>INDEX(script.out!F:F,results.txt!$M85)</f>
        <v>36</v>
      </c>
      <c r="S85">
        <f>INDEX(script.out!G:G,results.txt!$M85)</f>
        <v>111.088712347532</v>
      </c>
      <c r="T85" t="str">
        <f>INDEX(script.out!H:H,results.txt!$M85)</f>
        <v>{</v>
      </c>
      <c r="U85">
        <f>INDEX(script.out!I:I,results.txt!$M85)</f>
        <v>1.1356900000000001</v>
      </c>
      <c r="V85">
        <f>INDEX(script.out!J:J,results.txt!$M85)</f>
        <v>169.38749999999999</v>
      </c>
      <c r="W85">
        <f>INDEX(script.out!K:K,results.txt!$M85)</f>
        <v>384.22519999999997</v>
      </c>
      <c r="X85" t="str">
        <f>INDEX(script.out!L:L,results.txt!$M85)</f>
        <v>}</v>
      </c>
      <c r="Y85" t="str">
        <f>INDEX(script.out!M:M,results.txt!$M85)</f>
        <v>{</v>
      </c>
      <c r="Z85">
        <f>INDEX(script.out!N:N,results.txt!$M85)</f>
        <v>20.297509423655999</v>
      </c>
      <c r="AA85">
        <f>INDEX(script.out!O:O,results.txt!$M85)</f>
        <v>14</v>
      </c>
      <c r="AB85">
        <f>INDEX(script.out!P:P,results.txt!$M85)</f>
        <v>3452.95</v>
      </c>
      <c r="AC85" t="str">
        <f>INDEX(script.out!Q:Q,results.txt!$M85)</f>
        <v>}</v>
      </c>
      <c r="AD85">
        <f t="shared" si="1"/>
        <v>1</v>
      </c>
    </row>
    <row r="86" spans="1:30" x14ac:dyDescent="0.25">
      <c r="A86" s="12" t="s">
        <v>2</v>
      </c>
      <c r="B86" s="12">
        <v>-3</v>
      </c>
      <c r="C86" s="12">
        <v>1.04348</v>
      </c>
      <c r="D86" s="12">
        <v>0.240257</v>
      </c>
      <c r="E86" s="12">
        <v>0.55623199999999995</v>
      </c>
      <c r="F86" s="12">
        <v>-3</v>
      </c>
      <c r="G86" s="12">
        <v>268.23099999999999</v>
      </c>
      <c r="H86" s="12">
        <v>36</v>
      </c>
      <c r="I86" s="12">
        <v>46.206499999999998</v>
      </c>
      <c r="J86" s="12" t="s">
        <v>3</v>
      </c>
      <c r="K86" s="12">
        <v>0</v>
      </c>
      <c r="M86">
        <f>MATCH(C86,script.out!B:B,0)</f>
        <v>628</v>
      </c>
      <c r="N86">
        <f>INDEX(script.out!B:B,results.txt!$M86)</f>
        <v>1.04348</v>
      </c>
      <c r="O86">
        <f>INDEX(script.out!C:C,results.txt!$M86)</f>
        <v>0.240257</v>
      </c>
      <c r="P86">
        <f>INDEX(script.out!D:D,results.txt!$M86)</f>
        <v>0.55623199999999995</v>
      </c>
      <c r="Q86">
        <f>INDEX(script.out!E:E,results.txt!$M86)</f>
        <v>268.23053553500102</v>
      </c>
      <c r="R86">
        <f>INDEX(script.out!F:F,results.txt!$M86)</f>
        <v>36</v>
      </c>
      <c r="S86">
        <f>INDEX(script.out!G:G,results.txt!$M86)</f>
        <v>46.206471833364603</v>
      </c>
      <c r="T86" t="str">
        <f>INDEX(script.out!H:H,results.txt!$M86)</f>
        <v>{</v>
      </c>
      <c r="U86">
        <f>INDEX(script.out!I:I,results.txt!$M86)</f>
        <v>1.1347799999999999</v>
      </c>
      <c r="V86">
        <f>INDEX(script.out!J:J,results.txt!$M86)</f>
        <v>220.1285</v>
      </c>
      <c r="W86">
        <f>INDEX(script.out!K:K,results.txt!$M86)</f>
        <v>338.17687999999998</v>
      </c>
      <c r="X86" t="str">
        <f>INDEX(script.out!L:L,results.txt!$M86)</f>
        <v>}</v>
      </c>
      <c r="Y86" t="str">
        <f>INDEX(script.out!M:M,results.txt!$M86)</f>
        <v>{</v>
      </c>
      <c r="Z86">
        <f>INDEX(script.out!N:N,results.txt!$M86)</f>
        <v>26.377745129748501</v>
      </c>
      <c r="AA86">
        <f>INDEX(script.out!O:O,results.txt!$M86)</f>
        <v>14</v>
      </c>
      <c r="AB86">
        <f>INDEX(script.out!P:P,results.txt!$M86)</f>
        <v>4818.8999999999996</v>
      </c>
      <c r="AC86" t="str">
        <f>INDEX(script.out!Q:Q,results.txt!$M86)</f>
        <v>}</v>
      </c>
      <c r="AD86">
        <f t="shared" si="1"/>
        <v>1</v>
      </c>
    </row>
    <row r="87" spans="1:30" x14ac:dyDescent="0.25">
      <c r="A87" s="12" t="s">
        <v>2</v>
      </c>
      <c r="B87" s="12">
        <v>-3</v>
      </c>
      <c r="C87" s="12">
        <v>1.02474</v>
      </c>
      <c r="D87" s="12">
        <v>0.14191699999999999</v>
      </c>
      <c r="E87" s="12">
        <v>0.55102700000000004</v>
      </c>
      <c r="F87" s="12">
        <v>-3</v>
      </c>
      <c r="G87" s="12">
        <v>109.95099999999999</v>
      </c>
      <c r="H87" s="12">
        <v>36</v>
      </c>
      <c r="I87" s="12">
        <v>85.622799999999998</v>
      </c>
      <c r="J87" s="12" t="s">
        <v>3</v>
      </c>
      <c r="K87" s="12">
        <v>0</v>
      </c>
      <c r="M87">
        <f>MATCH(C87,script.out!B:B,0)</f>
        <v>629</v>
      </c>
      <c r="N87">
        <f>INDEX(script.out!B:B,results.txt!$M87)</f>
        <v>1.02474</v>
      </c>
      <c r="O87">
        <f>INDEX(script.out!C:C,results.txt!$M87)</f>
        <v>0.14191699999999999</v>
      </c>
      <c r="P87">
        <f>INDEX(script.out!D:D,results.txt!$M87)</f>
        <v>0.55102700000000004</v>
      </c>
      <c r="Q87">
        <f>INDEX(script.out!E:E,results.txt!$M87)</f>
        <v>109.951174267487</v>
      </c>
      <c r="R87">
        <f>INDEX(script.out!F:F,results.txt!$M87)</f>
        <v>36</v>
      </c>
      <c r="S87">
        <f>INDEX(script.out!G:G,results.txt!$M87)</f>
        <v>85.622825697879506</v>
      </c>
      <c r="T87" t="str">
        <f>INDEX(script.out!H:H,results.txt!$M87)</f>
        <v>{</v>
      </c>
      <c r="U87">
        <f>INDEX(script.out!I:I,results.txt!$M87)</f>
        <v>1.1197900000000001</v>
      </c>
      <c r="V87">
        <f>INDEX(script.out!J:J,results.txt!$M87)</f>
        <v>170.95849999999999</v>
      </c>
      <c r="W87">
        <f>INDEX(script.out!K:K,results.txt!$M87)</f>
        <v>335.10593</v>
      </c>
      <c r="X87" t="str">
        <f>INDEX(script.out!L:L,results.txt!$M87)</f>
        <v>}</v>
      </c>
      <c r="Y87" t="str">
        <f>INDEX(script.out!M:M,results.txt!$M87)</f>
        <v>{</v>
      </c>
      <c r="Z87">
        <f>INDEX(script.out!N:N,results.txt!$M87)</f>
        <v>20.485760547880499</v>
      </c>
      <c r="AA87">
        <f>INDEX(script.out!O:O,results.txt!$M87)</f>
        <v>14</v>
      </c>
      <c r="AB87">
        <f>INDEX(script.out!P:P,results.txt!$M87)</f>
        <v>3922.56</v>
      </c>
      <c r="AC87" t="str">
        <f>INDEX(script.out!Q:Q,results.txt!$M87)</f>
        <v>}</v>
      </c>
      <c r="AD87">
        <f t="shared" si="1"/>
        <v>1</v>
      </c>
    </row>
    <row r="88" spans="1:30" x14ac:dyDescent="0.25">
      <c r="A88" s="12" t="s">
        <v>2</v>
      </c>
      <c r="B88" s="12">
        <v>-3</v>
      </c>
      <c r="C88" s="12">
        <v>0.84559200000000001</v>
      </c>
      <c r="D88" s="12">
        <v>0.17526900000000001</v>
      </c>
      <c r="E88" s="12">
        <v>0.39934999999999998</v>
      </c>
      <c r="F88" s="12">
        <v>-3</v>
      </c>
      <c r="G88" s="12">
        <v>155.851</v>
      </c>
      <c r="H88" s="12">
        <v>49</v>
      </c>
      <c r="I88" s="12">
        <v>19.799800000000001</v>
      </c>
      <c r="J88" s="12" t="s">
        <v>3</v>
      </c>
      <c r="K88" s="12">
        <v>1</v>
      </c>
      <c r="M88">
        <f>MATCH(C88,script.out!B:B,0)</f>
        <v>638</v>
      </c>
      <c r="N88">
        <f>INDEX(script.out!B:B,results.txt!$M88)</f>
        <v>0.84559200000000001</v>
      </c>
      <c r="O88">
        <f>INDEX(script.out!C:C,results.txt!$M88)</f>
        <v>0.17526900000000001</v>
      </c>
      <c r="P88">
        <f>INDEX(script.out!D:D,results.txt!$M88)</f>
        <v>0.39934999999999998</v>
      </c>
      <c r="Q88">
        <f>INDEX(script.out!E:E,results.txt!$M88)</f>
        <v>155.850916648046</v>
      </c>
      <c r="R88">
        <f>INDEX(script.out!F:F,results.txt!$M88)</f>
        <v>49</v>
      </c>
      <c r="S88">
        <f>INDEX(script.out!G:G,results.txt!$M88)</f>
        <v>19.7998178990429</v>
      </c>
      <c r="T88" t="str">
        <f>INDEX(script.out!H:H,results.txt!$M88)</f>
        <v>{</v>
      </c>
      <c r="U88">
        <f>INDEX(script.out!I:I,results.txt!$M88)</f>
        <v>0.97647300000000004</v>
      </c>
      <c r="V88">
        <f>INDEX(script.out!J:J,results.txt!$M88)</f>
        <v>187.6345</v>
      </c>
      <c r="W88">
        <f>INDEX(script.out!K:K,results.txt!$M88)</f>
        <v>245.6165</v>
      </c>
      <c r="X88" t="str">
        <f>INDEX(script.out!L:L,results.txt!$M88)</f>
        <v>}</v>
      </c>
      <c r="Y88" t="str">
        <f>INDEX(script.out!M:M,results.txt!$M88)</f>
        <v>{</v>
      </c>
      <c r="Z88">
        <f>INDEX(script.out!N:N,results.txt!$M88)</f>
        <v>22.484026459762301</v>
      </c>
      <c r="AA88">
        <f>INDEX(script.out!O:O,results.txt!$M88)</f>
        <v>15</v>
      </c>
      <c r="AB88">
        <f>INDEX(script.out!P:P,results.txt!$M88)</f>
        <v>5675.86</v>
      </c>
      <c r="AC88" t="str">
        <f>INDEX(script.out!Q:Q,results.txt!$M88)</f>
        <v>}</v>
      </c>
      <c r="AD88">
        <f t="shared" si="1"/>
        <v>1</v>
      </c>
    </row>
    <row r="89" spans="1:30" x14ac:dyDescent="0.25">
      <c r="A89" s="12" t="s">
        <v>2</v>
      </c>
      <c r="B89" s="12">
        <v>-3</v>
      </c>
      <c r="C89" s="12">
        <v>1.0447500000000001</v>
      </c>
      <c r="D89" s="12">
        <v>3.7119300000000001E-2</v>
      </c>
      <c r="E89" s="12">
        <v>0.64341899999999996</v>
      </c>
      <c r="F89" s="12">
        <v>-3</v>
      </c>
      <c r="G89" s="12">
        <v>17.697700000000001</v>
      </c>
      <c r="H89" s="12">
        <v>49</v>
      </c>
      <c r="I89" s="12">
        <v>217.19200000000001</v>
      </c>
      <c r="J89" s="12" t="s">
        <v>3</v>
      </c>
      <c r="K89" s="12">
        <v>0</v>
      </c>
      <c r="M89">
        <f>MATCH(C89,script.out!B:B,0)</f>
        <v>645</v>
      </c>
      <c r="N89">
        <f>INDEX(script.out!B:B,results.txt!$M89)</f>
        <v>1.0447500000000001</v>
      </c>
      <c r="O89">
        <f>INDEX(script.out!C:C,results.txt!$M89)</f>
        <v>3.7119300000000001E-2</v>
      </c>
      <c r="P89">
        <f>INDEX(script.out!D:D,results.txt!$M89)</f>
        <v>0.64341899999999996</v>
      </c>
      <c r="Q89">
        <f>INDEX(script.out!E:E,results.txt!$M89)</f>
        <v>17.697726437846399</v>
      </c>
      <c r="R89">
        <f>INDEX(script.out!F:F,results.txt!$M89)</f>
        <v>49</v>
      </c>
      <c r="S89">
        <f>INDEX(script.out!G:G,results.txt!$M89)</f>
        <v>217.192493067367</v>
      </c>
      <c r="T89" t="str">
        <f>INDEX(script.out!H:H,results.txt!$M89)</f>
        <v>{</v>
      </c>
      <c r="U89">
        <f>INDEX(script.out!I:I,results.txt!$M89)</f>
        <v>1.1357999999999999</v>
      </c>
      <c r="V89">
        <f>INDEX(script.out!J:J,results.txt!$M89)</f>
        <v>118.55965</v>
      </c>
      <c r="W89">
        <f>INDEX(script.out!K:K,results.txt!$M89)</f>
        <v>389.61721</v>
      </c>
      <c r="X89" t="str">
        <f>INDEX(script.out!L:L,results.txt!$M89)</f>
        <v>}</v>
      </c>
      <c r="Y89" t="str">
        <f>INDEX(script.out!M:M,results.txt!$M89)</f>
        <v>{</v>
      </c>
      <c r="Z89">
        <f>INDEX(script.out!N:N,results.txt!$M89)</f>
        <v>14.2068665818928</v>
      </c>
      <c r="AA89">
        <f>INDEX(script.out!O:O,results.txt!$M89)</f>
        <v>15</v>
      </c>
      <c r="AB89">
        <f>INDEX(script.out!P:P,results.txt!$M89)</f>
        <v>1920.83</v>
      </c>
      <c r="AC89" t="str">
        <f>INDEX(script.out!Q:Q,results.txt!$M89)</f>
        <v>}</v>
      </c>
      <c r="AD89">
        <f t="shared" si="1"/>
        <v>1</v>
      </c>
    </row>
    <row r="90" spans="1:30" x14ac:dyDescent="0.25">
      <c r="A90" s="12" t="s">
        <v>2</v>
      </c>
      <c r="B90" s="12">
        <v>-3</v>
      </c>
      <c r="C90" s="12">
        <v>0.79334199999999999</v>
      </c>
      <c r="D90" s="12">
        <v>0.15459100000000001</v>
      </c>
      <c r="E90" s="12">
        <v>0.39344600000000002</v>
      </c>
      <c r="F90" s="12">
        <v>-3</v>
      </c>
      <c r="G90" s="12">
        <v>126.453</v>
      </c>
      <c r="H90" s="12">
        <v>56.25</v>
      </c>
      <c r="I90" s="12">
        <v>23.865200000000002</v>
      </c>
      <c r="J90" s="12" t="s">
        <v>3</v>
      </c>
      <c r="K90" s="12">
        <v>1</v>
      </c>
      <c r="M90">
        <f>MATCH(C90,script.out!B:B,0)</f>
        <v>647</v>
      </c>
      <c r="N90">
        <f>INDEX(script.out!B:B,results.txt!$M90)</f>
        <v>0.79334199999999999</v>
      </c>
      <c r="O90">
        <f>INDEX(script.out!C:C,results.txt!$M90)</f>
        <v>0.15459100000000001</v>
      </c>
      <c r="P90">
        <f>INDEX(script.out!D:D,results.txt!$M90)</f>
        <v>0.39344600000000002</v>
      </c>
      <c r="Q90">
        <f>INDEX(script.out!E:E,results.txt!$M90)</f>
        <v>126.45263326550899</v>
      </c>
      <c r="R90">
        <f>INDEX(script.out!F:F,results.txt!$M90)</f>
        <v>56.25</v>
      </c>
      <c r="S90">
        <f>INDEX(script.out!G:G,results.txt!$M90)</f>
        <v>23.865232576468301</v>
      </c>
      <c r="T90" t="str">
        <f>INDEX(script.out!H:H,results.txt!$M90)</f>
        <v>{</v>
      </c>
      <c r="U90">
        <f>INDEX(script.out!I:I,results.txt!$M90)</f>
        <v>0.93467299999999998</v>
      </c>
      <c r="V90">
        <f>INDEX(script.out!J:J,results.txt!$M90)</f>
        <v>177.2955</v>
      </c>
      <c r="W90">
        <f>INDEX(script.out!K:K,results.txt!$M90)</f>
        <v>242.13314</v>
      </c>
      <c r="X90" t="str">
        <f>INDEX(script.out!L:L,results.txt!$M90)</f>
        <v>}</v>
      </c>
      <c r="Y90" t="str">
        <f>INDEX(script.out!M:M,results.txt!$M90)</f>
        <v>{</v>
      </c>
      <c r="Z90">
        <f>INDEX(script.out!N:N,results.txt!$M90)</f>
        <v>21.245115973857601</v>
      </c>
      <c r="AA90">
        <f>INDEX(script.out!O:O,results.txt!$M90)</f>
        <v>15.5</v>
      </c>
      <c r="AB90">
        <f>INDEX(script.out!P:P,results.txt!$M90)</f>
        <v>5516.9</v>
      </c>
      <c r="AC90" t="str">
        <f>INDEX(script.out!Q:Q,results.txt!$M90)</f>
        <v>}</v>
      </c>
      <c r="AD90">
        <f t="shared" si="1"/>
        <v>1</v>
      </c>
    </row>
    <row r="91" spans="1:30" x14ac:dyDescent="0.25">
      <c r="A91" s="12" t="s">
        <v>2</v>
      </c>
      <c r="B91" s="12">
        <v>-3</v>
      </c>
      <c r="C91" s="12">
        <v>0.54935699999999998</v>
      </c>
      <c r="D91" s="12">
        <v>3.6383400000000003E-2</v>
      </c>
      <c r="E91" s="12">
        <v>0.17711099999999999</v>
      </c>
      <c r="F91" s="12">
        <v>-3</v>
      </c>
      <c r="G91" s="12">
        <v>17.328700000000001</v>
      </c>
      <c r="H91" s="12">
        <v>100</v>
      </c>
      <c r="I91" s="12">
        <v>7.92461E-2</v>
      </c>
      <c r="J91" s="12" t="s">
        <v>3</v>
      </c>
      <c r="K91" s="12">
        <v>0</v>
      </c>
      <c r="M91">
        <f>MATCH(C91,script.out!B:B,0)</f>
        <v>650</v>
      </c>
      <c r="N91">
        <f>INDEX(script.out!B:B,results.txt!$M91)</f>
        <v>0.54935699999999998</v>
      </c>
      <c r="O91">
        <f>INDEX(script.out!C:C,results.txt!$M91)</f>
        <v>3.6383400000000003E-2</v>
      </c>
      <c r="P91">
        <f>INDEX(script.out!D:D,results.txt!$M91)</f>
        <v>0.17711099999999999</v>
      </c>
      <c r="Q91">
        <f>INDEX(script.out!E:E,results.txt!$M91)</f>
        <v>17.328700332382699</v>
      </c>
      <c r="R91">
        <f>INDEX(script.out!F:F,results.txt!$M91)</f>
        <v>100</v>
      </c>
      <c r="S91">
        <f>INDEX(script.out!G:G,results.txt!$M91)</f>
        <v>7.9246106211296602E-2</v>
      </c>
      <c r="T91" t="str">
        <f>INDEX(script.out!H:H,results.txt!$M91)</f>
        <v>{</v>
      </c>
      <c r="U91">
        <f>INDEX(script.out!I:I,results.txt!$M91)</f>
        <v>0.73948499999999995</v>
      </c>
      <c r="V91">
        <f>INDEX(script.out!J:J,results.txt!$M91)</f>
        <v>118.1917</v>
      </c>
      <c r="W91">
        <f>INDEX(script.out!K:K,results.txt!$M91)</f>
        <v>114.49549</v>
      </c>
      <c r="X91" t="str">
        <f>INDEX(script.out!L:L,results.txt!$M91)</f>
        <v>}</v>
      </c>
      <c r="Y91" t="str">
        <f>INDEX(script.out!M:M,results.txt!$M91)</f>
        <v>{</v>
      </c>
      <c r="Z91">
        <f>INDEX(script.out!N:N,results.txt!$M91)</f>
        <v>14.1627755563305</v>
      </c>
      <c r="AA91">
        <f>INDEX(script.out!O:O,results.txt!$M91)</f>
        <v>18</v>
      </c>
      <c r="AB91">
        <f>INDEX(script.out!P:P,results.txt!$M91)</f>
        <v>7402.75</v>
      </c>
      <c r="AC91" t="str">
        <f>INDEX(script.out!Q:Q,results.txt!$M91)</f>
        <v>}</v>
      </c>
      <c r="AD91">
        <f t="shared" si="1"/>
        <v>1</v>
      </c>
    </row>
    <row r="92" spans="1:30" x14ac:dyDescent="0.25">
      <c r="A92" s="12" t="s">
        <v>2</v>
      </c>
      <c r="B92" s="12">
        <v>-3</v>
      </c>
      <c r="C92" s="12">
        <v>0.98429999999999995</v>
      </c>
      <c r="D92" s="12">
        <v>3.25475E-2</v>
      </c>
      <c r="E92" s="12">
        <v>0.65069900000000003</v>
      </c>
      <c r="F92" s="12">
        <v>-3</v>
      </c>
      <c r="G92" s="12">
        <v>15.4681</v>
      </c>
      <c r="H92" s="12">
        <v>56.25</v>
      </c>
      <c r="I92" s="12">
        <v>216.358</v>
      </c>
      <c r="J92" s="12" t="s">
        <v>3</v>
      </c>
      <c r="K92" s="12">
        <v>0</v>
      </c>
      <c r="M92">
        <f>MATCH(C92,script.out!B:B,0)</f>
        <v>654</v>
      </c>
      <c r="N92">
        <f>INDEX(script.out!B:B,results.txt!$M92)</f>
        <v>0.98429999999999995</v>
      </c>
      <c r="O92">
        <f>INDEX(script.out!C:C,results.txt!$M92)</f>
        <v>3.25475E-2</v>
      </c>
      <c r="P92">
        <f>INDEX(script.out!D:D,results.txt!$M92)</f>
        <v>0.65069900000000003</v>
      </c>
      <c r="Q92">
        <f>INDEX(script.out!E:E,results.txt!$M92)</f>
        <v>15.468094226900201</v>
      </c>
      <c r="R92">
        <f>INDEX(script.out!F:F,results.txt!$M92)</f>
        <v>56.25</v>
      </c>
      <c r="S92">
        <f>INDEX(script.out!G:G,results.txt!$M92)</f>
        <v>216.35750191330399</v>
      </c>
      <c r="T92" t="str">
        <f>INDEX(script.out!H:H,results.txt!$M92)</f>
        <v>{</v>
      </c>
      <c r="U92">
        <f>INDEX(script.out!I:I,results.txt!$M92)</f>
        <v>1.0873999999999999</v>
      </c>
      <c r="V92">
        <f>INDEX(script.out!J:J,results.txt!$M92)</f>
        <v>116.27375000000001</v>
      </c>
      <c r="W92">
        <f>INDEX(script.out!K:K,results.txt!$M92)</f>
        <v>393.91241000000002</v>
      </c>
      <c r="X92" t="str">
        <f>INDEX(script.out!L:L,results.txt!$M92)</f>
        <v>}</v>
      </c>
      <c r="Y92" t="str">
        <f>INDEX(script.out!M:M,results.txt!$M92)</f>
        <v>{</v>
      </c>
      <c r="Z92">
        <f>INDEX(script.out!N:N,results.txt!$M92)</f>
        <v>13.932949812405401</v>
      </c>
      <c r="AA92">
        <f>INDEX(script.out!O:O,results.txt!$M92)</f>
        <v>15.5</v>
      </c>
      <c r="AB92">
        <f>INDEX(script.out!P:P,results.txt!$M92)</f>
        <v>1931.18</v>
      </c>
      <c r="AC92" t="str">
        <f>INDEX(script.out!Q:Q,results.txt!$M92)</f>
        <v>}</v>
      </c>
      <c r="AD92">
        <f t="shared" si="1"/>
        <v>1</v>
      </c>
    </row>
    <row r="93" spans="1:30" x14ac:dyDescent="0.25">
      <c r="A93" s="12" t="s">
        <v>2</v>
      </c>
      <c r="B93" s="12">
        <v>-3</v>
      </c>
      <c r="C93" s="12">
        <v>1.0440400000000001</v>
      </c>
      <c r="D93" s="12">
        <v>4.15559E-2</v>
      </c>
      <c r="E93" s="12">
        <v>0.57645299999999999</v>
      </c>
      <c r="F93" s="12">
        <v>-3</v>
      </c>
      <c r="G93" s="12">
        <v>20.004899999999999</v>
      </c>
      <c r="H93" s="12">
        <v>49</v>
      </c>
      <c r="I93" s="12">
        <v>195.066</v>
      </c>
      <c r="J93" s="12" t="s">
        <v>3</v>
      </c>
      <c r="K93" s="12">
        <v>0</v>
      </c>
      <c r="M93">
        <f>MATCH(C93,script.out!B:B,0)</f>
        <v>656</v>
      </c>
      <c r="N93">
        <f>INDEX(script.out!B:B,results.txt!$M93)</f>
        <v>1.0440400000000001</v>
      </c>
      <c r="O93">
        <f>INDEX(script.out!C:C,results.txt!$M93)</f>
        <v>4.15559E-2</v>
      </c>
      <c r="P93">
        <f>INDEX(script.out!D:D,results.txt!$M93)</f>
        <v>0.57645299999999999</v>
      </c>
      <c r="Q93">
        <f>INDEX(script.out!E:E,results.txt!$M93)</f>
        <v>20.004892512543101</v>
      </c>
      <c r="R93">
        <f>INDEX(script.out!F:F,results.txt!$M93)</f>
        <v>49</v>
      </c>
      <c r="S93">
        <f>INDEX(script.out!G:G,results.txt!$M93)</f>
        <v>195.06599208932201</v>
      </c>
      <c r="T93" t="str">
        <f>INDEX(script.out!H:H,results.txt!$M93)</f>
        <v>{</v>
      </c>
      <c r="U93">
        <f>INDEX(script.out!I:I,results.txt!$M93)</f>
        <v>1.13523</v>
      </c>
      <c r="V93">
        <f>INDEX(script.out!J:J,results.txt!$M93)</f>
        <v>120.77795</v>
      </c>
      <c r="W93">
        <f>INDEX(script.out!K:K,results.txt!$M93)</f>
        <v>350.10727000000003</v>
      </c>
      <c r="X93" t="str">
        <f>INDEX(script.out!L:L,results.txt!$M93)</f>
        <v>}</v>
      </c>
      <c r="Y93" t="str">
        <f>INDEX(script.out!M:M,results.txt!$M93)</f>
        <v>{</v>
      </c>
      <c r="Z93">
        <f>INDEX(script.out!N:N,results.txt!$M93)</f>
        <v>14.4726829210825</v>
      </c>
      <c r="AA93">
        <f>INDEX(script.out!O:O,results.txt!$M93)</f>
        <v>15</v>
      </c>
      <c r="AB93">
        <f>INDEX(script.out!P:P,results.txt!$M93)</f>
        <v>2202.19</v>
      </c>
      <c r="AC93" t="str">
        <f>INDEX(script.out!Q:Q,results.txt!$M93)</f>
        <v>}</v>
      </c>
      <c r="AD93">
        <f t="shared" si="1"/>
        <v>1</v>
      </c>
    </row>
    <row r="94" spans="1:30" x14ac:dyDescent="0.25">
      <c r="A94" s="12" t="s">
        <v>2</v>
      </c>
      <c r="B94" s="12">
        <v>-3</v>
      </c>
      <c r="C94" s="12">
        <v>0.97477800000000003</v>
      </c>
      <c r="D94" s="12">
        <v>0.126274</v>
      </c>
      <c r="E94" s="12">
        <v>0.54028900000000002</v>
      </c>
      <c r="F94" s="12">
        <v>-3</v>
      </c>
      <c r="G94" s="12">
        <v>91.174199999999999</v>
      </c>
      <c r="H94" s="12">
        <v>42.25</v>
      </c>
      <c r="I94" s="12">
        <v>86.242999999999995</v>
      </c>
      <c r="J94" s="12" t="s">
        <v>3</v>
      </c>
      <c r="K94" s="12">
        <v>0</v>
      </c>
      <c r="M94">
        <f>MATCH(C94,script.out!B:B,0)</f>
        <v>658</v>
      </c>
      <c r="N94">
        <f>INDEX(script.out!B:B,results.txt!$M94)</f>
        <v>0.97477800000000003</v>
      </c>
      <c r="O94">
        <f>INDEX(script.out!C:C,results.txt!$M94)</f>
        <v>0.126274</v>
      </c>
      <c r="P94">
        <f>INDEX(script.out!D:D,results.txt!$M94)</f>
        <v>0.54028900000000002</v>
      </c>
      <c r="Q94">
        <f>INDEX(script.out!E:E,results.txt!$M94)</f>
        <v>91.174218783902802</v>
      </c>
      <c r="R94">
        <f>INDEX(script.out!F:F,results.txt!$M94)</f>
        <v>42.25</v>
      </c>
      <c r="S94">
        <f>INDEX(script.out!G:G,results.txt!$M94)</f>
        <v>86.243025877275201</v>
      </c>
      <c r="T94" t="str">
        <f>INDEX(script.out!H:H,results.txt!$M94)</f>
        <v>{</v>
      </c>
      <c r="U94">
        <f>INDEX(script.out!I:I,results.txt!$M94)</f>
        <v>1.0798220000000001</v>
      </c>
      <c r="V94">
        <f>INDEX(script.out!J:J,results.txt!$M94)</f>
        <v>163.137</v>
      </c>
      <c r="W94">
        <f>INDEX(script.out!K:K,results.txt!$M94)</f>
        <v>328.77051</v>
      </c>
      <c r="X94" t="str">
        <f>INDEX(script.out!L:L,results.txt!$M94)</f>
        <v>}</v>
      </c>
      <c r="Y94" t="str">
        <f>INDEX(script.out!M:M,results.txt!$M94)</f>
        <v>{</v>
      </c>
      <c r="Z94">
        <f>INDEX(script.out!N:N,results.txt!$M94)</f>
        <v>19.548519193252002</v>
      </c>
      <c r="AA94">
        <f>INDEX(script.out!O:O,results.txt!$M94)</f>
        <v>14.5</v>
      </c>
      <c r="AB94">
        <f>INDEX(script.out!P:P,results.txt!$M94)</f>
        <v>3910.35</v>
      </c>
      <c r="AC94" t="str">
        <f>INDEX(script.out!Q:Q,results.txt!$M94)</f>
        <v>}</v>
      </c>
      <c r="AD94">
        <f t="shared" si="1"/>
        <v>1</v>
      </c>
    </row>
    <row r="95" spans="1:30" x14ac:dyDescent="0.25">
      <c r="A95" s="12" t="s">
        <v>2</v>
      </c>
      <c r="B95" s="12">
        <v>-3</v>
      </c>
      <c r="C95" s="12">
        <v>0.141454</v>
      </c>
      <c r="D95" s="12">
        <v>-2.71501E-2</v>
      </c>
      <c r="E95" s="12">
        <v>0.16461100000000001</v>
      </c>
      <c r="F95" s="12">
        <v>-3</v>
      </c>
      <c r="G95" s="12">
        <v>0.12687999999999999</v>
      </c>
      <c r="H95" s="12">
        <v>132.25</v>
      </c>
      <c r="I95" s="12">
        <v>90.090800000000002</v>
      </c>
      <c r="J95" s="12" t="s">
        <v>3</v>
      </c>
      <c r="K95" s="12">
        <v>0</v>
      </c>
      <c r="M95">
        <f>MATCH(C95,script.out!B:B,0)</f>
        <v>660</v>
      </c>
      <c r="N95">
        <f>INDEX(script.out!B:B,results.txt!$M95)</f>
        <v>0.141454</v>
      </c>
      <c r="O95">
        <f>INDEX(script.out!C:C,results.txt!$M95)</f>
        <v>-2.71501E-2</v>
      </c>
      <c r="P95">
        <f>INDEX(script.out!D:D,results.txt!$M95)</f>
        <v>0.16461100000000001</v>
      </c>
      <c r="Q95">
        <f>INDEX(script.out!E:E,results.txt!$M95)</f>
        <v>0.126880162526089</v>
      </c>
      <c r="R95">
        <f>INDEX(script.out!F:F,results.txt!$M95)</f>
        <v>132.25</v>
      </c>
      <c r="S95">
        <f>INDEX(script.out!G:G,results.txt!$M95)</f>
        <v>90.0907826128729</v>
      </c>
      <c r="T95" t="str">
        <f>INDEX(script.out!H:H,results.txt!$M95)</f>
        <v>{</v>
      </c>
      <c r="U95">
        <f>INDEX(script.out!I:I,results.txt!$M95)</f>
        <v>0.413163</v>
      </c>
      <c r="V95">
        <f>INDEX(script.out!J:J,results.txt!$M95)</f>
        <v>86.424949999999995</v>
      </c>
      <c r="W95">
        <f>INDEX(script.out!K:K,results.txt!$M95)</f>
        <v>107.12049</v>
      </c>
      <c r="X95" t="str">
        <f>INDEX(script.out!L:L,results.txt!$M95)</f>
        <v>}</v>
      </c>
      <c r="Y95" t="str">
        <f>INDEX(script.out!M:M,results.txt!$M95)</f>
        <v>{</v>
      </c>
      <c r="Z95">
        <f>INDEX(script.out!N:N,results.txt!$M95)</f>
        <v>10.3562024179116</v>
      </c>
      <c r="AA95">
        <f>INDEX(script.out!O:O,results.txt!$M95)</f>
        <v>19.5</v>
      </c>
      <c r="AB95">
        <f>INDEX(script.out!P:P,results.txt!$M95)</f>
        <v>3835.56</v>
      </c>
      <c r="AC95" t="str">
        <f>INDEX(script.out!Q:Q,results.txt!$M95)</f>
        <v>}</v>
      </c>
      <c r="AD95">
        <f t="shared" si="1"/>
        <v>1</v>
      </c>
    </row>
    <row r="96" spans="1:30" x14ac:dyDescent="0.25">
      <c r="A96" s="12" t="s">
        <v>2</v>
      </c>
      <c r="B96" s="12">
        <v>-3</v>
      </c>
      <c r="C96" s="12">
        <v>1.03495</v>
      </c>
      <c r="D96" s="12">
        <v>-8.3284199999999996E-3</v>
      </c>
      <c r="E96" s="12">
        <v>0.68238299999999996</v>
      </c>
      <c r="F96" s="12">
        <v>-3</v>
      </c>
      <c r="G96" s="12">
        <v>2.20194</v>
      </c>
      <c r="H96" s="12">
        <v>64</v>
      </c>
      <c r="I96" s="12">
        <v>273.51900000000001</v>
      </c>
      <c r="J96" s="12" t="s">
        <v>3</v>
      </c>
      <c r="K96" s="12">
        <v>0</v>
      </c>
      <c r="M96">
        <f>MATCH(C96,script.out!B:B,0)</f>
        <v>667</v>
      </c>
      <c r="N96">
        <f>INDEX(script.out!B:B,results.txt!$M96)</f>
        <v>1.03495</v>
      </c>
      <c r="O96">
        <f>INDEX(script.out!C:C,results.txt!$M96)</f>
        <v>-8.3284199999999996E-3</v>
      </c>
      <c r="P96">
        <f>INDEX(script.out!D:D,results.txt!$M96)</f>
        <v>0.68238299999999996</v>
      </c>
      <c r="Q96">
        <f>INDEX(script.out!E:E,results.txt!$M96)</f>
        <v>2.2019371233426299</v>
      </c>
      <c r="R96">
        <f>INDEX(script.out!F:F,results.txt!$M96)</f>
        <v>64</v>
      </c>
      <c r="S96">
        <f>INDEX(script.out!G:G,results.txt!$M96)</f>
        <v>273.51903704559902</v>
      </c>
      <c r="T96" t="str">
        <f>INDEX(script.out!H:H,results.txt!$M96)</f>
        <v>{</v>
      </c>
      <c r="U96">
        <f>INDEX(script.out!I:I,results.txt!$M96)</f>
        <v>1.1279600000000001</v>
      </c>
      <c r="V96">
        <f>INDEX(script.out!J:J,results.txt!$M96)</f>
        <v>95.835790000000003</v>
      </c>
      <c r="W96">
        <f>INDEX(script.out!K:K,results.txt!$M96)</f>
        <v>412.60597000000001</v>
      </c>
      <c r="X96" t="str">
        <f>INDEX(script.out!L:L,results.txt!$M96)</f>
        <v>}</v>
      </c>
      <c r="Y96" t="str">
        <f>INDEX(script.out!M:M,results.txt!$M96)</f>
        <v>{</v>
      </c>
      <c r="Z96">
        <f>INDEX(script.out!N:N,results.txt!$M96)</f>
        <v>11.483892557883699</v>
      </c>
      <c r="AA96">
        <f>INDEX(script.out!O:O,results.txt!$M96)</f>
        <v>16</v>
      </c>
      <c r="AB96">
        <f>INDEX(script.out!P:P,results.txt!$M96)</f>
        <v>1263.48</v>
      </c>
      <c r="AC96" t="str">
        <f>INDEX(script.out!Q:Q,results.txt!$M96)</f>
        <v>}</v>
      </c>
      <c r="AD96">
        <f t="shared" si="1"/>
        <v>1</v>
      </c>
    </row>
    <row r="97" spans="1:30" x14ac:dyDescent="0.25">
      <c r="A97" s="12" t="s">
        <v>2</v>
      </c>
      <c r="B97" s="12">
        <v>-3</v>
      </c>
      <c r="C97" s="12">
        <v>1.17293</v>
      </c>
      <c r="D97" s="12">
        <v>0.297954</v>
      </c>
      <c r="E97" s="12">
        <v>0.52996100000000002</v>
      </c>
      <c r="F97" s="12">
        <v>-3</v>
      </c>
      <c r="G97" s="12">
        <v>393.41199999999998</v>
      </c>
      <c r="H97" s="12">
        <v>30.25</v>
      </c>
      <c r="I97" s="12">
        <v>25.717700000000001</v>
      </c>
      <c r="J97" s="12" t="s">
        <v>3</v>
      </c>
      <c r="K97" s="12">
        <v>0</v>
      </c>
      <c r="M97">
        <f>MATCH(C97,script.out!B:B,0)</f>
        <v>669</v>
      </c>
      <c r="N97">
        <f>INDEX(script.out!B:B,results.txt!$M97)</f>
        <v>1.17293</v>
      </c>
      <c r="O97">
        <f>INDEX(script.out!C:C,results.txt!$M97)</f>
        <v>0.297954</v>
      </c>
      <c r="P97">
        <f>INDEX(script.out!D:D,results.txt!$M97)</f>
        <v>0.52996100000000002</v>
      </c>
      <c r="Q97">
        <f>INDEX(script.out!E:E,results.txt!$M97)</f>
        <v>393.41245699055202</v>
      </c>
      <c r="R97">
        <f>INDEX(script.out!F:F,results.txt!$M97)</f>
        <v>30.25</v>
      </c>
      <c r="S97">
        <f>INDEX(script.out!G:G,results.txt!$M97)</f>
        <v>25.717680766372599</v>
      </c>
      <c r="T97" t="str">
        <f>INDEX(script.out!H:H,results.txt!$M97)</f>
        <v>{</v>
      </c>
      <c r="U97">
        <f>INDEX(script.out!I:I,results.txt!$M97)</f>
        <v>1.23834</v>
      </c>
      <c r="V97">
        <f>INDEX(script.out!J:J,results.txt!$M97)</f>
        <v>248.977</v>
      </c>
      <c r="W97">
        <f>INDEX(script.out!K:K,results.txt!$M97)</f>
        <v>322.67698999999999</v>
      </c>
      <c r="X97" t="str">
        <f>INDEX(script.out!L:L,results.txt!$M97)</f>
        <v>}</v>
      </c>
      <c r="Y97" t="str">
        <f>INDEX(script.out!M:M,results.txt!$M97)</f>
        <v>{</v>
      </c>
      <c r="Z97">
        <f>INDEX(script.out!N:N,results.txt!$M97)</f>
        <v>29.834627725030501</v>
      </c>
      <c r="AA97">
        <f>INDEX(script.out!O:O,results.txt!$M97)</f>
        <v>13.5</v>
      </c>
      <c r="AB97">
        <f>INDEX(script.out!P:P,results.txt!$M97)</f>
        <v>5448.99</v>
      </c>
      <c r="AC97" t="str">
        <f>INDEX(script.out!Q:Q,results.txt!$M97)</f>
        <v>}</v>
      </c>
      <c r="AD97">
        <f t="shared" si="1"/>
        <v>1</v>
      </c>
    </row>
    <row r="98" spans="1:30" x14ac:dyDescent="0.25">
      <c r="A98" s="12" t="s">
        <v>2</v>
      </c>
      <c r="B98" s="12">
        <v>-3</v>
      </c>
      <c r="C98" s="12">
        <v>0.88440399999999997</v>
      </c>
      <c r="D98" s="12">
        <v>0.27349800000000002</v>
      </c>
      <c r="E98" s="12">
        <v>0.59613499999999997</v>
      </c>
      <c r="F98" s="12">
        <v>-3</v>
      </c>
      <c r="G98" s="12">
        <v>337.43299999999999</v>
      </c>
      <c r="H98" s="12">
        <v>36</v>
      </c>
      <c r="I98" s="12">
        <v>6.8855199999999996</v>
      </c>
      <c r="J98" s="12" t="s">
        <v>3</v>
      </c>
      <c r="K98" s="12">
        <v>1</v>
      </c>
      <c r="M98">
        <f>MATCH(C98,script.out!B:B,0)</f>
        <v>675</v>
      </c>
      <c r="N98">
        <f>INDEX(script.out!B:B,results.txt!$M98)</f>
        <v>0.88440399999999997</v>
      </c>
      <c r="O98">
        <f>INDEX(script.out!C:C,results.txt!$M98)</f>
        <v>0.27349800000000002</v>
      </c>
      <c r="P98">
        <f>INDEX(script.out!D:D,results.txt!$M98)</f>
        <v>0.59613499999999997</v>
      </c>
      <c r="Q98">
        <f>INDEX(script.out!E:E,results.txt!$M98)</f>
        <v>337.43340666410398</v>
      </c>
      <c r="R98">
        <f>INDEX(script.out!F:F,results.txt!$M98)</f>
        <v>36</v>
      </c>
      <c r="S98">
        <f>INDEX(script.out!G:G,results.txt!$M98)</f>
        <v>6.88551978157252</v>
      </c>
      <c r="T98" t="str">
        <f>INDEX(script.out!H:H,results.txt!$M98)</f>
        <v>{</v>
      </c>
      <c r="U98">
        <f>INDEX(script.out!I:I,results.txt!$M98)</f>
        <v>1.0075229999999999</v>
      </c>
      <c r="V98">
        <f>INDEX(script.out!J:J,results.txt!$M98)</f>
        <v>236.749</v>
      </c>
      <c r="W98">
        <f>INDEX(script.out!K:K,results.txt!$M98)</f>
        <v>361.71965</v>
      </c>
      <c r="X98" t="str">
        <f>INDEX(script.out!L:L,results.txt!$M98)</f>
        <v>}</v>
      </c>
      <c r="Y98" t="str">
        <f>INDEX(script.out!M:M,results.txt!$M98)</f>
        <v>{</v>
      </c>
      <c r="Z98">
        <f>INDEX(script.out!N:N,results.txt!$M98)</f>
        <v>28.369360540424399</v>
      </c>
      <c r="AA98">
        <f>INDEX(script.out!O:O,results.txt!$M98)</f>
        <v>14</v>
      </c>
      <c r="AB98">
        <f>INDEX(script.out!P:P,results.txt!$M98)</f>
        <v>6342.23</v>
      </c>
      <c r="AC98" t="str">
        <f>INDEX(script.out!Q:Q,results.txt!$M98)</f>
        <v>}</v>
      </c>
      <c r="AD98">
        <f t="shared" si="1"/>
        <v>1</v>
      </c>
    </row>
    <row r="99" spans="1:30" x14ac:dyDescent="0.25">
      <c r="A99" s="12" t="s">
        <v>2</v>
      </c>
      <c r="B99" s="12">
        <v>-3</v>
      </c>
      <c r="C99" s="12">
        <v>0.80974699999999999</v>
      </c>
      <c r="D99" s="12">
        <v>0.196353</v>
      </c>
      <c r="E99" s="12">
        <v>0.45133000000000001</v>
      </c>
      <c r="F99" s="12">
        <v>-3</v>
      </c>
      <c r="G99" s="12">
        <v>188.98699999999999</v>
      </c>
      <c r="H99" s="12">
        <v>42.25</v>
      </c>
      <c r="I99" s="12">
        <v>1.1035900000000001</v>
      </c>
      <c r="J99" s="12" t="s">
        <v>3</v>
      </c>
      <c r="K99" s="12">
        <v>0</v>
      </c>
      <c r="M99">
        <f>MATCH(C99,script.out!B:B,0)</f>
        <v>683</v>
      </c>
      <c r="N99">
        <f>INDEX(script.out!B:B,results.txt!$M99)</f>
        <v>0.80974699999999999</v>
      </c>
      <c r="O99">
        <f>INDEX(script.out!C:C,results.txt!$M99)</f>
        <v>0.196353</v>
      </c>
      <c r="P99">
        <f>INDEX(script.out!D:D,results.txt!$M99)</f>
        <v>0.45133000000000001</v>
      </c>
      <c r="Q99">
        <f>INDEX(script.out!E:E,results.txt!$M99)</f>
        <v>188.98721805961199</v>
      </c>
      <c r="R99">
        <f>INDEX(script.out!F:F,results.txt!$M99)</f>
        <v>42.25</v>
      </c>
      <c r="S99">
        <f>INDEX(script.out!G:G,results.txt!$M99)</f>
        <v>1.10359342165509</v>
      </c>
      <c r="T99" t="str">
        <f>INDEX(script.out!H:H,results.txt!$M99)</f>
        <v>{</v>
      </c>
      <c r="U99">
        <f>INDEX(script.out!I:I,results.txt!$M99)</f>
        <v>0.947797</v>
      </c>
      <c r="V99">
        <f>INDEX(script.out!J:J,results.txt!$M99)</f>
        <v>198.1765</v>
      </c>
      <c r="W99">
        <f>INDEX(script.out!K:K,results.txt!$M99)</f>
        <v>276.28469999999999</v>
      </c>
      <c r="X99" t="str">
        <f>INDEX(script.out!L:L,results.txt!$M99)</f>
        <v>}</v>
      </c>
      <c r="Y99" t="str">
        <f>INDEX(script.out!M:M,results.txt!$M99)</f>
        <v>{</v>
      </c>
      <c r="Z99">
        <f>INDEX(script.out!N:N,results.txt!$M99)</f>
        <v>23.747262202329999</v>
      </c>
      <c r="AA99">
        <f>INDEX(script.out!O:O,results.txt!$M99)</f>
        <v>14.5</v>
      </c>
      <c r="AB99">
        <f>INDEX(script.out!P:P,results.txt!$M99)</f>
        <v>6916.56</v>
      </c>
      <c r="AC99" t="str">
        <f>INDEX(script.out!Q:Q,results.txt!$M99)</f>
        <v>}</v>
      </c>
      <c r="AD99">
        <f t="shared" si="1"/>
        <v>1</v>
      </c>
    </row>
    <row r="100" spans="1:30" x14ac:dyDescent="0.25">
      <c r="A100" s="12" t="s">
        <v>2</v>
      </c>
      <c r="B100" s="12">
        <v>-3</v>
      </c>
      <c r="C100" s="12">
        <v>1.0236000000000001</v>
      </c>
      <c r="D100" s="12">
        <v>3.9057699999999998E-3</v>
      </c>
      <c r="E100" s="12">
        <v>0.67142800000000002</v>
      </c>
      <c r="F100" s="12">
        <v>-3</v>
      </c>
      <c r="G100" s="12">
        <v>4.9146299999999998</v>
      </c>
      <c r="H100" s="12">
        <v>64</v>
      </c>
      <c r="I100" s="12">
        <v>262.822</v>
      </c>
      <c r="J100" s="12" t="s">
        <v>3</v>
      </c>
      <c r="K100" s="12">
        <v>0</v>
      </c>
      <c r="M100">
        <f>MATCH(C100,script.out!B:B,0)</f>
        <v>685</v>
      </c>
      <c r="N100">
        <f>INDEX(script.out!B:B,results.txt!$M100)</f>
        <v>1.0236000000000001</v>
      </c>
      <c r="O100">
        <f>INDEX(script.out!C:C,results.txt!$M100)</f>
        <v>3.9057699999999998E-3</v>
      </c>
      <c r="P100">
        <f>INDEX(script.out!D:D,results.txt!$M100)</f>
        <v>0.67142800000000002</v>
      </c>
      <c r="Q100">
        <f>INDEX(script.out!E:E,results.txt!$M100)</f>
        <v>4.9146323994096601</v>
      </c>
      <c r="R100">
        <f>INDEX(script.out!F:F,results.txt!$M100)</f>
        <v>64</v>
      </c>
      <c r="S100">
        <f>INDEX(script.out!G:G,results.txt!$M100)</f>
        <v>262.82183741790197</v>
      </c>
      <c r="T100" t="str">
        <f>INDEX(script.out!H:H,results.txt!$M100)</f>
        <v>{</v>
      </c>
      <c r="U100">
        <f>INDEX(script.out!I:I,results.txt!$M100)</f>
        <v>1.1188</v>
      </c>
      <c r="V100">
        <f>INDEX(script.out!J:J,results.txt!$M100)</f>
        <v>101.95288499999999</v>
      </c>
      <c r="W100">
        <f>INDEX(script.out!K:K,results.txt!$M100)</f>
        <v>406.14251999999999</v>
      </c>
      <c r="X100" t="str">
        <f>INDEX(script.out!L:L,results.txt!$M100)</f>
        <v>}</v>
      </c>
      <c r="Y100" t="str">
        <f>INDEX(script.out!M:M,results.txt!$M100)</f>
        <v>{</v>
      </c>
      <c r="Z100">
        <f>INDEX(script.out!N:N,results.txt!$M100)</f>
        <v>12.2168970204792</v>
      </c>
      <c r="AA100">
        <f>INDEX(script.out!O:O,results.txt!$M100)</f>
        <v>16</v>
      </c>
      <c r="AB100">
        <f>INDEX(script.out!P:P,results.txt!$M100)</f>
        <v>1382.7</v>
      </c>
      <c r="AC100" t="str">
        <f>INDEX(script.out!Q:Q,results.txt!$M100)</f>
        <v>}</v>
      </c>
      <c r="AD100">
        <f t="shared" si="1"/>
        <v>1</v>
      </c>
    </row>
    <row r="101" spans="1:30" x14ac:dyDescent="0.25">
      <c r="A101" s="12" t="s">
        <v>2</v>
      </c>
      <c r="B101" s="12">
        <v>-3</v>
      </c>
      <c r="C101" s="12">
        <v>0.87267399999999995</v>
      </c>
      <c r="D101" s="12">
        <v>-4.03083E-3</v>
      </c>
      <c r="E101" s="12">
        <v>0.70748699999999998</v>
      </c>
      <c r="F101" s="12">
        <v>-3</v>
      </c>
      <c r="G101" s="12">
        <v>3.0324</v>
      </c>
      <c r="H101" s="12">
        <v>81</v>
      </c>
      <c r="I101" s="12">
        <v>266.12</v>
      </c>
      <c r="J101" s="12" t="s">
        <v>3</v>
      </c>
      <c r="K101" s="12">
        <v>0</v>
      </c>
      <c r="M101">
        <f>MATCH(C101,script.out!B:B,0)</f>
        <v>689</v>
      </c>
      <c r="N101">
        <f>INDEX(script.out!B:B,results.txt!$M101)</f>
        <v>0.87267399999999995</v>
      </c>
      <c r="O101">
        <f>INDEX(script.out!C:C,results.txt!$M101)</f>
        <v>-4.03083E-3</v>
      </c>
      <c r="P101">
        <f>INDEX(script.out!D:D,results.txt!$M101)</f>
        <v>0.70748699999999998</v>
      </c>
      <c r="Q101">
        <f>INDEX(script.out!E:E,results.txt!$M101)</f>
        <v>3.03240497593004</v>
      </c>
      <c r="R101">
        <f>INDEX(script.out!F:F,results.txt!$M101)</f>
        <v>81</v>
      </c>
      <c r="S101">
        <f>INDEX(script.out!G:G,results.txt!$M101)</f>
        <v>266.11977914130199</v>
      </c>
      <c r="T101" t="str">
        <f>INDEX(script.out!H:H,results.txt!$M101)</f>
        <v>{</v>
      </c>
      <c r="U101">
        <f>INDEX(script.out!I:I,results.txt!$M101)</f>
        <v>0.998139</v>
      </c>
      <c r="V101">
        <f>INDEX(script.out!J:J,results.txt!$M101)</f>
        <v>97.984584999999996</v>
      </c>
      <c r="W101">
        <f>INDEX(script.out!K:K,results.txt!$M101)</f>
        <v>427.41732999999999</v>
      </c>
      <c r="X101" t="str">
        <f>INDEX(script.out!L:L,results.txt!$M101)</f>
        <v>}</v>
      </c>
      <c r="Y101" t="str">
        <f>INDEX(script.out!M:M,results.txt!$M101)</f>
        <v>{</v>
      </c>
      <c r="Z101">
        <f>INDEX(script.out!N:N,results.txt!$M101)</f>
        <v>11.7413801928154</v>
      </c>
      <c r="AA101">
        <f>INDEX(script.out!O:O,results.txt!$M101)</f>
        <v>17</v>
      </c>
      <c r="AB101">
        <f>INDEX(script.out!P:P,results.txt!$M101)</f>
        <v>1345.69</v>
      </c>
      <c r="AC101" t="str">
        <f>INDEX(script.out!Q:Q,results.txt!$M101)</f>
        <v>}</v>
      </c>
      <c r="AD101">
        <f t="shared" si="1"/>
        <v>1</v>
      </c>
    </row>
    <row r="102" spans="1:30" x14ac:dyDescent="0.25">
      <c r="A102" s="12" t="s">
        <v>2</v>
      </c>
      <c r="B102" s="12">
        <v>-3</v>
      </c>
      <c r="C102" s="12">
        <v>1.03434</v>
      </c>
      <c r="D102" s="12">
        <v>8.8683100000000001E-2</v>
      </c>
      <c r="E102" s="12">
        <v>0.60510699999999995</v>
      </c>
      <c r="F102" s="12">
        <v>-3</v>
      </c>
      <c r="G102" s="12">
        <v>53.235700000000001</v>
      </c>
      <c r="H102" s="12">
        <v>49</v>
      </c>
      <c r="I102" s="12">
        <v>171.744</v>
      </c>
      <c r="J102" s="12" t="s">
        <v>3</v>
      </c>
      <c r="K102" s="12">
        <v>1</v>
      </c>
      <c r="M102">
        <f>MATCH(C102,script.out!B:B,0)</f>
        <v>693</v>
      </c>
      <c r="N102">
        <f>INDEX(script.out!B:B,results.txt!$M102)</f>
        <v>1.03434</v>
      </c>
      <c r="O102">
        <f>INDEX(script.out!C:C,results.txt!$M102)</f>
        <v>8.8683100000000001E-2</v>
      </c>
      <c r="P102">
        <f>INDEX(script.out!D:D,results.txt!$M102)</f>
        <v>0.60510699999999995</v>
      </c>
      <c r="Q102">
        <f>INDEX(script.out!E:E,results.txt!$M102)</f>
        <v>53.235731374592</v>
      </c>
      <c r="R102">
        <f>INDEX(script.out!F:F,results.txt!$M102)</f>
        <v>49</v>
      </c>
      <c r="S102">
        <f>INDEX(script.out!G:G,results.txt!$M102)</f>
        <v>171.74353829686601</v>
      </c>
      <c r="T102" t="str">
        <f>INDEX(script.out!H:H,results.txt!$M102)</f>
        <v>{</v>
      </c>
      <c r="U102">
        <f>INDEX(script.out!I:I,results.txt!$M102)</f>
        <v>1.12747</v>
      </c>
      <c r="V102">
        <f>INDEX(script.out!J:J,results.txt!$M102)</f>
        <v>144.34155000000001</v>
      </c>
      <c r="W102">
        <f>INDEX(script.out!K:K,results.txt!$M102)</f>
        <v>367.01312999999999</v>
      </c>
      <c r="X102" t="str">
        <f>INDEX(script.out!L:L,results.txt!$M102)</f>
        <v>}</v>
      </c>
      <c r="Y102" t="str">
        <f>INDEX(script.out!M:M,results.txt!$M102)</f>
        <v>{</v>
      </c>
      <c r="Z102">
        <f>INDEX(script.out!N:N,results.txt!$M102)</f>
        <v>17.296282024058002</v>
      </c>
      <c r="AA102">
        <f>INDEX(script.out!O:O,results.txt!$M102)</f>
        <v>15</v>
      </c>
      <c r="AB102">
        <f>INDEX(script.out!P:P,results.txt!$M102)</f>
        <v>2516.64</v>
      </c>
      <c r="AC102" t="str">
        <f>INDEX(script.out!Q:Q,results.txt!$M102)</f>
        <v>}</v>
      </c>
      <c r="AD102">
        <f t="shared" si="1"/>
        <v>1</v>
      </c>
    </row>
    <row r="103" spans="1:30" x14ac:dyDescent="0.25">
      <c r="A103" s="12" t="s">
        <v>2</v>
      </c>
      <c r="B103" s="12">
        <v>-3</v>
      </c>
      <c r="C103" s="12">
        <v>0.55617000000000005</v>
      </c>
      <c r="D103" s="12">
        <v>6.4415700000000006E-2</v>
      </c>
      <c r="E103" s="12">
        <v>0.207145</v>
      </c>
      <c r="F103" s="12">
        <v>-3</v>
      </c>
      <c r="G103" s="12">
        <v>34.132599999999996</v>
      </c>
      <c r="H103" s="12">
        <v>90.25</v>
      </c>
      <c r="I103" s="12">
        <v>2.1404099999999999E-2</v>
      </c>
      <c r="J103" s="12" t="s">
        <v>3</v>
      </c>
      <c r="K103" s="12">
        <v>0</v>
      </c>
      <c r="M103">
        <f>MATCH(C103,script.out!B:B,0)</f>
        <v>697</v>
      </c>
      <c r="N103">
        <f>INDEX(script.out!B:B,results.txt!$M103)</f>
        <v>0.55617000000000005</v>
      </c>
      <c r="O103">
        <f>INDEX(script.out!C:C,results.txt!$M103)</f>
        <v>6.4415700000000006E-2</v>
      </c>
      <c r="P103">
        <f>INDEX(script.out!D:D,results.txt!$M103)</f>
        <v>0.207145</v>
      </c>
      <c r="Q103">
        <f>INDEX(script.out!E:E,results.txt!$M103)</f>
        <v>34.132641054529998</v>
      </c>
      <c r="R103">
        <f>INDEX(script.out!F:F,results.txt!$M103)</f>
        <v>90.25</v>
      </c>
      <c r="S103">
        <f>INDEX(script.out!G:G,results.txt!$M103)</f>
        <v>2.1404090823794301E-2</v>
      </c>
      <c r="T103" t="str">
        <f>INDEX(script.out!H:H,results.txt!$M103)</f>
        <v>{</v>
      </c>
      <c r="U103">
        <f>INDEX(script.out!I:I,results.txt!$M103)</f>
        <v>0.74492999999999998</v>
      </c>
      <c r="V103">
        <f>INDEX(script.out!J:J,results.txt!$M103)</f>
        <v>132.20785000000001</v>
      </c>
      <c r="W103">
        <f>INDEX(script.out!K:K,results.txt!$M103)</f>
        <v>132.21555000000001</v>
      </c>
      <c r="X103" t="str">
        <f>INDEX(script.out!L:L,results.txt!$M103)</f>
        <v>}</v>
      </c>
      <c r="Y103" t="str">
        <f>INDEX(script.out!M:M,results.txt!$M103)</f>
        <v>{</v>
      </c>
      <c r="Z103">
        <f>INDEX(script.out!N:N,results.txt!$M103)</f>
        <v>15.842314700059299</v>
      </c>
      <c r="AA103">
        <f>INDEX(script.out!O:O,results.txt!$M103)</f>
        <v>17.5</v>
      </c>
      <c r="AB103">
        <f>INDEX(script.out!P:P,results.txt!$M103)</f>
        <v>7246.6</v>
      </c>
      <c r="AC103" t="str">
        <f>INDEX(script.out!Q:Q,results.txt!$M103)</f>
        <v>}</v>
      </c>
      <c r="AD103">
        <f t="shared" si="1"/>
        <v>1</v>
      </c>
    </row>
    <row r="104" spans="1:30" x14ac:dyDescent="0.25">
      <c r="A104" s="12" t="s">
        <v>2</v>
      </c>
      <c r="B104" s="12">
        <v>-3</v>
      </c>
      <c r="C104" s="12">
        <v>1.0308200000000001</v>
      </c>
      <c r="D104" s="12">
        <v>3.6142800000000003E-2</v>
      </c>
      <c r="E104" s="12">
        <v>0.603491</v>
      </c>
      <c r="F104" s="12">
        <v>-3</v>
      </c>
      <c r="G104" s="12">
        <v>17.2089</v>
      </c>
      <c r="H104" s="12">
        <v>56.25</v>
      </c>
      <c r="I104" s="12">
        <v>201.75899999999999</v>
      </c>
      <c r="J104" s="12" t="s">
        <v>3</v>
      </c>
      <c r="K104" s="12">
        <v>0</v>
      </c>
      <c r="M104">
        <f>MATCH(C104,script.out!B:B,0)</f>
        <v>709</v>
      </c>
      <c r="N104">
        <f>INDEX(script.out!B:B,results.txt!$M104)</f>
        <v>1.0308200000000001</v>
      </c>
      <c r="O104">
        <f>INDEX(script.out!C:C,results.txt!$M104)</f>
        <v>3.6142800000000003E-2</v>
      </c>
      <c r="P104">
        <f>INDEX(script.out!D:D,results.txt!$M104)</f>
        <v>0.603491</v>
      </c>
      <c r="Q104">
        <f>INDEX(script.out!E:E,results.txt!$M104)</f>
        <v>17.208891897673301</v>
      </c>
      <c r="R104">
        <f>INDEX(script.out!F:F,results.txt!$M104)</f>
        <v>56.25</v>
      </c>
      <c r="S104">
        <f>INDEX(script.out!G:G,results.txt!$M104)</f>
        <v>201.75906414636799</v>
      </c>
      <c r="T104" t="str">
        <f>INDEX(script.out!H:H,results.txt!$M104)</f>
        <v>{</v>
      </c>
      <c r="U104">
        <f>INDEX(script.out!I:I,results.txt!$M104)</f>
        <v>1.1246499999999999</v>
      </c>
      <c r="V104">
        <f>INDEX(script.out!J:J,results.txt!$M104)</f>
        <v>118.0714</v>
      </c>
      <c r="W104">
        <f>INDEX(script.out!K:K,results.txt!$M104)</f>
        <v>366.05968999999999</v>
      </c>
      <c r="X104" t="str">
        <f>INDEX(script.out!L:L,results.txt!$M104)</f>
        <v>}</v>
      </c>
      <c r="Y104" t="str">
        <f>INDEX(script.out!M:M,results.txt!$M104)</f>
        <v>{</v>
      </c>
      <c r="Z104">
        <f>INDEX(script.out!N:N,results.txt!$M104)</f>
        <v>14.1483601456085</v>
      </c>
      <c r="AA104">
        <f>INDEX(script.out!O:O,results.txt!$M104)</f>
        <v>15.5</v>
      </c>
      <c r="AB104">
        <f>INDEX(script.out!P:P,results.txt!$M104)</f>
        <v>2115.4699999999998</v>
      </c>
      <c r="AC104" t="str">
        <f>INDEX(script.out!Q:Q,results.txt!$M104)</f>
        <v>}</v>
      </c>
      <c r="AD104">
        <f t="shared" si="1"/>
        <v>1</v>
      </c>
    </row>
    <row r="105" spans="1:30" x14ac:dyDescent="0.25">
      <c r="A105" s="12" t="s">
        <v>2</v>
      </c>
      <c r="B105" s="12">
        <v>-3</v>
      </c>
      <c r="C105" s="12">
        <v>0.16286500000000001</v>
      </c>
      <c r="D105" s="12">
        <v>-3.2410000000000001E-2</v>
      </c>
      <c r="E105" s="12">
        <v>0.184448</v>
      </c>
      <c r="F105" s="12">
        <v>-3</v>
      </c>
      <c r="G105" s="12">
        <v>1.6858000000000001E-3</v>
      </c>
      <c r="H105" s="12">
        <v>144</v>
      </c>
      <c r="I105" s="12">
        <v>101.542</v>
      </c>
      <c r="J105" s="12" t="s">
        <v>3</v>
      </c>
      <c r="K105" s="12">
        <v>1</v>
      </c>
      <c r="M105">
        <f>MATCH(C105,script.out!B:B,0)</f>
        <v>710</v>
      </c>
      <c r="N105">
        <f>INDEX(script.out!B:B,results.txt!$M105)</f>
        <v>0.16286500000000001</v>
      </c>
      <c r="O105">
        <f>INDEX(script.out!C:C,results.txt!$M105)</f>
        <v>-3.2410000000000001E-2</v>
      </c>
      <c r="P105">
        <f>INDEX(script.out!D:D,results.txt!$M105)</f>
        <v>0.184448</v>
      </c>
      <c r="Q105">
        <f>INDEX(script.out!E:E,results.txt!$M105)</f>
        <v>1.68580308204506E-3</v>
      </c>
      <c r="R105">
        <f>INDEX(script.out!F:F,results.txt!$M105)</f>
        <v>144</v>
      </c>
      <c r="S105">
        <f>INDEX(script.out!G:G,results.txt!$M105)</f>
        <v>101.541787809345</v>
      </c>
      <c r="T105" t="str">
        <f>INDEX(script.out!H:H,results.txt!$M105)</f>
        <v>{</v>
      </c>
      <c r="U105">
        <f>INDEX(script.out!I:I,results.txt!$M105)</f>
        <v>0.43029200000000001</v>
      </c>
      <c r="V105">
        <f>INDEX(script.out!J:J,results.txt!$M105)</f>
        <v>83.795000000000002</v>
      </c>
      <c r="W105">
        <f>INDEX(script.out!K:K,results.txt!$M105)</f>
        <v>118.82432</v>
      </c>
      <c r="X105" t="str">
        <f>INDEX(script.out!L:L,results.txt!$M105)</f>
        <v>}</v>
      </c>
      <c r="Y105" t="str">
        <f>INDEX(script.out!M:M,results.txt!$M105)</f>
        <v>{</v>
      </c>
      <c r="Z105">
        <f>INDEX(script.out!N:N,results.txt!$M105)</f>
        <v>10.041058532390201</v>
      </c>
      <c r="AA105">
        <f>INDEX(script.out!O:O,results.txt!$M105)</f>
        <v>20</v>
      </c>
      <c r="AB105">
        <f>INDEX(script.out!P:P,results.txt!$M105)</f>
        <v>3621.97</v>
      </c>
      <c r="AC105" t="str">
        <f>INDEX(script.out!Q:Q,results.txt!$M105)</f>
        <v>}</v>
      </c>
      <c r="AD105">
        <f t="shared" si="1"/>
        <v>1</v>
      </c>
    </row>
    <row r="106" spans="1:30" x14ac:dyDescent="0.25">
      <c r="A106" s="12" t="s">
        <v>2</v>
      </c>
      <c r="B106" s="12">
        <v>-3</v>
      </c>
      <c r="C106" s="12">
        <v>1.04169</v>
      </c>
      <c r="D106" s="12">
        <v>4.0283100000000002E-2</v>
      </c>
      <c r="E106" s="12">
        <v>0.60659399999999997</v>
      </c>
      <c r="F106" s="12">
        <v>-3</v>
      </c>
      <c r="G106" s="12">
        <v>19.328499999999998</v>
      </c>
      <c r="H106" s="12">
        <v>49</v>
      </c>
      <c r="I106" s="12">
        <v>204.898</v>
      </c>
      <c r="J106" s="12" t="s">
        <v>3</v>
      </c>
      <c r="K106" s="12">
        <v>0</v>
      </c>
      <c r="M106">
        <f>MATCH(C106,script.out!B:B,0)</f>
        <v>716</v>
      </c>
      <c r="N106">
        <f>INDEX(script.out!B:B,results.txt!$M106)</f>
        <v>1.04169</v>
      </c>
      <c r="O106">
        <f>INDEX(script.out!C:C,results.txt!$M106)</f>
        <v>4.0283100000000002E-2</v>
      </c>
      <c r="P106">
        <f>INDEX(script.out!D:D,results.txt!$M106)</f>
        <v>0.60659399999999997</v>
      </c>
      <c r="Q106">
        <f>INDEX(script.out!E:E,results.txt!$M106)</f>
        <v>19.328542586093</v>
      </c>
      <c r="R106">
        <f>INDEX(script.out!F:F,results.txt!$M106)</f>
        <v>49</v>
      </c>
      <c r="S106">
        <f>INDEX(script.out!G:G,results.txt!$M106)</f>
        <v>204.89843936273201</v>
      </c>
      <c r="T106" t="str">
        <f>INDEX(script.out!H:H,results.txt!$M106)</f>
        <v>{</v>
      </c>
      <c r="U106">
        <f>INDEX(script.out!I:I,results.txt!$M106)</f>
        <v>1.1333500000000001</v>
      </c>
      <c r="V106">
        <f>INDEX(script.out!J:J,results.txt!$M106)</f>
        <v>120.14155</v>
      </c>
      <c r="W106">
        <f>INDEX(script.out!K:K,results.txt!$M106)</f>
        <v>367.89046000000002</v>
      </c>
      <c r="X106" t="str">
        <f>INDEX(script.out!L:L,results.txt!$M106)</f>
        <v>}</v>
      </c>
      <c r="Y106" t="str">
        <f>INDEX(script.out!M:M,results.txt!$M106)</f>
        <v>{</v>
      </c>
      <c r="Z106">
        <f>INDEX(script.out!N:N,results.txt!$M106)</f>
        <v>14.3964238405882</v>
      </c>
      <c r="AA106">
        <f>INDEX(script.out!O:O,results.txt!$M106)</f>
        <v>15</v>
      </c>
      <c r="AB106">
        <f>INDEX(script.out!P:P,results.txt!$M106)</f>
        <v>2075.29</v>
      </c>
      <c r="AC106" t="str">
        <f>INDEX(script.out!Q:Q,results.txt!$M106)</f>
        <v>}</v>
      </c>
      <c r="AD106">
        <f t="shared" si="1"/>
        <v>1</v>
      </c>
    </row>
    <row r="107" spans="1:30" x14ac:dyDescent="0.25">
      <c r="A107" s="12" t="s">
        <v>2</v>
      </c>
      <c r="B107" s="12">
        <v>-3</v>
      </c>
      <c r="C107" s="12">
        <v>1.04467</v>
      </c>
      <c r="D107" s="12">
        <v>4.5121000000000001E-2</v>
      </c>
      <c r="E107" s="12">
        <v>0.57565</v>
      </c>
      <c r="F107" s="12">
        <v>-3</v>
      </c>
      <c r="G107" s="12">
        <v>21.961300000000001</v>
      </c>
      <c r="H107" s="12">
        <v>49</v>
      </c>
      <c r="I107" s="12">
        <v>190.82300000000001</v>
      </c>
      <c r="J107" s="12" t="s">
        <v>3</v>
      </c>
      <c r="K107" s="12">
        <v>0</v>
      </c>
      <c r="M107">
        <f>MATCH(C107,script.out!B:B,0)</f>
        <v>724</v>
      </c>
      <c r="N107">
        <f>INDEX(script.out!B:B,results.txt!$M107)</f>
        <v>1.04467</v>
      </c>
      <c r="O107">
        <f>INDEX(script.out!C:C,results.txt!$M107)</f>
        <v>4.5121000000000001E-2</v>
      </c>
      <c r="P107">
        <f>INDEX(script.out!D:D,results.txt!$M107)</f>
        <v>0.57565</v>
      </c>
      <c r="Q107">
        <f>INDEX(script.out!E:E,results.txt!$M107)</f>
        <v>21.961256216318802</v>
      </c>
      <c r="R107">
        <f>INDEX(script.out!F:F,results.txt!$M107)</f>
        <v>49</v>
      </c>
      <c r="S107">
        <f>INDEX(script.out!G:G,results.txt!$M107)</f>
        <v>190.822811361231</v>
      </c>
      <c r="T107" t="str">
        <f>INDEX(script.out!H:H,results.txt!$M107)</f>
        <v>{</v>
      </c>
      <c r="U107">
        <f>INDEX(script.out!I:I,results.txt!$M107)</f>
        <v>1.1357299999999999</v>
      </c>
      <c r="V107">
        <f>INDEX(script.out!J:J,results.txt!$M107)</f>
        <v>122.5605</v>
      </c>
      <c r="W107">
        <f>INDEX(script.out!K:K,results.txt!$M107)</f>
        <v>349.63350000000003</v>
      </c>
      <c r="X107" t="str">
        <f>INDEX(script.out!L:L,results.txt!$M107)</f>
        <v>}</v>
      </c>
      <c r="Y107" t="str">
        <f>INDEX(script.out!M:M,results.txt!$M107)</f>
        <v>{</v>
      </c>
      <c r="Z107">
        <f>INDEX(script.out!N:N,results.txt!$M107)</f>
        <v>14.686283838642099</v>
      </c>
      <c r="AA107">
        <f>INDEX(script.out!O:O,results.txt!$M107)</f>
        <v>15</v>
      </c>
      <c r="AB107">
        <f>INDEX(script.out!P:P,results.txt!$M107)</f>
        <v>2257.94</v>
      </c>
      <c r="AC107" t="str">
        <f>INDEX(script.out!Q:Q,results.txt!$M107)</f>
        <v>}</v>
      </c>
      <c r="AD107">
        <f t="shared" si="1"/>
        <v>1</v>
      </c>
    </row>
    <row r="108" spans="1:30" x14ac:dyDescent="0.25">
      <c r="A108" s="12" t="s">
        <v>2</v>
      </c>
      <c r="B108" s="12">
        <v>-3</v>
      </c>
      <c r="C108" s="12">
        <v>0.89129000000000003</v>
      </c>
      <c r="D108" s="12">
        <v>0.316884</v>
      </c>
      <c r="E108" s="12">
        <v>0.56539700000000004</v>
      </c>
      <c r="F108" s="12">
        <v>-3</v>
      </c>
      <c r="G108" s="12">
        <v>439.69099999999997</v>
      </c>
      <c r="H108" s="12">
        <v>36</v>
      </c>
      <c r="I108" s="12">
        <v>0.105403</v>
      </c>
      <c r="J108" s="12" t="s">
        <v>3</v>
      </c>
      <c r="K108" s="12">
        <v>0</v>
      </c>
      <c r="M108">
        <f>MATCH(C108,script.out!B:B,0)</f>
        <v>726</v>
      </c>
      <c r="N108">
        <f>INDEX(script.out!B:B,results.txt!$M108)</f>
        <v>0.89129000000000003</v>
      </c>
      <c r="O108">
        <f>INDEX(script.out!C:C,results.txt!$M108)</f>
        <v>0.316884</v>
      </c>
      <c r="P108">
        <f>INDEX(script.out!D:D,results.txt!$M108)</f>
        <v>0.56539700000000004</v>
      </c>
      <c r="Q108">
        <f>INDEX(script.out!E:E,results.txt!$M108)</f>
        <v>439.69090036666802</v>
      </c>
      <c r="R108">
        <f>INDEX(script.out!F:F,results.txt!$M108)</f>
        <v>36</v>
      </c>
      <c r="S108">
        <f>INDEX(script.out!G:G,results.txt!$M108)</f>
        <v>0.105402514543066</v>
      </c>
      <c r="T108" t="str">
        <f>INDEX(script.out!H:H,results.txt!$M108)</f>
        <v>{</v>
      </c>
      <c r="U108">
        <f>INDEX(script.out!I:I,results.txt!$M108)</f>
        <v>1.0130300000000001</v>
      </c>
      <c r="V108">
        <f>INDEX(script.out!J:J,results.txt!$M108)</f>
        <v>258.44200000000001</v>
      </c>
      <c r="W108">
        <f>INDEX(script.out!K:K,results.txt!$M108)</f>
        <v>343.58422999999999</v>
      </c>
      <c r="X108" t="str">
        <f>INDEX(script.out!L:L,results.txt!$M108)</f>
        <v>}</v>
      </c>
      <c r="Y108" t="str">
        <f>INDEX(script.out!M:M,results.txt!$M108)</f>
        <v>{</v>
      </c>
      <c r="Z108">
        <f>INDEX(script.out!N:N,results.txt!$M108)</f>
        <v>30.968807795548798</v>
      </c>
      <c r="AA108">
        <f>INDEX(script.out!O:O,results.txt!$M108)</f>
        <v>14</v>
      </c>
      <c r="AB108">
        <f>INDEX(script.out!P:P,results.txt!$M108)</f>
        <v>7181.5</v>
      </c>
      <c r="AC108" t="str">
        <f>INDEX(script.out!Q:Q,results.txt!$M108)</f>
        <v>}</v>
      </c>
      <c r="AD108">
        <f t="shared" si="1"/>
        <v>1</v>
      </c>
    </row>
    <row r="109" spans="1:30" x14ac:dyDescent="0.25">
      <c r="A109" s="12" t="s">
        <v>2</v>
      </c>
      <c r="B109" s="12">
        <v>-3</v>
      </c>
      <c r="C109" s="12">
        <v>1.1464399999999999</v>
      </c>
      <c r="D109" s="12">
        <v>3.8861199999999999E-3</v>
      </c>
      <c r="E109" s="12">
        <v>0.66831600000000002</v>
      </c>
      <c r="F109" s="12">
        <v>-3</v>
      </c>
      <c r="G109" s="12">
        <v>4.9094100000000003</v>
      </c>
      <c r="H109" s="12">
        <v>56.25</v>
      </c>
      <c r="I109" s="12">
        <v>265.53399999999999</v>
      </c>
      <c r="J109" s="12" t="s">
        <v>3</v>
      </c>
      <c r="K109" s="12">
        <v>0</v>
      </c>
      <c r="M109">
        <f>MATCH(C109,script.out!B:B,0)</f>
        <v>733</v>
      </c>
      <c r="N109">
        <f>INDEX(script.out!B:B,results.txt!$M109)</f>
        <v>1.1464399999999999</v>
      </c>
      <c r="O109">
        <f>INDEX(script.out!C:C,results.txt!$M109)</f>
        <v>3.8861199999999999E-3</v>
      </c>
      <c r="P109">
        <f>INDEX(script.out!D:D,results.txt!$M109)</f>
        <v>0.66831600000000002</v>
      </c>
      <c r="Q109">
        <f>INDEX(script.out!E:E,results.txt!$M109)</f>
        <v>4.9094137979307</v>
      </c>
      <c r="R109">
        <f>INDEX(script.out!F:F,results.txt!$M109)</f>
        <v>56.25</v>
      </c>
      <c r="S109">
        <f>INDEX(script.out!G:G,results.txt!$M109)</f>
        <v>265.53372161756403</v>
      </c>
      <c r="T109" t="str">
        <f>INDEX(script.out!H:H,results.txt!$M109)</f>
        <v>{</v>
      </c>
      <c r="U109">
        <f>INDEX(script.out!I:I,results.txt!$M109)</f>
        <v>1.21715</v>
      </c>
      <c r="V109">
        <f>INDEX(script.out!J:J,results.txt!$M109)</f>
        <v>101.94306</v>
      </c>
      <c r="W109">
        <f>INDEX(script.out!K:K,results.txt!$M109)</f>
        <v>404.30644000000001</v>
      </c>
      <c r="X109" t="str">
        <f>INDEX(script.out!L:L,results.txt!$M109)</f>
        <v>}</v>
      </c>
      <c r="Y109" t="str">
        <f>INDEX(script.out!M:M,results.txt!$M109)</f>
        <v>{</v>
      </c>
      <c r="Z109">
        <f>INDEX(script.out!N:N,results.txt!$M109)</f>
        <v>12.215719702022501</v>
      </c>
      <c r="AA109">
        <f>INDEX(script.out!O:O,results.txt!$M109)</f>
        <v>15.5</v>
      </c>
      <c r="AB109">
        <f>INDEX(script.out!P:P,results.txt!$M109)</f>
        <v>1352.25</v>
      </c>
      <c r="AC109" t="str">
        <f>INDEX(script.out!Q:Q,results.txt!$M109)</f>
        <v>}</v>
      </c>
      <c r="AD109">
        <f t="shared" si="1"/>
        <v>1</v>
      </c>
    </row>
    <row r="110" spans="1:30" x14ac:dyDescent="0.25">
      <c r="A110" s="12" t="s">
        <v>2</v>
      </c>
      <c r="B110" s="12">
        <v>-3</v>
      </c>
      <c r="C110" s="12">
        <v>0.95921000000000001</v>
      </c>
      <c r="D110" s="12">
        <v>0.34667100000000001</v>
      </c>
      <c r="E110" s="12">
        <v>0.59077299999999999</v>
      </c>
      <c r="F110" s="12">
        <v>-3</v>
      </c>
      <c r="G110" s="12">
        <v>517.721</v>
      </c>
      <c r="H110" s="12">
        <v>30.25</v>
      </c>
      <c r="I110" s="12">
        <v>5.1367699999999997E-3</v>
      </c>
      <c r="J110" s="12" t="s">
        <v>3</v>
      </c>
      <c r="K110" s="12">
        <v>0</v>
      </c>
      <c r="M110">
        <f>MATCH(C110,script.out!B:B,0)</f>
        <v>737</v>
      </c>
      <c r="N110">
        <f>INDEX(script.out!B:B,results.txt!$M110)</f>
        <v>0.95921000000000001</v>
      </c>
      <c r="O110">
        <f>INDEX(script.out!C:C,results.txt!$M110)</f>
        <v>0.34667100000000001</v>
      </c>
      <c r="P110">
        <f>INDEX(script.out!D:D,results.txt!$M110)</f>
        <v>0.59077299999999999</v>
      </c>
      <c r="Q110">
        <f>INDEX(script.out!E:E,results.txt!$M110)</f>
        <v>517.72079665168496</v>
      </c>
      <c r="R110">
        <f>INDEX(script.out!F:F,results.txt!$M110)</f>
        <v>30.25</v>
      </c>
      <c r="S110">
        <f>INDEX(script.out!G:G,results.txt!$M110)</f>
        <v>5.1367656220679299E-3</v>
      </c>
      <c r="T110" t="str">
        <f>INDEX(script.out!H:H,results.txt!$M110)</f>
        <v>{</v>
      </c>
      <c r="U110">
        <f>INDEX(script.out!I:I,results.txt!$M110)</f>
        <v>1.0673600000000001</v>
      </c>
      <c r="V110">
        <f>INDEX(script.out!J:J,results.txt!$M110)</f>
        <v>273.33550000000002</v>
      </c>
      <c r="W110">
        <f>INDEX(script.out!K:K,results.txt!$M110)</f>
        <v>358.55606999999998</v>
      </c>
      <c r="X110" t="str">
        <f>INDEX(script.out!L:L,results.txt!$M110)</f>
        <v>}</v>
      </c>
      <c r="Y110" t="str">
        <f>INDEX(script.out!M:M,results.txt!$M110)</f>
        <v>{</v>
      </c>
      <c r="Z110">
        <f>INDEX(script.out!N:N,results.txt!$M110)</f>
        <v>32.753478781313497</v>
      </c>
      <c r="AA110">
        <f>INDEX(script.out!O:O,results.txt!$M110)</f>
        <v>13.5</v>
      </c>
      <c r="AB110">
        <f>INDEX(script.out!P:P,results.txt!$M110)</f>
        <v>7273.84</v>
      </c>
      <c r="AC110" t="str">
        <f>INDEX(script.out!Q:Q,results.txt!$M110)</f>
        <v>}</v>
      </c>
      <c r="AD110">
        <f t="shared" si="1"/>
        <v>1</v>
      </c>
    </row>
    <row r="111" spans="1:30" x14ac:dyDescent="0.25">
      <c r="A111" s="12" t="s">
        <v>2</v>
      </c>
      <c r="B111" s="12">
        <v>-3</v>
      </c>
      <c r="C111" s="12">
        <v>1.03688</v>
      </c>
      <c r="D111" s="12">
        <v>-1.9765399999999999E-2</v>
      </c>
      <c r="E111" s="12">
        <v>0.61463400000000001</v>
      </c>
      <c r="F111" s="12">
        <v>-3</v>
      </c>
      <c r="G111" s="12">
        <v>0.63784600000000002</v>
      </c>
      <c r="H111" s="12">
        <v>81</v>
      </c>
      <c r="I111" s="12">
        <v>279.13</v>
      </c>
      <c r="J111" s="12" t="s">
        <v>3</v>
      </c>
      <c r="K111" s="12">
        <v>0</v>
      </c>
      <c r="M111">
        <f>MATCH(C111,script.out!B:B,0)</f>
        <v>738</v>
      </c>
      <c r="N111">
        <f>INDEX(script.out!B:B,results.txt!$M111)</f>
        <v>1.03688</v>
      </c>
      <c r="O111">
        <f>INDEX(script.out!C:C,results.txt!$M111)</f>
        <v>-1.9765399999999999E-2</v>
      </c>
      <c r="P111">
        <f>INDEX(script.out!D:D,results.txt!$M111)</f>
        <v>0.61463400000000001</v>
      </c>
      <c r="Q111">
        <f>INDEX(script.out!E:E,results.txt!$M111)</f>
        <v>0.63784577464847103</v>
      </c>
      <c r="R111">
        <f>INDEX(script.out!F:F,results.txt!$M111)</f>
        <v>81</v>
      </c>
      <c r="S111">
        <f>INDEX(script.out!G:G,results.txt!$M111)</f>
        <v>279.12979947006897</v>
      </c>
      <c r="T111" t="str">
        <f>INDEX(script.out!H:H,results.txt!$M111)</f>
        <v>{</v>
      </c>
      <c r="U111">
        <f>INDEX(script.out!I:I,results.txt!$M111)</f>
        <v>1.1294999999999999</v>
      </c>
      <c r="V111">
        <f>INDEX(script.out!J:J,results.txt!$M111)</f>
        <v>90.1173</v>
      </c>
      <c r="W111">
        <f>INDEX(script.out!K:K,results.txt!$M111)</f>
        <v>372.63405999999998</v>
      </c>
      <c r="X111" t="str">
        <f>INDEX(script.out!L:L,results.txt!$M111)</f>
        <v>}</v>
      </c>
      <c r="Y111" t="str">
        <f>INDEX(script.out!M:M,results.txt!$M111)</f>
        <v>{</v>
      </c>
      <c r="Z111">
        <f>INDEX(script.out!N:N,results.txt!$M111)</f>
        <v>10.7986524742642</v>
      </c>
      <c r="AA111">
        <f>INDEX(script.out!O:O,results.txt!$M111)</f>
        <v>17</v>
      </c>
      <c r="AB111">
        <f>INDEX(script.out!P:P,results.txt!$M111)</f>
        <v>1201.8800000000001</v>
      </c>
      <c r="AC111" t="str">
        <f>INDEX(script.out!Q:Q,results.txt!$M111)</f>
        <v>}</v>
      </c>
      <c r="AD111">
        <f t="shared" si="1"/>
        <v>1</v>
      </c>
    </row>
    <row r="112" spans="1:30" x14ac:dyDescent="0.25">
      <c r="A112" s="12" t="s">
        <v>2</v>
      </c>
      <c r="B112" s="12">
        <v>-3</v>
      </c>
      <c r="C112" s="12">
        <v>0.99056900000000003</v>
      </c>
      <c r="D112" s="12">
        <v>7.1348499999999995E-2</v>
      </c>
      <c r="E112" s="12">
        <v>0.52140600000000004</v>
      </c>
      <c r="F112" s="12">
        <v>-3</v>
      </c>
      <c r="G112" s="12">
        <v>39.158700000000003</v>
      </c>
      <c r="H112" s="12">
        <v>56.25</v>
      </c>
      <c r="I112" s="12">
        <v>151.25800000000001</v>
      </c>
      <c r="J112" s="12" t="s">
        <v>3</v>
      </c>
      <c r="K112" s="12">
        <v>1</v>
      </c>
      <c r="M112">
        <f>MATCH(C112,script.out!B:B,0)</f>
        <v>743</v>
      </c>
      <c r="N112">
        <f>INDEX(script.out!B:B,results.txt!$M112)</f>
        <v>0.99056900000000003</v>
      </c>
      <c r="O112">
        <f>INDEX(script.out!C:C,results.txt!$M112)</f>
        <v>7.1348499999999995E-2</v>
      </c>
      <c r="P112">
        <f>INDEX(script.out!D:D,results.txt!$M112)</f>
        <v>0.52140600000000004</v>
      </c>
      <c r="Q112">
        <f>INDEX(script.out!E:E,results.txt!$M112)</f>
        <v>39.158676972657098</v>
      </c>
      <c r="R112">
        <f>INDEX(script.out!F:F,results.txt!$M112)</f>
        <v>56.25</v>
      </c>
      <c r="S112">
        <f>INDEX(script.out!G:G,results.txt!$M112)</f>
        <v>151.25765104447299</v>
      </c>
      <c r="T112" t="str">
        <f>INDEX(script.out!H:H,results.txt!$M112)</f>
        <v>{</v>
      </c>
      <c r="U112">
        <f>INDEX(script.out!I:I,results.txt!$M112)</f>
        <v>1.092455</v>
      </c>
      <c r="V112">
        <f>INDEX(script.out!J:J,results.txt!$M112)</f>
        <v>135.67425</v>
      </c>
      <c r="W112">
        <f>INDEX(script.out!K:K,results.txt!$M112)</f>
        <v>317.62954000000002</v>
      </c>
      <c r="X112" t="str">
        <f>INDEX(script.out!L:L,results.txt!$M112)</f>
        <v>}</v>
      </c>
      <c r="Y112" t="str">
        <f>INDEX(script.out!M:M,results.txt!$M112)</f>
        <v>{</v>
      </c>
      <c r="Z112">
        <f>INDEX(script.out!N:N,results.txt!$M112)</f>
        <v>16.257689427628701</v>
      </c>
      <c r="AA112">
        <f>INDEX(script.out!O:O,results.txt!$M112)</f>
        <v>15.5</v>
      </c>
      <c r="AB112">
        <f>INDEX(script.out!P:P,results.txt!$M112)</f>
        <v>2810.98</v>
      </c>
      <c r="AC112" t="str">
        <f>INDEX(script.out!Q:Q,results.txt!$M112)</f>
        <v>}</v>
      </c>
      <c r="AD112">
        <f t="shared" si="1"/>
        <v>1</v>
      </c>
    </row>
    <row r="113" spans="1:30" x14ac:dyDescent="0.25">
      <c r="A113" s="12" t="s">
        <v>2</v>
      </c>
      <c r="B113" s="12">
        <v>-3</v>
      </c>
      <c r="C113" s="12">
        <v>3.8540499999999998E-2</v>
      </c>
      <c r="D113" s="12">
        <v>4.3412499999999996E-3</v>
      </c>
      <c r="E113" s="12">
        <v>8.6211499999999996E-2</v>
      </c>
      <c r="F113" s="12">
        <v>-3</v>
      </c>
      <c r="G113" s="12">
        <v>5.0309999999999997</v>
      </c>
      <c r="H113" s="12">
        <v>110.25</v>
      </c>
      <c r="I113" s="12">
        <v>23.547499999999999</v>
      </c>
      <c r="J113" s="12" t="s">
        <v>3</v>
      </c>
      <c r="K113" s="12">
        <v>0</v>
      </c>
      <c r="M113">
        <f>MATCH(C113,script.out!B:B,0)</f>
        <v>745</v>
      </c>
      <c r="N113">
        <f>INDEX(script.out!B:B,results.txt!$M113)</f>
        <v>3.8540499999999998E-2</v>
      </c>
      <c r="O113">
        <f>INDEX(script.out!C:C,results.txt!$M113)</f>
        <v>4.3412499999999996E-3</v>
      </c>
      <c r="P113">
        <f>INDEX(script.out!D:D,results.txt!$M113)</f>
        <v>8.6211499999999996E-2</v>
      </c>
      <c r="Q113">
        <f>INDEX(script.out!E:E,results.txt!$M113)</f>
        <v>5.0309976551667903</v>
      </c>
      <c r="R113">
        <f>INDEX(script.out!F:F,results.txt!$M113)</f>
        <v>110.25</v>
      </c>
      <c r="S113">
        <f>INDEX(script.out!G:G,results.txt!$M113)</f>
        <v>23.547487454306602</v>
      </c>
      <c r="T113" t="str">
        <f>INDEX(script.out!H:H,results.txt!$M113)</f>
        <v>{</v>
      </c>
      <c r="U113">
        <f>INDEX(script.out!I:I,results.txt!$M113)</f>
        <v>0.33083240000000003</v>
      </c>
      <c r="V113">
        <f>INDEX(script.out!J:J,results.txt!$M113)</f>
        <v>102.170625</v>
      </c>
      <c r="W113">
        <f>INDEX(script.out!K:K,results.txt!$M113)</f>
        <v>60.864784999999998</v>
      </c>
      <c r="X113" t="str">
        <f>INDEX(script.out!L:L,results.txt!$M113)</f>
        <v>}</v>
      </c>
      <c r="Y113" t="str">
        <f>INDEX(script.out!M:M,results.txt!$M113)</f>
        <v>{</v>
      </c>
      <c r="Z113">
        <f>INDEX(script.out!N:N,results.txt!$M113)</f>
        <v>12.2429885543994</v>
      </c>
      <c r="AA113">
        <f>INDEX(script.out!O:O,results.txt!$M113)</f>
        <v>18.5</v>
      </c>
      <c r="AB113">
        <f>INDEX(script.out!P:P,results.txt!$M113)</f>
        <v>5528.81</v>
      </c>
      <c r="AC113" t="str">
        <f>INDEX(script.out!Q:Q,results.txt!$M113)</f>
        <v>}</v>
      </c>
      <c r="AD113">
        <f t="shared" si="1"/>
        <v>1</v>
      </c>
    </row>
    <row r="114" spans="1:30" x14ac:dyDescent="0.25">
      <c r="A114" s="12" t="s">
        <v>2</v>
      </c>
      <c r="B114" s="12">
        <v>-3</v>
      </c>
      <c r="C114" s="12">
        <v>1.2302</v>
      </c>
      <c r="D114" s="12">
        <v>0.69090600000000002</v>
      </c>
      <c r="E114" s="12">
        <v>0.88719700000000001</v>
      </c>
      <c r="F114" s="12">
        <v>-3</v>
      </c>
      <c r="G114" s="12">
        <v>1881.66</v>
      </c>
      <c r="H114" s="12">
        <v>20.25</v>
      </c>
      <c r="I114" s="12">
        <v>3.1974300000000002</v>
      </c>
      <c r="J114" s="12" t="s">
        <v>3</v>
      </c>
      <c r="K114" s="12">
        <v>1</v>
      </c>
      <c r="M114">
        <f>MATCH(C114,script.out!B:B,0)</f>
        <v>748</v>
      </c>
      <c r="N114">
        <f>INDEX(script.out!B:B,results.txt!$M114)</f>
        <v>1.2302</v>
      </c>
      <c r="O114">
        <f>INDEX(script.out!C:C,results.txt!$M114)</f>
        <v>0.69090600000000002</v>
      </c>
      <c r="P114">
        <f>INDEX(script.out!D:D,results.txt!$M114)</f>
        <v>0.88719700000000001</v>
      </c>
      <c r="Q114">
        <f>INDEX(script.out!E:E,results.txt!$M114)</f>
        <v>1881.6613786267401</v>
      </c>
      <c r="R114">
        <f>INDEX(script.out!F:F,results.txt!$M114)</f>
        <v>20.25</v>
      </c>
      <c r="S114">
        <f>INDEX(script.out!G:G,results.txt!$M114)</f>
        <v>3.1974338817789398</v>
      </c>
      <c r="T114" t="str">
        <f>INDEX(script.out!H:H,results.txt!$M114)</f>
        <v>{</v>
      </c>
      <c r="U114">
        <f>INDEX(script.out!I:I,results.txt!$M114)</f>
        <v>1.2841</v>
      </c>
      <c r="V114">
        <f>INDEX(script.out!J:J,results.txt!$M114)</f>
        <v>445.45299999999997</v>
      </c>
      <c r="W114">
        <f>INDEX(script.out!K:K,results.txt!$M114)</f>
        <v>533.44623000000001</v>
      </c>
      <c r="X114" t="str">
        <f>INDEX(script.out!L:L,results.txt!$M114)</f>
        <v>}</v>
      </c>
      <c r="Y114" t="str">
        <f>INDEX(script.out!M:M,results.txt!$M114)</f>
        <v>{</v>
      </c>
      <c r="Z114">
        <f>INDEX(script.out!N:N,results.txt!$M114)</f>
        <v>53.378120966989101</v>
      </c>
      <c r="AA114">
        <f>INDEX(script.out!O:O,results.txt!$M114)</f>
        <v>12.5</v>
      </c>
      <c r="AB114">
        <f>INDEX(script.out!P:P,results.txt!$M114)</f>
        <v>7952.67</v>
      </c>
      <c r="AC114" t="str">
        <f>INDEX(script.out!Q:Q,results.txt!$M114)</f>
        <v>}</v>
      </c>
      <c r="AD114">
        <f t="shared" si="1"/>
        <v>1</v>
      </c>
    </row>
    <row r="115" spans="1:30" x14ac:dyDescent="0.25">
      <c r="A115" s="12" t="s">
        <v>2</v>
      </c>
      <c r="B115" s="12">
        <v>-3</v>
      </c>
      <c r="C115" s="12">
        <v>0.50305299999999997</v>
      </c>
      <c r="D115" s="12">
        <v>-2.0377300000000001E-2</v>
      </c>
      <c r="E115" s="12">
        <v>0.13814499999999999</v>
      </c>
      <c r="F115" s="12">
        <v>-3</v>
      </c>
      <c r="G115" s="12">
        <v>0.58062999999999998</v>
      </c>
      <c r="H115" s="12">
        <v>132.25</v>
      </c>
      <c r="I115" s="12">
        <v>6.5738200000000004</v>
      </c>
      <c r="J115" s="12" t="s">
        <v>3</v>
      </c>
      <c r="K115" s="12">
        <v>0</v>
      </c>
      <c r="M115">
        <f>MATCH(C115,script.out!B:B,0)</f>
        <v>749</v>
      </c>
      <c r="N115">
        <f>INDEX(script.out!B:B,results.txt!$M115)</f>
        <v>0.50305299999999997</v>
      </c>
      <c r="O115">
        <f>INDEX(script.out!C:C,results.txt!$M115)</f>
        <v>-2.0377300000000001E-2</v>
      </c>
      <c r="P115">
        <f>INDEX(script.out!D:D,results.txt!$M115)</f>
        <v>0.13814499999999999</v>
      </c>
      <c r="Q115">
        <f>INDEX(script.out!E:E,results.txt!$M115)</f>
        <v>0.58063003633717403</v>
      </c>
      <c r="R115">
        <f>INDEX(script.out!F:F,results.txt!$M115)</f>
        <v>132.25</v>
      </c>
      <c r="S115">
        <f>INDEX(script.out!G:G,results.txt!$M115)</f>
        <v>6.5738150167010598</v>
      </c>
      <c r="T115" t="str">
        <f>INDEX(script.out!H:H,results.txt!$M115)</f>
        <v>{</v>
      </c>
      <c r="U115">
        <f>INDEX(script.out!I:I,results.txt!$M115)</f>
        <v>0.70244200000000001</v>
      </c>
      <c r="V115">
        <f>INDEX(script.out!J:J,results.txt!$M115)</f>
        <v>89.811350000000004</v>
      </c>
      <c r="W115">
        <f>INDEX(script.out!K:K,results.txt!$M115)</f>
        <v>91.505549999999999</v>
      </c>
      <c r="X115" t="str">
        <f>INDEX(script.out!L:L,results.txt!$M115)</f>
        <v>}</v>
      </c>
      <c r="Y115" t="str">
        <f>INDEX(script.out!M:M,results.txt!$M115)</f>
        <v>{</v>
      </c>
      <c r="Z115">
        <f>INDEX(script.out!N:N,results.txt!$M115)</f>
        <v>10.7619908374364</v>
      </c>
      <c r="AA115">
        <f>INDEX(script.out!O:O,results.txt!$M115)</f>
        <v>19.5</v>
      </c>
      <c r="AB115">
        <f>INDEX(script.out!P:P,results.txt!$M115)</f>
        <v>6364.16</v>
      </c>
      <c r="AC115" t="str">
        <f>INDEX(script.out!Q:Q,results.txt!$M115)</f>
        <v>}</v>
      </c>
      <c r="AD115">
        <f t="shared" si="1"/>
        <v>1</v>
      </c>
    </row>
    <row r="116" spans="1:30" x14ac:dyDescent="0.25">
      <c r="A116" s="12" t="s">
        <v>2</v>
      </c>
      <c r="B116" s="12">
        <v>-3</v>
      </c>
      <c r="C116" s="12">
        <v>1.0296000000000001</v>
      </c>
      <c r="D116" s="12">
        <v>7.5649300000000003E-2</v>
      </c>
      <c r="E116" s="12">
        <v>0.61594400000000005</v>
      </c>
      <c r="F116" s="12">
        <v>-3</v>
      </c>
      <c r="G116" s="12">
        <v>42.45</v>
      </c>
      <c r="H116" s="12">
        <v>49</v>
      </c>
      <c r="I116" s="12">
        <v>183.77600000000001</v>
      </c>
      <c r="J116" s="12" t="s">
        <v>3</v>
      </c>
      <c r="K116" s="12">
        <v>1</v>
      </c>
      <c r="M116">
        <f>MATCH(C116,script.out!B:B,0)</f>
        <v>750</v>
      </c>
      <c r="N116">
        <f>INDEX(script.out!B:B,results.txt!$M116)</f>
        <v>1.0296000000000001</v>
      </c>
      <c r="O116">
        <f>INDEX(script.out!C:C,results.txt!$M116)</f>
        <v>7.5649300000000003E-2</v>
      </c>
      <c r="P116">
        <f>INDEX(script.out!D:D,results.txt!$M116)</f>
        <v>0.61594400000000005</v>
      </c>
      <c r="Q116">
        <f>INDEX(script.out!E:E,results.txt!$M116)</f>
        <v>42.450038260337401</v>
      </c>
      <c r="R116">
        <f>INDEX(script.out!F:F,results.txt!$M116)</f>
        <v>49</v>
      </c>
      <c r="S116">
        <f>INDEX(script.out!G:G,results.txt!$M116)</f>
        <v>183.77627808669499</v>
      </c>
      <c r="T116" t="str">
        <f>INDEX(script.out!H:H,results.txt!$M116)</f>
        <v>{</v>
      </c>
      <c r="U116">
        <f>INDEX(script.out!I:I,results.txt!$M116)</f>
        <v>1.1235999999999999</v>
      </c>
      <c r="V116">
        <f>INDEX(script.out!J:J,results.txt!$M116)</f>
        <v>137.82464999999999</v>
      </c>
      <c r="W116">
        <f>INDEX(script.out!K:K,results.txt!$M116)</f>
        <v>373.40696000000003</v>
      </c>
      <c r="X116" t="str">
        <f>INDEX(script.out!L:L,results.txt!$M116)</f>
        <v>}</v>
      </c>
      <c r="Y116" t="str">
        <f>INDEX(script.out!M:M,results.txt!$M116)</f>
        <v>{</v>
      </c>
      <c r="Z116">
        <f>INDEX(script.out!N:N,results.txt!$M116)</f>
        <v>16.5153693878657</v>
      </c>
      <c r="AA116">
        <f>INDEX(script.out!O:O,results.txt!$M116)</f>
        <v>15</v>
      </c>
      <c r="AB116">
        <f>INDEX(script.out!P:P,results.txt!$M116)</f>
        <v>2351.91</v>
      </c>
      <c r="AC116" t="str">
        <f>INDEX(script.out!Q:Q,results.txt!$M116)</f>
        <v>}</v>
      </c>
      <c r="AD116">
        <f t="shared" si="1"/>
        <v>1</v>
      </c>
    </row>
    <row r="117" spans="1:30" x14ac:dyDescent="0.25">
      <c r="A117" s="12" t="s">
        <v>2</v>
      </c>
      <c r="B117" s="12">
        <v>-3</v>
      </c>
      <c r="C117" s="12">
        <v>0.97041500000000003</v>
      </c>
      <c r="D117" s="12">
        <v>0.105874</v>
      </c>
      <c r="E117" s="12">
        <v>0.58579700000000001</v>
      </c>
      <c r="F117" s="12">
        <v>-3</v>
      </c>
      <c r="G117" s="12">
        <v>69.326700000000002</v>
      </c>
      <c r="H117" s="12">
        <v>42.25</v>
      </c>
      <c r="I117" s="12">
        <v>111.712</v>
      </c>
      <c r="J117" s="12" t="s">
        <v>3</v>
      </c>
      <c r="K117" s="12">
        <v>0</v>
      </c>
      <c r="M117">
        <f>MATCH(C117,script.out!B:B,0)</f>
        <v>753</v>
      </c>
      <c r="N117">
        <f>INDEX(script.out!B:B,results.txt!$M117)</f>
        <v>0.97041500000000003</v>
      </c>
      <c r="O117">
        <f>INDEX(script.out!C:C,results.txt!$M117)</f>
        <v>0.105874</v>
      </c>
      <c r="P117">
        <f>INDEX(script.out!D:D,results.txt!$M117)</f>
        <v>0.58579700000000001</v>
      </c>
      <c r="Q117">
        <f>INDEX(script.out!E:E,results.txt!$M117)</f>
        <v>69.326687477635701</v>
      </c>
      <c r="R117">
        <f>INDEX(script.out!F:F,results.txt!$M117)</f>
        <v>42.25</v>
      </c>
      <c r="S117">
        <f>INDEX(script.out!G:G,results.txt!$M117)</f>
        <v>111.711579301182</v>
      </c>
      <c r="T117" t="str">
        <f>INDEX(script.out!H:H,results.txt!$M117)</f>
        <v>{</v>
      </c>
      <c r="U117">
        <f>INDEX(script.out!I:I,results.txt!$M117)</f>
        <v>1.0763320000000001</v>
      </c>
      <c r="V117">
        <f>INDEX(script.out!J:J,results.txt!$M117)</f>
        <v>152.93700000000001</v>
      </c>
      <c r="W117">
        <f>INDEX(script.out!K:K,results.txt!$M117)</f>
        <v>355.62022999999999</v>
      </c>
      <c r="X117" t="str">
        <f>INDEX(script.out!L:L,results.txt!$M117)</f>
        <v>}</v>
      </c>
      <c r="Y117" t="str">
        <f>INDEX(script.out!M:M,results.txt!$M117)</f>
        <v>{</v>
      </c>
      <c r="Z117">
        <f>INDEX(script.out!N:N,results.txt!$M117)</f>
        <v>18.326264917574701</v>
      </c>
      <c r="AA117">
        <f>INDEX(script.out!O:O,results.txt!$M117)</f>
        <v>14.5</v>
      </c>
      <c r="AB117">
        <f>INDEX(script.out!P:P,results.txt!$M117)</f>
        <v>3442.18</v>
      </c>
      <c r="AC117" t="str">
        <f>INDEX(script.out!Q:Q,results.txt!$M117)</f>
        <v>}</v>
      </c>
      <c r="AD117">
        <f t="shared" si="1"/>
        <v>1</v>
      </c>
    </row>
    <row r="118" spans="1:30" x14ac:dyDescent="0.25">
      <c r="A118" s="12" t="s">
        <v>2</v>
      </c>
      <c r="B118" s="12">
        <v>-3</v>
      </c>
      <c r="C118" s="12">
        <v>0.137846</v>
      </c>
      <c r="D118" s="12">
        <v>-2.7607199999999998E-2</v>
      </c>
      <c r="E118" s="12">
        <v>0.208874</v>
      </c>
      <c r="F118" s="12">
        <v>-3</v>
      </c>
      <c r="G118" s="12">
        <v>0.10811999999999999</v>
      </c>
      <c r="H118" s="12">
        <v>132.25</v>
      </c>
      <c r="I118" s="12">
        <v>126.051</v>
      </c>
      <c r="J118" s="12" t="s">
        <v>3</v>
      </c>
      <c r="K118" s="12">
        <v>0</v>
      </c>
      <c r="M118">
        <f>MATCH(C118,script.out!B:B,0)</f>
        <v>754</v>
      </c>
      <c r="N118">
        <f>INDEX(script.out!B:B,results.txt!$M118)</f>
        <v>0.137846</v>
      </c>
      <c r="O118">
        <f>INDEX(script.out!C:C,results.txt!$M118)</f>
        <v>-2.7607199999999998E-2</v>
      </c>
      <c r="P118">
        <f>INDEX(script.out!D:D,results.txt!$M118)</f>
        <v>0.208874</v>
      </c>
      <c r="Q118">
        <f>INDEX(script.out!E:E,results.txt!$M118)</f>
        <v>0.108119655476592</v>
      </c>
      <c r="R118">
        <f>INDEX(script.out!F:F,results.txt!$M118)</f>
        <v>132.25</v>
      </c>
      <c r="S118">
        <f>INDEX(script.out!G:G,results.txt!$M118)</f>
        <v>126.051373259523</v>
      </c>
      <c r="T118" t="str">
        <f>INDEX(script.out!H:H,results.txt!$M118)</f>
        <v>{</v>
      </c>
      <c r="U118">
        <f>INDEX(script.out!I:I,results.txt!$M118)</f>
        <v>0.41027599999999997</v>
      </c>
      <c r="V118">
        <f>INDEX(script.out!J:J,results.txt!$M118)</f>
        <v>86.196399999999997</v>
      </c>
      <c r="W118">
        <f>INDEX(script.out!K:K,results.txt!$M118)</f>
        <v>133.23566</v>
      </c>
      <c r="X118" t="str">
        <f>INDEX(script.out!L:L,results.txt!$M118)</f>
        <v>}</v>
      </c>
      <c r="Y118" t="str">
        <f>INDEX(script.out!M:M,results.txt!$M118)</f>
        <v>{</v>
      </c>
      <c r="Z118">
        <f>INDEX(script.out!N:N,results.txt!$M118)</f>
        <v>10.328815534116901</v>
      </c>
      <c r="AA118">
        <f>INDEX(script.out!O:O,results.txt!$M118)</f>
        <v>19.5</v>
      </c>
      <c r="AB118">
        <f>INDEX(script.out!P:P,results.txt!$M118)</f>
        <v>3202.05</v>
      </c>
      <c r="AC118" t="str">
        <f>INDEX(script.out!Q:Q,results.txt!$M118)</f>
        <v>}</v>
      </c>
      <c r="AD118">
        <f t="shared" si="1"/>
        <v>1</v>
      </c>
    </row>
    <row r="119" spans="1:30" x14ac:dyDescent="0.25">
      <c r="A119" s="12" t="s">
        <v>2</v>
      </c>
      <c r="B119" s="12">
        <v>-3</v>
      </c>
      <c r="C119" s="12">
        <v>0.89550600000000002</v>
      </c>
      <c r="D119" s="12">
        <v>0.190191</v>
      </c>
      <c r="E119" s="12">
        <v>0.36501499999999998</v>
      </c>
      <c r="F119" s="12">
        <v>-3</v>
      </c>
      <c r="G119" s="12">
        <v>178.97300000000001</v>
      </c>
      <c r="H119" s="12">
        <v>42.25</v>
      </c>
      <c r="I119" s="12">
        <v>7.9836400000000003</v>
      </c>
      <c r="J119" s="12" t="s">
        <v>3</v>
      </c>
      <c r="K119" s="12">
        <v>1</v>
      </c>
      <c r="M119">
        <f>MATCH(C119,script.out!B:B,0)</f>
        <v>756</v>
      </c>
      <c r="N119">
        <f>INDEX(script.out!B:B,results.txt!$M119)</f>
        <v>0.89550600000000002</v>
      </c>
      <c r="O119">
        <f>INDEX(script.out!C:C,results.txt!$M119)</f>
        <v>0.190191</v>
      </c>
      <c r="P119">
        <f>INDEX(script.out!D:D,results.txt!$M119)</f>
        <v>0.36501499999999998</v>
      </c>
      <c r="Q119">
        <f>INDEX(script.out!E:E,results.txt!$M119)</f>
        <v>178.97274391513201</v>
      </c>
      <c r="R119">
        <f>INDEX(script.out!F:F,results.txt!$M119)</f>
        <v>42.25</v>
      </c>
      <c r="S119">
        <f>INDEX(script.out!G:G,results.txt!$M119)</f>
        <v>7.9836437785700802</v>
      </c>
      <c r="T119" t="str">
        <f>INDEX(script.out!H:H,results.txt!$M119)</f>
        <v>{</v>
      </c>
      <c r="U119">
        <f>INDEX(script.out!I:I,results.txt!$M119)</f>
        <v>1.0164040000000001</v>
      </c>
      <c r="V119">
        <f>INDEX(script.out!J:J,results.txt!$M119)</f>
        <v>195.09549999999999</v>
      </c>
      <c r="W119">
        <f>INDEX(script.out!K:K,results.txt!$M119)</f>
        <v>225.35884999999999</v>
      </c>
      <c r="X119" t="str">
        <f>INDEX(script.out!L:L,results.txt!$M119)</f>
        <v>}</v>
      </c>
      <c r="Y119" t="str">
        <f>INDEX(script.out!M:M,results.txt!$M119)</f>
        <v>{</v>
      </c>
      <c r="Z119">
        <f>INDEX(script.out!N:N,results.txt!$M119)</f>
        <v>23.378069513765102</v>
      </c>
      <c r="AA119">
        <f>INDEX(script.out!O:O,results.txt!$M119)</f>
        <v>14.5</v>
      </c>
      <c r="AB119">
        <f>INDEX(script.out!P:P,results.txt!$M119)</f>
        <v>6268.68</v>
      </c>
      <c r="AC119" t="str">
        <f>INDEX(script.out!Q:Q,results.txt!$M119)</f>
        <v>}</v>
      </c>
      <c r="AD119">
        <f t="shared" si="1"/>
        <v>1</v>
      </c>
    </row>
    <row r="120" spans="1:30" x14ac:dyDescent="0.25">
      <c r="A120" s="12" t="s">
        <v>2</v>
      </c>
      <c r="B120" s="12">
        <v>-3</v>
      </c>
      <c r="C120" s="12">
        <v>1.0660799999999999</v>
      </c>
      <c r="D120" s="12">
        <v>-1.1938600000000001E-2</v>
      </c>
      <c r="E120" s="12">
        <v>0.62314700000000001</v>
      </c>
      <c r="F120" s="12">
        <v>-3</v>
      </c>
      <c r="G120" s="12">
        <v>1.6067899999999999</v>
      </c>
      <c r="H120" s="12">
        <v>72.25</v>
      </c>
      <c r="I120" s="12">
        <v>282.42</v>
      </c>
      <c r="J120" s="12" t="s">
        <v>3</v>
      </c>
      <c r="K120" s="12">
        <v>0</v>
      </c>
      <c r="M120">
        <f>MATCH(C120,script.out!B:B,0)</f>
        <v>761</v>
      </c>
      <c r="N120">
        <f>INDEX(script.out!B:B,results.txt!$M120)</f>
        <v>1.0660799999999999</v>
      </c>
      <c r="O120">
        <f>INDEX(script.out!C:C,results.txt!$M120)</f>
        <v>-1.1938600000000001E-2</v>
      </c>
      <c r="P120">
        <f>INDEX(script.out!D:D,results.txt!$M120)</f>
        <v>0.62314700000000001</v>
      </c>
      <c r="Q120">
        <f>INDEX(script.out!E:E,results.txt!$M120)</f>
        <v>1.60678617773848</v>
      </c>
      <c r="R120">
        <f>INDEX(script.out!F:F,results.txt!$M120)</f>
        <v>72.25</v>
      </c>
      <c r="S120">
        <f>INDEX(script.out!G:G,results.txt!$M120)</f>
        <v>282.41953539125501</v>
      </c>
      <c r="T120" t="str">
        <f>INDEX(script.out!H:H,results.txt!$M120)</f>
        <v>{</v>
      </c>
      <c r="U120">
        <f>INDEX(script.out!I:I,results.txt!$M120)</f>
        <v>1.15286</v>
      </c>
      <c r="V120">
        <f>INDEX(script.out!J:J,results.txt!$M120)</f>
        <v>94.030699999999996</v>
      </c>
      <c r="W120">
        <f>INDEX(script.out!K:K,results.txt!$M120)</f>
        <v>377.65672999999998</v>
      </c>
      <c r="X120" t="str">
        <f>INDEX(script.out!L:L,results.txt!$M120)</f>
        <v>}</v>
      </c>
      <c r="Y120" t="str">
        <f>INDEX(script.out!M:M,results.txt!$M120)</f>
        <v>{</v>
      </c>
      <c r="Z120">
        <f>INDEX(script.out!N:N,results.txt!$M120)</f>
        <v>11.2675906980324</v>
      </c>
      <c r="AA120">
        <f>INDEX(script.out!O:O,results.txt!$M120)</f>
        <v>16.5</v>
      </c>
      <c r="AB120">
        <f>INDEX(script.out!P:P,results.txt!$M120)</f>
        <v>1166.05</v>
      </c>
      <c r="AC120" t="str">
        <f>INDEX(script.out!Q:Q,results.txt!$M120)</f>
        <v>}</v>
      </c>
      <c r="AD120">
        <f t="shared" si="1"/>
        <v>1</v>
      </c>
    </row>
    <row r="121" spans="1:30" x14ac:dyDescent="0.25">
      <c r="A121" s="12" t="s">
        <v>2</v>
      </c>
      <c r="B121" s="12">
        <v>-3</v>
      </c>
      <c r="C121" s="12">
        <v>0.210565</v>
      </c>
      <c r="D121" s="12">
        <v>6.5054400000000004E-3</v>
      </c>
      <c r="E121" s="12">
        <v>9.6895899999999993E-2</v>
      </c>
      <c r="F121" s="12">
        <v>-3</v>
      </c>
      <c r="G121" s="12">
        <v>5.6294899999999997</v>
      </c>
      <c r="H121" s="12">
        <v>132.25</v>
      </c>
      <c r="I121" s="13">
        <v>2.2464999999999999E-5</v>
      </c>
      <c r="J121" s="12" t="s">
        <v>3</v>
      </c>
      <c r="K121" s="12">
        <v>0</v>
      </c>
      <c r="M121">
        <f>MATCH(C121,script.out!B:B,0)</f>
        <v>764</v>
      </c>
      <c r="N121">
        <f>INDEX(script.out!B:B,results.txt!$M121)</f>
        <v>0.210565</v>
      </c>
      <c r="O121">
        <f>INDEX(script.out!C:C,results.txt!$M121)</f>
        <v>6.5054400000000004E-3</v>
      </c>
      <c r="P121">
        <f>INDEX(script.out!D:D,results.txt!$M121)</f>
        <v>9.6895899999999993E-2</v>
      </c>
      <c r="Q121">
        <f>INDEX(script.out!E:E,results.txt!$M121)</f>
        <v>5.6294905837784199</v>
      </c>
      <c r="R121">
        <f>INDEX(script.out!F:F,results.txt!$M121)</f>
        <v>132.25</v>
      </c>
      <c r="S121">
        <f>INDEX(script.out!G:G,results.txt!$M121)</f>
        <v>2.2465002814787001E-5</v>
      </c>
      <c r="T121" t="str">
        <f>INDEX(script.out!H:H,results.txt!$M121)</f>
        <v>{</v>
      </c>
      <c r="U121">
        <f>INDEX(script.out!I:I,results.txt!$M121)</f>
        <v>0.46845199999999998</v>
      </c>
      <c r="V121">
        <f>INDEX(script.out!J:J,results.txt!$M121)</f>
        <v>103.25272</v>
      </c>
      <c r="W121">
        <f>INDEX(script.out!K:K,results.txt!$M121)</f>
        <v>67.168581000000003</v>
      </c>
      <c r="X121" t="str">
        <f>INDEX(script.out!L:L,results.txt!$M121)</f>
        <v>}</v>
      </c>
      <c r="Y121" t="str">
        <f>INDEX(script.out!M:M,results.txt!$M121)</f>
        <v>{</v>
      </c>
      <c r="Z121">
        <f>INDEX(script.out!N:N,results.txt!$M121)</f>
        <v>12.372654754442401</v>
      </c>
      <c r="AA121">
        <f>INDEX(script.out!O:O,results.txt!$M121)</f>
        <v>19.5</v>
      </c>
      <c r="AB121">
        <f>INDEX(script.out!P:P,results.txt!$M121)</f>
        <v>7301.73</v>
      </c>
      <c r="AC121" t="str">
        <f>INDEX(script.out!Q:Q,results.txt!$M121)</f>
        <v>}</v>
      </c>
      <c r="AD121">
        <f t="shared" si="1"/>
        <v>1</v>
      </c>
    </row>
    <row r="122" spans="1:30" x14ac:dyDescent="0.25">
      <c r="A122" s="12" t="s">
        <v>2</v>
      </c>
      <c r="B122" s="12">
        <v>-3</v>
      </c>
      <c r="C122" s="12">
        <v>0.82169099999999995</v>
      </c>
      <c r="D122" s="12">
        <v>7.8037800000000004E-2</v>
      </c>
      <c r="E122" s="12">
        <v>0.65423600000000004</v>
      </c>
      <c r="F122" s="12">
        <v>-3</v>
      </c>
      <c r="G122" s="12">
        <v>44.335299999999997</v>
      </c>
      <c r="H122" s="12">
        <v>56.25</v>
      </c>
      <c r="I122" s="12">
        <v>141.91800000000001</v>
      </c>
      <c r="J122" s="12" t="s">
        <v>3</v>
      </c>
      <c r="K122" s="12">
        <v>0</v>
      </c>
      <c r="M122">
        <f>MATCH(C122,script.out!B:B,0)</f>
        <v>769</v>
      </c>
      <c r="N122">
        <f>INDEX(script.out!B:B,results.txt!$M122)</f>
        <v>0.82169099999999995</v>
      </c>
      <c r="O122">
        <f>INDEX(script.out!C:C,results.txt!$M122)</f>
        <v>7.8037800000000004E-2</v>
      </c>
      <c r="P122">
        <f>INDEX(script.out!D:D,results.txt!$M122)</f>
        <v>0.65423600000000004</v>
      </c>
      <c r="Q122">
        <f>INDEX(script.out!E:E,results.txt!$M122)</f>
        <v>44.335289227651103</v>
      </c>
      <c r="R122">
        <f>INDEX(script.out!F:F,results.txt!$M122)</f>
        <v>56.25</v>
      </c>
      <c r="S122">
        <f>INDEX(script.out!G:G,results.txt!$M122)</f>
        <v>141.917937086883</v>
      </c>
      <c r="T122" t="str">
        <f>INDEX(script.out!H:H,results.txt!$M122)</f>
        <v>{</v>
      </c>
      <c r="U122">
        <f>INDEX(script.out!I:I,results.txt!$M122)</f>
        <v>0.95735199999999998</v>
      </c>
      <c r="V122">
        <f>INDEX(script.out!J:J,results.txt!$M122)</f>
        <v>139.0189</v>
      </c>
      <c r="W122">
        <f>INDEX(script.out!K:K,results.txt!$M122)</f>
        <v>395.99923999999999</v>
      </c>
      <c r="X122" t="str">
        <f>INDEX(script.out!L:L,results.txt!$M122)</f>
        <v>}</v>
      </c>
      <c r="Y122" t="str">
        <f>INDEX(script.out!M:M,results.txt!$M122)</f>
        <v>{</v>
      </c>
      <c r="Z122">
        <f>INDEX(script.out!N:N,results.txt!$M122)</f>
        <v>16.658474992642901</v>
      </c>
      <c r="AA122">
        <f>INDEX(script.out!O:O,results.txt!$M122)</f>
        <v>15.5</v>
      </c>
      <c r="AB122">
        <f>INDEX(script.out!P:P,results.txt!$M122)</f>
        <v>2951.78</v>
      </c>
      <c r="AC122" t="str">
        <f>INDEX(script.out!Q:Q,results.txt!$M122)</f>
        <v>}</v>
      </c>
      <c r="AD122">
        <f t="shared" si="1"/>
        <v>1</v>
      </c>
    </row>
    <row r="123" spans="1:30" x14ac:dyDescent="0.25">
      <c r="A123" s="12" t="s">
        <v>2</v>
      </c>
      <c r="B123" s="12">
        <v>-3</v>
      </c>
      <c r="C123" s="12">
        <v>1.1841200000000001</v>
      </c>
      <c r="D123" s="12">
        <v>-2.1138500000000001E-2</v>
      </c>
      <c r="E123" s="12">
        <v>0.58893799999999996</v>
      </c>
      <c r="F123" s="12">
        <v>-3</v>
      </c>
      <c r="G123" s="12">
        <v>0.51320600000000005</v>
      </c>
      <c r="H123" s="12">
        <v>64</v>
      </c>
      <c r="I123" s="12">
        <v>282.43900000000002</v>
      </c>
      <c r="J123" s="12" t="s">
        <v>3</v>
      </c>
      <c r="K123" s="12">
        <v>0</v>
      </c>
      <c r="M123">
        <f>MATCH(C123,script.out!B:B,0)</f>
        <v>770</v>
      </c>
      <c r="N123">
        <f>INDEX(script.out!B:B,results.txt!$M123)</f>
        <v>1.1841200000000001</v>
      </c>
      <c r="O123">
        <f>INDEX(script.out!C:C,results.txt!$M123)</f>
        <v>-2.1138500000000001E-2</v>
      </c>
      <c r="P123">
        <f>INDEX(script.out!D:D,results.txt!$M123)</f>
        <v>0.58893799999999996</v>
      </c>
      <c r="Q123">
        <f>INDEX(script.out!E:E,results.txt!$M123)</f>
        <v>0.51320600238005698</v>
      </c>
      <c r="R123">
        <f>INDEX(script.out!F:F,results.txt!$M123)</f>
        <v>64</v>
      </c>
      <c r="S123">
        <f>INDEX(script.out!G:G,results.txt!$M123)</f>
        <v>282.43887337661801</v>
      </c>
      <c r="T123" t="str">
        <f>INDEX(script.out!H:H,results.txt!$M123)</f>
        <v>{</v>
      </c>
      <c r="U123">
        <f>INDEX(script.out!I:I,results.txt!$M123)</f>
        <v>1.24729</v>
      </c>
      <c r="V123">
        <f>INDEX(script.out!J:J,results.txt!$M123)</f>
        <v>89.430750000000003</v>
      </c>
      <c r="W123">
        <f>INDEX(script.out!K:K,results.txt!$M123)</f>
        <v>357.47341999999998</v>
      </c>
      <c r="X123" t="str">
        <f>INDEX(script.out!L:L,results.txt!$M123)</f>
        <v>}</v>
      </c>
      <c r="Y123" t="str">
        <f>INDEX(script.out!M:M,results.txt!$M123)</f>
        <v>{</v>
      </c>
      <c r="Z123">
        <f>INDEX(script.out!N:N,results.txt!$M123)</f>
        <v>10.716383976914599</v>
      </c>
      <c r="AA123">
        <f>INDEX(script.out!O:O,results.txt!$M123)</f>
        <v>16</v>
      </c>
      <c r="AB123">
        <f>INDEX(script.out!P:P,results.txt!$M123)</f>
        <v>1165.8399999999999</v>
      </c>
      <c r="AC123" t="str">
        <f>INDEX(script.out!Q:Q,results.txt!$M123)</f>
        <v>}</v>
      </c>
      <c r="AD123">
        <f t="shared" si="1"/>
        <v>1</v>
      </c>
    </row>
    <row r="124" spans="1:30" x14ac:dyDescent="0.25">
      <c r="A124" s="12" t="s">
        <v>2</v>
      </c>
      <c r="B124" s="12">
        <v>-3</v>
      </c>
      <c r="C124" s="12">
        <v>0.95099100000000003</v>
      </c>
      <c r="D124" s="12">
        <v>4.6025700000000003E-2</v>
      </c>
      <c r="E124" s="12">
        <v>0.53393000000000002</v>
      </c>
      <c r="F124" s="12">
        <v>-3</v>
      </c>
      <c r="G124" s="12">
        <v>22.472200000000001</v>
      </c>
      <c r="H124" s="12">
        <v>56.25</v>
      </c>
      <c r="I124" s="12">
        <v>173.703</v>
      </c>
      <c r="J124" s="12" t="s">
        <v>3</v>
      </c>
      <c r="K124" s="12">
        <v>0</v>
      </c>
      <c r="M124">
        <f>MATCH(C124,script.out!B:B,0)</f>
        <v>772</v>
      </c>
      <c r="N124">
        <f>INDEX(script.out!B:B,results.txt!$M124)</f>
        <v>0.95099100000000003</v>
      </c>
      <c r="O124">
        <f>INDEX(script.out!C:C,results.txt!$M124)</f>
        <v>4.6025700000000003E-2</v>
      </c>
      <c r="P124">
        <f>INDEX(script.out!D:D,results.txt!$M124)</f>
        <v>0.53393000000000002</v>
      </c>
      <c r="Q124">
        <f>INDEX(script.out!E:E,results.txt!$M124)</f>
        <v>22.472230452488201</v>
      </c>
      <c r="R124">
        <f>INDEX(script.out!F:F,results.txt!$M124)</f>
        <v>56.25</v>
      </c>
      <c r="S124">
        <f>INDEX(script.out!G:G,results.txt!$M124)</f>
        <v>173.703011633702</v>
      </c>
      <c r="T124" t="str">
        <f>INDEX(script.out!H:H,results.txt!$M124)</f>
        <v>{</v>
      </c>
      <c r="U124">
        <f>INDEX(script.out!I:I,results.txt!$M124)</f>
        <v>1.060792</v>
      </c>
      <c r="V124">
        <f>INDEX(script.out!J:J,results.txt!$M124)</f>
        <v>123.01285</v>
      </c>
      <c r="W124">
        <f>INDEX(script.out!K:K,results.txt!$M124)</f>
        <v>325.01870000000002</v>
      </c>
      <c r="X124" t="str">
        <f>INDEX(script.out!L:L,results.txt!$M124)</f>
        <v>}</v>
      </c>
      <c r="Y124" t="str">
        <f>INDEX(script.out!M:M,results.txt!$M124)</f>
        <v>{</v>
      </c>
      <c r="Z124">
        <f>INDEX(script.out!N:N,results.txt!$M124)</f>
        <v>14.740488419191401</v>
      </c>
      <c r="AA124">
        <f>INDEX(script.out!O:O,results.txt!$M124)</f>
        <v>15.5</v>
      </c>
      <c r="AB124">
        <f>INDEX(script.out!P:P,results.txt!$M124)</f>
        <v>2489.4299999999998</v>
      </c>
      <c r="AC124" t="str">
        <f>INDEX(script.out!Q:Q,results.txt!$M124)</f>
        <v>}</v>
      </c>
      <c r="AD124">
        <f t="shared" si="1"/>
        <v>1</v>
      </c>
    </row>
    <row r="125" spans="1:30" x14ac:dyDescent="0.25">
      <c r="A125" s="12" t="s">
        <v>2</v>
      </c>
      <c r="B125" s="12">
        <v>-3</v>
      </c>
      <c r="C125" s="12">
        <v>0.90958000000000006</v>
      </c>
      <c r="D125" s="12">
        <v>7.2333200000000003E-4</v>
      </c>
      <c r="E125" s="12">
        <v>0.62061599999999995</v>
      </c>
      <c r="F125" s="12">
        <v>-3</v>
      </c>
      <c r="G125" s="12">
        <v>4.1055799999999998</v>
      </c>
      <c r="H125" s="12">
        <v>72.25</v>
      </c>
      <c r="I125" s="12">
        <v>252.548</v>
      </c>
      <c r="J125" s="12" t="s">
        <v>3</v>
      </c>
      <c r="K125" s="12">
        <v>0</v>
      </c>
      <c r="M125">
        <f>MATCH(C125,script.out!B:B,0)</f>
        <v>774</v>
      </c>
      <c r="N125">
        <f>INDEX(script.out!B:B,results.txt!$M125)</f>
        <v>0.90958000000000006</v>
      </c>
      <c r="O125">
        <f>INDEX(script.out!C:C,results.txt!$M125)</f>
        <v>7.2333200000000003E-4</v>
      </c>
      <c r="P125">
        <f>INDEX(script.out!D:D,results.txt!$M125)</f>
        <v>0.62061599999999995</v>
      </c>
      <c r="Q125">
        <f>INDEX(script.out!E:E,results.txt!$M125)</f>
        <v>4.1055799566545499</v>
      </c>
      <c r="R125">
        <f>INDEX(script.out!F:F,results.txt!$M125)</f>
        <v>72.25</v>
      </c>
      <c r="S125">
        <f>INDEX(script.out!G:G,results.txt!$M125)</f>
        <v>252.547826910114</v>
      </c>
      <c r="T125" t="str">
        <f>INDEX(script.out!H:H,results.txt!$M125)</f>
        <v>{</v>
      </c>
      <c r="U125">
        <f>INDEX(script.out!I:I,results.txt!$M125)</f>
        <v>1.02766</v>
      </c>
      <c r="V125">
        <f>INDEX(script.out!J:J,results.txt!$M125)</f>
        <v>100.361666</v>
      </c>
      <c r="W125">
        <f>INDEX(script.out!K:K,results.txt!$M125)</f>
        <v>376.16343999999998</v>
      </c>
      <c r="X125" t="str">
        <f>INDEX(script.out!L:L,results.txt!$M125)</f>
        <v>}</v>
      </c>
      <c r="Y125" t="str">
        <f>INDEX(script.out!M:M,results.txt!$M125)</f>
        <v>{</v>
      </c>
      <c r="Z125">
        <f>INDEX(script.out!N:N,results.txt!$M125)</f>
        <v>12.026223076725399</v>
      </c>
      <c r="AA125">
        <f>INDEX(script.out!O:O,results.txt!$M125)</f>
        <v>16.5</v>
      </c>
      <c r="AB125">
        <f>INDEX(script.out!P:P,results.txt!$M125)</f>
        <v>1499.51</v>
      </c>
      <c r="AC125" t="str">
        <f>INDEX(script.out!Q:Q,results.txt!$M125)</f>
        <v>}</v>
      </c>
      <c r="AD125">
        <f t="shared" si="1"/>
        <v>1</v>
      </c>
    </row>
    <row r="126" spans="1:30" x14ac:dyDescent="0.25">
      <c r="A126" s="12" t="s">
        <v>2</v>
      </c>
      <c r="B126" s="12">
        <v>-3</v>
      </c>
      <c r="C126" s="12">
        <v>0.89823500000000001</v>
      </c>
      <c r="D126" s="12">
        <v>0.29504799999999998</v>
      </c>
      <c r="E126" s="12">
        <v>0.57559700000000003</v>
      </c>
      <c r="F126" s="12">
        <v>-3</v>
      </c>
      <c r="G126" s="12">
        <v>386.536</v>
      </c>
      <c r="H126" s="12">
        <v>36</v>
      </c>
      <c r="I126" s="12">
        <v>1.7406600000000001</v>
      </c>
      <c r="J126" s="12" t="s">
        <v>3</v>
      </c>
      <c r="K126" s="12">
        <v>0</v>
      </c>
      <c r="M126">
        <f>MATCH(C126,script.out!B:B,0)</f>
        <v>775</v>
      </c>
      <c r="N126">
        <f>INDEX(script.out!B:B,results.txt!$M126)</f>
        <v>0.89823500000000001</v>
      </c>
      <c r="O126">
        <f>INDEX(script.out!C:C,results.txt!$M126)</f>
        <v>0.29504799999999998</v>
      </c>
      <c r="P126">
        <f>INDEX(script.out!D:D,results.txt!$M126)</f>
        <v>0.57559700000000003</v>
      </c>
      <c r="Q126">
        <f>INDEX(script.out!E:E,results.txt!$M126)</f>
        <v>386.53590531803098</v>
      </c>
      <c r="R126">
        <f>INDEX(script.out!F:F,results.txt!$M126)</f>
        <v>36</v>
      </c>
      <c r="S126">
        <f>INDEX(script.out!G:G,results.txt!$M126)</f>
        <v>1.7406645419403199</v>
      </c>
      <c r="T126" t="str">
        <f>INDEX(script.out!H:H,results.txt!$M126)</f>
        <v>{</v>
      </c>
      <c r="U126">
        <f>INDEX(script.out!I:I,results.txt!$M126)</f>
        <v>1.018588</v>
      </c>
      <c r="V126">
        <f>INDEX(script.out!J:J,results.txt!$M126)</f>
        <v>247.524</v>
      </c>
      <c r="W126">
        <f>INDEX(script.out!K:K,results.txt!$M126)</f>
        <v>349.60223000000002</v>
      </c>
      <c r="X126" t="str">
        <f>INDEX(script.out!L:L,results.txt!$M126)</f>
        <v>}</v>
      </c>
      <c r="Y126" t="str">
        <f>INDEX(script.out!M:M,results.txt!$M126)</f>
        <v>{</v>
      </c>
      <c r="Z126">
        <f>INDEX(script.out!N:N,results.txt!$M126)</f>
        <v>29.660516405171801</v>
      </c>
      <c r="AA126">
        <f>INDEX(script.out!O:O,results.txt!$M126)</f>
        <v>14</v>
      </c>
      <c r="AB126">
        <f>INDEX(script.out!P:P,results.txt!$M126)</f>
        <v>6818.44</v>
      </c>
      <c r="AC126" t="str">
        <f>INDEX(script.out!Q:Q,results.txt!$M126)</f>
        <v>}</v>
      </c>
      <c r="AD126">
        <f t="shared" si="1"/>
        <v>1</v>
      </c>
    </row>
    <row r="127" spans="1:30" x14ac:dyDescent="0.25">
      <c r="A127" s="12" t="s">
        <v>2</v>
      </c>
      <c r="B127" s="12">
        <v>-3</v>
      </c>
      <c r="C127" s="12">
        <v>1.0422400000000001</v>
      </c>
      <c r="D127" s="12">
        <v>0.13772699999999999</v>
      </c>
      <c r="E127" s="12">
        <v>0.63768800000000003</v>
      </c>
      <c r="F127" s="12">
        <v>-3</v>
      </c>
      <c r="G127" s="12">
        <v>104.749</v>
      </c>
      <c r="H127" s="12">
        <v>36</v>
      </c>
      <c r="I127" s="12">
        <v>113.83799999999999</v>
      </c>
      <c r="J127" s="12" t="s">
        <v>3</v>
      </c>
      <c r="K127" s="12">
        <v>0</v>
      </c>
      <c r="M127">
        <f>MATCH(C127,script.out!B:B,0)</f>
        <v>776</v>
      </c>
      <c r="N127">
        <f>INDEX(script.out!B:B,results.txt!$M127)</f>
        <v>1.0422400000000001</v>
      </c>
      <c r="O127">
        <f>INDEX(script.out!C:C,results.txt!$M127)</f>
        <v>0.13772699999999999</v>
      </c>
      <c r="P127">
        <f>INDEX(script.out!D:D,results.txt!$M127)</f>
        <v>0.63768800000000003</v>
      </c>
      <c r="Q127">
        <f>INDEX(script.out!E:E,results.txt!$M127)</f>
        <v>104.74947517799301</v>
      </c>
      <c r="R127">
        <f>INDEX(script.out!F:F,results.txt!$M127)</f>
        <v>36</v>
      </c>
      <c r="S127">
        <f>INDEX(script.out!G:G,results.txt!$M127)</f>
        <v>113.83837640758099</v>
      </c>
      <c r="T127" t="str">
        <f>INDEX(script.out!H:H,results.txt!$M127)</f>
        <v>{</v>
      </c>
      <c r="U127">
        <f>INDEX(script.out!I:I,results.txt!$M127)</f>
        <v>1.1337900000000001</v>
      </c>
      <c r="V127">
        <f>INDEX(script.out!J:J,results.txt!$M127)</f>
        <v>168.86349999999999</v>
      </c>
      <c r="W127">
        <f>INDEX(script.out!K:K,results.txt!$M127)</f>
        <v>386.23592000000002</v>
      </c>
      <c r="X127" t="str">
        <f>INDEX(script.out!L:L,results.txt!$M127)</f>
        <v>}</v>
      </c>
      <c r="Y127" t="str">
        <f>INDEX(script.out!M:M,results.txt!$M127)</f>
        <v>{</v>
      </c>
      <c r="Z127">
        <f>INDEX(script.out!N:N,results.txt!$M127)</f>
        <v>20.234719105964398</v>
      </c>
      <c r="AA127">
        <f>INDEX(script.out!O:O,results.txt!$M127)</f>
        <v>14</v>
      </c>
      <c r="AB127">
        <f>INDEX(script.out!P:P,results.txt!$M127)</f>
        <v>3405.63</v>
      </c>
      <c r="AC127" t="str">
        <f>INDEX(script.out!Q:Q,results.txt!$M127)</f>
        <v>}</v>
      </c>
      <c r="AD127">
        <f t="shared" si="1"/>
        <v>1</v>
      </c>
    </row>
    <row r="128" spans="1:30" x14ac:dyDescent="0.25">
      <c r="A128" s="12" t="s">
        <v>2</v>
      </c>
      <c r="B128" s="12">
        <v>-3</v>
      </c>
      <c r="C128" s="12">
        <v>1.0946899999999999</v>
      </c>
      <c r="D128" s="12">
        <v>9.2437900000000003E-2</v>
      </c>
      <c r="E128" s="12">
        <v>0.57492900000000002</v>
      </c>
      <c r="F128" s="12">
        <v>-3</v>
      </c>
      <c r="G128" s="12">
        <v>56.569200000000002</v>
      </c>
      <c r="H128" s="12">
        <v>42.25</v>
      </c>
      <c r="I128" s="12">
        <v>165.7</v>
      </c>
      <c r="J128" s="12" t="s">
        <v>3</v>
      </c>
      <c r="K128" s="12">
        <v>0</v>
      </c>
      <c r="M128">
        <f>MATCH(C128,script.out!B:B,0)</f>
        <v>778</v>
      </c>
      <c r="N128">
        <f>INDEX(script.out!B:B,results.txt!$M128)</f>
        <v>1.0946899999999999</v>
      </c>
      <c r="O128">
        <f>INDEX(script.out!C:C,results.txt!$M128)</f>
        <v>9.2437900000000003E-2</v>
      </c>
      <c r="P128">
        <f>INDEX(script.out!D:D,results.txt!$M128)</f>
        <v>0.57492900000000002</v>
      </c>
      <c r="Q128">
        <f>INDEX(script.out!E:E,results.txt!$M128)</f>
        <v>56.5691821289901</v>
      </c>
      <c r="R128">
        <f>INDEX(script.out!F:F,results.txt!$M128)</f>
        <v>42.25</v>
      </c>
      <c r="S128">
        <f>INDEX(script.out!G:G,results.txt!$M128)</f>
        <v>165.70037457308999</v>
      </c>
      <c r="T128" t="str">
        <f>INDEX(script.out!H:H,results.txt!$M128)</f>
        <v>{</v>
      </c>
      <c r="U128">
        <f>INDEX(script.out!I:I,results.txt!$M128)</f>
        <v>1.1757500000000001</v>
      </c>
      <c r="V128">
        <f>INDEX(script.out!J:J,results.txt!$M128)</f>
        <v>146.21895000000001</v>
      </c>
      <c r="W128">
        <f>INDEX(script.out!K:K,results.txt!$M128)</f>
        <v>349.20810999999998</v>
      </c>
      <c r="X128" t="str">
        <f>INDEX(script.out!L:L,results.txt!$M128)</f>
        <v>}</v>
      </c>
      <c r="Y128" t="str">
        <f>INDEX(script.out!M:M,results.txt!$M128)</f>
        <v>{</v>
      </c>
      <c r="Z128">
        <f>INDEX(script.out!N:N,results.txt!$M128)</f>
        <v>17.521248708092902</v>
      </c>
      <c r="AA128">
        <f>INDEX(script.out!O:O,results.txt!$M128)</f>
        <v>14.5</v>
      </c>
      <c r="AB128">
        <f>INDEX(script.out!P:P,results.txt!$M128)</f>
        <v>2601.5500000000002</v>
      </c>
      <c r="AC128" t="str">
        <f>INDEX(script.out!Q:Q,results.txt!$M128)</f>
        <v>}</v>
      </c>
      <c r="AD128">
        <f t="shared" si="1"/>
        <v>1</v>
      </c>
    </row>
    <row r="129" spans="1:30" x14ac:dyDescent="0.25">
      <c r="A129" s="12" t="s">
        <v>2</v>
      </c>
      <c r="B129" s="12">
        <v>-3</v>
      </c>
      <c r="C129" s="12">
        <v>0.86912400000000001</v>
      </c>
      <c r="D129" s="12">
        <v>0.15381300000000001</v>
      </c>
      <c r="E129" s="12">
        <v>0.42841899999999999</v>
      </c>
      <c r="F129" s="12">
        <v>-3</v>
      </c>
      <c r="G129" s="12">
        <v>125.40600000000001</v>
      </c>
      <c r="H129" s="12">
        <v>49</v>
      </c>
      <c r="I129" s="12">
        <v>36.3675</v>
      </c>
      <c r="J129" s="12" t="s">
        <v>3</v>
      </c>
      <c r="K129" s="12">
        <v>0</v>
      </c>
      <c r="M129">
        <f>MATCH(C129,script.out!B:B,0)</f>
        <v>779</v>
      </c>
      <c r="N129">
        <f>INDEX(script.out!B:B,results.txt!$M129)</f>
        <v>0.86912400000000001</v>
      </c>
      <c r="O129">
        <f>INDEX(script.out!C:C,results.txt!$M129)</f>
        <v>0.15381300000000001</v>
      </c>
      <c r="P129">
        <f>INDEX(script.out!D:D,results.txt!$M129)</f>
        <v>0.42841899999999999</v>
      </c>
      <c r="Q129">
        <f>INDEX(script.out!E:E,results.txt!$M129)</f>
        <v>125.40645938455501</v>
      </c>
      <c r="R129">
        <f>INDEX(script.out!F:F,results.txt!$M129)</f>
        <v>49</v>
      </c>
      <c r="S129">
        <f>INDEX(script.out!G:G,results.txt!$M129)</f>
        <v>36.367508519422003</v>
      </c>
      <c r="T129" t="str">
        <f>INDEX(script.out!H:H,results.txt!$M129)</f>
        <v>{</v>
      </c>
      <c r="U129">
        <f>INDEX(script.out!I:I,results.txt!$M129)</f>
        <v>0.99529900000000004</v>
      </c>
      <c r="V129">
        <f>INDEX(script.out!J:J,results.txt!$M129)</f>
        <v>176.90649999999999</v>
      </c>
      <c r="W129">
        <f>INDEX(script.out!K:K,results.txt!$M129)</f>
        <v>262.76720999999998</v>
      </c>
      <c r="X129" t="str">
        <f>INDEX(script.out!L:L,results.txt!$M129)</f>
        <v>}</v>
      </c>
      <c r="Y129" t="str">
        <f>INDEX(script.out!M:M,results.txt!$M129)</f>
        <v>{</v>
      </c>
      <c r="Z129">
        <f>INDEX(script.out!N:N,results.txt!$M129)</f>
        <v>21.198502550991101</v>
      </c>
      <c r="AA129">
        <f>INDEX(script.out!O:O,results.txt!$M129)</f>
        <v>15</v>
      </c>
      <c r="AB129">
        <f>INDEX(script.out!P:P,results.txt!$M129)</f>
        <v>5098.8500000000004</v>
      </c>
      <c r="AC129" t="str">
        <f>INDEX(script.out!Q:Q,results.txt!$M129)</f>
        <v>}</v>
      </c>
      <c r="AD129">
        <f t="shared" si="1"/>
        <v>1</v>
      </c>
    </row>
    <row r="130" spans="1:30" x14ac:dyDescent="0.25">
      <c r="A130" s="12" t="s">
        <v>2</v>
      </c>
      <c r="B130" s="12">
        <v>-3</v>
      </c>
      <c r="C130" s="12">
        <v>0.60672899999999996</v>
      </c>
      <c r="D130" s="12">
        <v>-2.5474299999999998E-2</v>
      </c>
      <c r="E130" s="12">
        <v>0.170762</v>
      </c>
      <c r="F130" s="12">
        <v>-3</v>
      </c>
      <c r="G130" s="12">
        <v>0.20849000000000001</v>
      </c>
      <c r="H130" s="12">
        <v>132.25</v>
      </c>
      <c r="I130" s="12">
        <v>47.471699999999998</v>
      </c>
      <c r="J130" s="12" t="s">
        <v>3</v>
      </c>
      <c r="K130" s="12">
        <v>0</v>
      </c>
      <c r="M130">
        <f>MATCH(C130,script.out!B:B,0)</f>
        <v>784</v>
      </c>
      <c r="N130">
        <f>INDEX(script.out!B:B,results.txt!$M130)</f>
        <v>0.60672899999999996</v>
      </c>
      <c r="O130">
        <f>INDEX(script.out!C:C,results.txt!$M130)</f>
        <v>-2.5474299999999998E-2</v>
      </c>
      <c r="P130">
        <f>INDEX(script.out!D:D,results.txt!$M130)</f>
        <v>0.170762</v>
      </c>
      <c r="Q130">
        <f>INDEX(script.out!E:E,results.txt!$M130)</f>
        <v>0.208489963218534</v>
      </c>
      <c r="R130">
        <f>INDEX(script.out!F:F,results.txt!$M130)</f>
        <v>132.25</v>
      </c>
      <c r="S130">
        <f>INDEX(script.out!G:G,results.txt!$M130)</f>
        <v>47.471722466503998</v>
      </c>
      <c r="T130" t="str">
        <f>INDEX(script.out!H:H,results.txt!$M130)</f>
        <v>{</v>
      </c>
      <c r="U130">
        <f>INDEX(script.out!I:I,results.txt!$M130)</f>
        <v>0.78538300000000005</v>
      </c>
      <c r="V130">
        <f>INDEX(script.out!J:J,results.txt!$M130)</f>
        <v>87.26285</v>
      </c>
      <c r="W130">
        <f>INDEX(script.out!K:K,results.txt!$M130)</f>
        <v>110.74957999999999</v>
      </c>
      <c r="X130" t="str">
        <f>INDEX(script.out!L:L,results.txt!$M130)</f>
        <v>}</v>
      </c>
      <c r="Y130" t="str">
        <f>INDEX(script.out!M:M,results.txt!$M130)</f>
        <v>{</v>
      </c>
      <c r="Z130">
        <f>INDEX(script.out!N:N,results.txt!$M130)</f>
        <v>10.456607011793</v>
      </c>
      <c r="AA130">
        <f>INDEX(script.out!O:O,results.txt!$M130)</f>
        <v>19.5</v>
      </c>
      <c r="AB130">
        <f>INDEX(script.out!P:P,results.txt!$M130)</f>
        <v>4785.16</v>
      </c>
      <c r="AC130" t="str">
        <f>INDEX(script.out!Q:Q,results.txt!$M130)</f>
        <v>}</v>
      </c>
      <c r="AD130">
        <f t="shared" si="1"/>
        <v>1</v>
      </c>
    </row>
    <row r="131" spans="1:30" x14ac:dyDescent="0.25">
      <c r="A131" s="12" t="s">
        <v>2</v>
      </c>
      <c r="B131" s="12">
        <v>-3</v>
      </c>
      <c r="C131" s="12">
        <v>1.0212600000000001</v>
      </c>
      <c r="D131" s="12">
        <v>4.0188300000000003E-2</v>
      </c>
      <c r="E131" s="12">
        <v>0.60040300000000002</v>
      </c>
      <c r="F131" s="12">
        <v>-3</v>
      </c>
      <c r="G131" s="12">
        <v>19.278600000000001</v>
      </c>
      <c r="H131" s="12">
        <v>56.25</v>
      </c>
      <c r="I131" s="12">
        <v>198.67699999999999</v>
      </c>
      <c r="J131" s="12" t="s">
        <v>3</v>
      </c>
      <c r="K131" s="12">
        <v>0</v>
      </c>
      <c r="M131">
        <f>MATCH(C131,script.out!B:B,0)</f>
        <v>789</v>
      </c>
      <c r="N131">
        <f>INDEX(script.out!B:B,results.txt!$M131)</f>
        <v>1.0212600000000001</v>
      </c>
      <c r="O131">
        <f>INDEX(script.out!C:C,results.txt!$M131)</f>
        <v>4.0188300000000003E-2</v>
      </c>
      <c r="P131">
        <f>INDEX(script.out!D:D,results.txt!$M131)</f>
        <v>0.60040300000000002</v>
      </c>
      <c r="Q131">
        <f>INDEX(script.out!E:E,results.txt!$M131)</f>
        <v>19.2786324614374</v>
      </c>
      <c r="R131">
        <f>INDEX(script.out!F:F,results.txt!$M131)</f>
        <v>56.25</v>
      </c>
      <c r="S131">
        <f>INDEX(script.out!G:G,results.txt!$M131)</f>
        <v>198.677134534809</v>
      </c>
      <c r="T131" t="str">
        <f>INDEX(script.out!H:H,results.txt!$M131)</f>
        <v>{</v>
      </c>
      <c r="U131">
        <f>INDEX(script.out!I:I,results.txt!$M131)</f>
        <v>1.117</v>
      </c>
      <c r="V131">
        <f>INDEX(script.out!J:J,results.txt!$M131)</f>
        <v>120.09415</v>
      </c>
      <c r="W131">
        <f>INDEX(script.out!K:K,results.txt!$M131)</f>
        <v>364.23777000000001</v>
      </c>
      <c r="X131" t="str">
        <f>INDEX(script.out!L:L,results.txt!$M131)</f>
        <v>}</v>
      </c>
      <c r="Y131" t="str">
        <f>INDEX(script.out!M:M,results.txt!$M131)</f>
        <v>{</v>
      </c>
      <c r="Z131">
        <f>INDEX(script.out!N:N,results.txt!$M131)</f>
        <v>14.390743953071899</v>
      </c>
      <c r="AA131">
        <f>INDEX(script.out!O:O,results.txt!$M131)</f>
        <v>15.5</v>
      </c>
      <c r="AB131">
        <f>INDEX(script.out!P:P,results.txt!$M131)</f>
        <v>2155.2199999999998</v>
      </c>
      <c r="AC131" t="str">
        <f>INDEX(script.out!Q:Q,results.txt!$M131)</f>
        <v>}</v>
      </c>
      <c r="AD131">
        <f t="shared" si="1"/>
        <v>1</v>
      </c>
    </row>
    <row r="132" spans="1:30" x14ac:dyDescent="0.25">
      <c r="A132" s="12" t="s">
        <v>2</v>
      </c>
      <c r="B132" s="12">
        <v>-3</v>
      </c>
      <c r="C132" s="12">
        <v>1.02532</v>
      </c>
      <c r="D132" s="12">
        <v>-1.5121500000000001E-3</v>
      </c>
      <c r="E132" s="12">
        <v>0.68779599999999996</v>
      </c>
      <c r="F132" s="12">
        <v>-3</v>
      </c>
      <c r="G132" s="12">
        <v>3.58074</v>
      </c>
      <c r="H132" s="12">
        <v>64</v>
      </c>
      <c r="I132" s="12">
        <v>269.56900000000002</v>
      </c>
      <c r="J132" s="12" t="s">
        <v>3</v>
      </c>
      <c r="K132" s="12">
        <v>0</v>
      </c>
      <c r="M132">
        <f>MATCH(C132,script.out!B:B,0)</f>
        <v>790</v>
      </c>
      <c r="N132">
        <f>INDEX(script.out!B:B,results.txt!$M132)</f>
        <v>1.02532</v>
      </c>
      <c r="O132">
        <f>INDEX(script.out!C:C,results.txt!$M132)</f>
        <v>-1.5121500000000001E-3</v>
      </c>
      <c r="P132">
        <f>INDEX(script.out!D:D,results.txt!$M132)</f>
        <v>0.68779599999999996</v>
      </c>
      <c r="Q132">
        <f>INDEX(script.out!E:E,results.txt!$M132)</f>
        <v>3.5807442525729498</v>
      </c>
      <c r="R132">
        <f>INDEX(script.out!F:F,results.txt!$M132)</f>
        <v>64</v>
      </c>
      <c r="S132">
        <f>INDEX(script.out!G:G,results.txt!$M132)</f>
        <v>269.56871662901102</v>
      </c>
      <c r="T132" t="str">
        <f>INDEX(script.out!H:H,results.txt!$M132)</f>
        <v>{</v>
      </c>
      <c r="U132">
        <f>INDEX(script.out!I:I,results.txt!$M132)</f>
        <v>1.12025</v>
      </c>
      <c r="V132">
        <f>INDEX(script.out!J:J,results.txt!$M132)</f>
        <v>99.243925000000004</v>
      </c>
      <c r="W132">
        <f>INDEX(script.out!K:K,results.txt!$M132)</f>
        <v>415.79964000000001</v>
      </c>
      <c r="X132" t="str">
        <f>INDEX(script.out!L:L,results.txt!$M132)</f>
        <v>}</v>
      </c>
      <c r="Y132" t="str">
        <f>INDEX(script.out!M:M,results.txt!$M132)</f>
        <v>{</v>
      </c>
      <c r="Z132">
        <f>INDEX(script.out!N:N,results.txt!$M132)</f>
        <v>11.892285457475399</v>
      </c>
      <c r="AA132">
        <f>INDEX(script.out!O:O,results.txt!$M132)</f>
        <v>16</v>
      </c>
      <c r="AB132">
        <f>INDEX(script.out!P:P,results.txt!$M132)</f>
        <v>1307.23</v>
      </c>
      <c r="AC132" t="str">
        <f>INDEX(script.out!Q:Q,results.txt!$M132)</f>
        <v>}</v>
      </c>
      <c r="AD132">
        <f t="shared" ref="AD132:AD195" si="2">IF(A132="all",1)+IF(A132="nonDominatedFront",2)</f>
        <v>1</v>
      </c>
    </row>
    <row r="133" spans="1:30" x14ac:dyDescent="0.25">
      <c r="A133" s="12" t="s">
        <v>2</v>
      </c>
      <c r="B133" s="12">
        <v>-3</v>
      </c>
      <c r="C133" s="12">
        <v>1.17605</v>
      </c>
      <c r="D133" s="12">
        <v>0.28706300000000001</v>
      </c>
      <c r="E133" s="12">
        <v>0.54840599999999995</v>
      </c>
      <c r="F133" s="12">
        <v>-3</v>
      </c>
      <c r="G133" s="12">
        <v>367.95299999999997</v>
      </c>
      <c r="H133" s="12">
        <v>30.25</v>
      </c>
      <c r="I133" s="12">
        <v>33.3979</v>
      </c>
      <c r="J133" s="12" t="s">
        <v>3</v>
      </c>
      <c r="K133" s="12">
        <v>0</v>
      </c>
      <c r="M133">
        <f>MATCH(C133,script.out!B:B,0)</f>
        <v>791</v>
      </c>
      <c r="N133">
        <f>INDEX(script.out!B:B,results.txt!$M133)</f>
        <v>1.17605</v>
      </c>
      <c r="O133">
        <f>INDEX(script.out!C:C,results.txt!$M133)</f>
        <v>0.28706300000000001</v>
      </c>
      <c r="P133">
        <f>INDEX(script.out!D:D,results.txt!$M133)</f>
        <v>0.54840599999999995</v>
      </c>
      <c r="Q133">
        <f>INDEX(script.out!E:E,results.txt!$M133)</f>
        <v>367.95294964211399</v>
      </c>
      <c r="R133">
        <f>INDEX(script.out!F:F,results.txt!$M133)</f>
        <v>30.25</v>
      </c>
      <c r="S133">
        <f>INDEX(script.out!G:G,results.txt!$M133)</f>
        <v>33.397949310564798</v>
      </c>
      <c r="T133" t="str">
        <f>INDEX(script.out!H:H,results.txt!$M133)</f>
        <v>{</v>
      </c>
      <c r="U133">
        <f>INDEX(script.out!I:I,results.txt!$M133)</f>
        <v>1.2408399999999999</v>
      </c>
      <c r="V133">
        <f>INDEX(script.out!J:J,results.txt!$M133)</f>
        <v>243.53149999999999</v>
      </c>
      <c r="W133">
        <f>INDEX(script.out!K:K,results.txt!$M133)</f>
        <v>333.55954000000003</v>
      </c>
      <c r="X133" t="str">
        <f>INDEX(script.out!L:L,results.txt!$M133)</f>
        <v>}</v>
      </c>
      <c r="Y133" t="str">
        <f>INDEX(script.out!M:M,results.txt!$M133)</f>
        <v>{</v>
      </c>
      <c r="Z133">
        <f>INDEX(script.out!N:N,results.txt!$M133)</f>
        <v>29.182099719324601</v>
      </c>
      <c r="AA133">
        <f>INDEX(script.out!O:O,results.txt!$M133)</f>
        <v>13.5</v>
      </c>
      <c r="AB133">
        <f>INDEX(script.out!P:P,results.txt!$M133)</f>
        <v>5190.63</v>
      </c>
      <c r="AC133" t="str">
        <f>INDEX(script.out!Q:Q,results.txt!$M133)</f>
        <v>}</v>
      </c>
      <c r="AD133">
        <f t="shared" si="2"/>
        <v>1</v>
      </c>
    </row>
    <row r="134" spans="1:30" x14ac:dyDescent="0.25">
      <c r="A134" s="12" t="s">
        <v>2</v>
      </c>
      <c r="B134" s="12">
        <v>-3</v>
      </c>
      <c r="C134" s="12">
        <v>1.0856699999999999</v>
      </c>
      <c r="D134" s="12">
        <v>0.14449999999999999</v>
      </c>
      <c r="E134" s="12">
        <v>0.92674000000000001</v>
      </c>
      <c r="F134" s="12">
        <v>-3</v>
      </c>
      <c r="G134" s="12">
        <v>113.221</v>
      </c>
      <c r="H134" s="12">
        <v>36</v>
      </c>
      <c r="I134" s="12">
        <v>173.98599999999999</v>
      </c>
      <c r="J134" s="12" t="s">
        <v>3</v>
      </c>
      <c r="K134" s="12">
        <v>1</v>
      </c>
      <c r="M134">
        <f>MATCH(C134,script.out!B:B,0)</f>
        <v>793</v>
      </c>
      <c r="N134">
        <f>INDEX(script.out!B:B,results.txt!$M134)</f>
        <v>1.0856699999999999</v>
      </c>
      <c r="O134">
        <f>INDEX(script.out!C:C,results.txt!$M134)</f>
        <v>0.14449999999999999</v>
      </c>
      <c r="P134">
        <f>INDEX(script.out!D:D,results.txt!$M134)</f>
        <v>0.92674000000000001</v>
      </c>
      <c r="Q134">
        <f>INDEX(script.out!E:E,results.txt!$M134)</f>
        <v>113.220655408095</v>
      </c>
      <c r="R134">
        <f>INDEX(script.out!F:F,results.txt!$M134)</f>
        <v>36</v>
      </c>
      <c r="S134">
        <f>INDEX(script.out!G:G,results.txt!$M134)</f>
        <v>173.986218503283</v>
      </c>
      <c r="T134" t="str">
        <f>INDEX(script.out!H:H,results.txt!$M134)</f>
        <v>{</v>
      </c>
      <c r="U134">
        <f>INDEX(script.out!I:I,results.txt!$M134)</f>
        <v>1.1685300000000001</v>
      </c>
      <c r="V134">
        <f>INDEX(script.out!J:J,results.txt!$M134)</f>
        <v>172.25</v>
      </c>
      <c r="W134">
        <f>INDEX(script.out!K:K,results.txt!$M134)</f>
        <v>556.77660000000003</v>
      </c>
      <c r="X134" t="str">
        <f>INDEX(script.out!L:L,results.txt!$M134)</f>
        <v>}</v>
      </c>
      <c r="Y134" t="str">
        <f>INDEX(script.out!M:M,results.txt!$M134)</f>
        <v>{</v>
      </c>
      <c r="Z134">
        <f>INDEX(script.out!N:N,results.txt!$M134)</f>
        <v>20.6405195083743</v>
      </c>
      <c r="AA134">
        <f>INDEX(script.out!O:O,results.txt!$M134)</f>
        <v>14</v>
      </c>
      <c r="AB134">
        <f>INDEX(script.out!P:P,results.txt!$M134)</f>
        <v>2485.5100000000002</v>
      </c>
      <c r="AC134" t="str">
        <f>INDEX(script.out!Q:Q,results.txt!$M134)</f>
        <v>}</v>
      </c>
      <c r="AD134">
        <f t="shared" si="2"/>
        <v>1</v>
      </c>
    </row>
    <row r="135" spans="1:30" x14ac:dyDescent="0.25">
      <c r="A135" s="12" t="s">
        <v>2</v>
      </c>
      <c r="B135" s="12">
        <v>-3</v>
      </c>
      <c r="C135" s="12">
        <v>0.35913</v>
      </c>
      <c r="D135" s="12">
        <v>-0.109733</v>
      </c>
      <c r="E135" s="12">
        <v>0.56536200000000003</v>
      </c>
      <c r="F135" s="12">
        <v>-3</v>
      </c>
      <c r="G135" s="12">
        <v>21.0838</v>
      </c>
      <c r="H135" s="12">
        <v>225</v>
      </c>
      <c r="I135" s="12">
        <v>309.005</v>
      </c>
      <c r="J135" s="12" t="s">
        <v>3</v>
      </c>
      <c r="K135" s="12">
        <v>1</v>
      </c>
      <c r="M135">
        <f>MATCH(C135,script.out!B:B,0)</f>
        <v>794</v>
      </c>
      <c r="N135">
        <f>INDEX(script.out!B:B,results.txt!$M135)</f>
        <v>0.35913</v>
      </c>
      <c r="O135">
        <f>INDEX(script.out!C:C,results.txt!$M135)</f>
        <v>-0.109733</v>
      </c>
      <c r="P135">
        <f>INDEX(script.out!D:D,results.txt!$M135)</f>
        <v>0.56536200000000003</v>
      </c>
      <c r="Q135">
        <f>INDEX(script.out!E:E,results.txt!$M135)</f>
        <v>21.083750889416301</v>
      </c>
      <c r="R135">
        <f>INDEX(script.out!F:F,results.txt!$M135)</f>
        <v>225</v>
      </c>
      <c r="S135">
        <f>INDEX(script.out!G:G,results.txt!$M135)</f>
        <v>309.00476993729399</v>
      </c>
      <c r="T135" t="str">
        <f>INDEX(script.out!H:H,results.txt!$M135)</f>
        <v>{</v>
      </c>
      <c r="U135">
        <f>INDEX(script.out!I:I,results.txt!$M135)</f>
        <v>0.58730000000000004</v>
      </c>
      <c r="V135">
        <f>INDEX(script.out!J:J,results.txt!$M135)</f>
        <v>45.133499999999998</v>
      </c>
      <c r="W135">
        <f>INDEX(script.out!K:K,results.txt!$M135)</f>
        <v>343.56358</v>
      </c>
      <c r="X135" t="str">
        <f>INDEX(script.out!L:L,results.txt!$M135)</f>
        <v>}</v>
      </c>
      <c r="Y135" t="str">
        <f>INDEX(script.out!M:M,results.txt!$M135)</f>
        <v>{</v>
      </c>
      <c r="Z135">
        <f>INDEX(script.out!N:N,results.txt!$M135)</f>
        <v>5.4082954265963004</v>
      </c>
      <c r="AA135">
        <f>INDEX(script.out!O:O,results.txt!$M135)</f>
        <v>23</v>
      </c>
      <c r="AB135">
        <f>INDEX(script.out!P:P,results.txt!$M135)</f>
        <v>883.83600000000001</v>
      </c>
      <c r="AC135" t="str">
        <f>INDEX(script.out!Q:Q,results.txt!$M135)</f>
        <v>}</v>
      </c>
      <c r="AD135">
        <f t="shared" si="2"/>
        <v>1</v>
      </c>
    </row>
    <row r="136" spans="1:30" x14ac:dyDescent="0.25">
      <c r="A136" s="12" t="s">
        <v>2</v>
      </c>
      <c r="B136" s="12">
        <v>-3</v>
      </c>
      <c r="C136" s="12">
        <v>0.85123700000000002</v>
      </c>
      <c r="D136" s="12">
        <v>0.34456900000000001</v>
      </c>
      <c r="E136" s="12">
        <v>0.58035599999999998</v>
      </c>
      <c r="F136" s="12">
        <v>-3</v>
      </c>
      <c r="G136" s="12">
        <v>512.00599999999997</v>
      </c>
      <c r="H136" s="12">
        <v>42.25</v>
      </c>
      <c r="I136" s="13">
        <v>7.3567299999999998E-6</v>
      </c>
      <c r="J136" s="12" t="s">
        <v>3</v>
      </c>
      <c r="K136" s="12">
        <v>0</v>
      </c>
      <c r="M136">
        <f>MATCH(C136,script.out!B:B,0)</f>
        <v>795</v>
      </c>
      <c r="N136">
        <f>INDEX(script.out!B:B,results.txt!$M136)</f>
        <v>0.85123700000000002</v>
      </c>
      <c r="O136">
        <f>INDEX(script.out!C:C,results.txt!$M136)</f>
        <v>0.34456900000000001</v>
      </c>
      <c r="P136">
        <f>INDEX(script.out!D:D,results.txt!$M136)</f>
        <v>0.58035599999999998</v>
      </c>
      <c r="Q136">
        <f>INDEX(script.out!E:E,results.txt!$M136)</f>
        <v>512.00550578166997</v>
      </c>
      <c r="R136">
        <f>INDEX(script.out!F:F,results.txt!$M136)</f>
        <v>42.25</v>
      </c>
      <c r="S136">
        <f>INDEX(script.out!G:G,results.txt!$M136)</f>
        <v>7.3567273409645298E-6</v>
      </c>
      <c r="T136" t="str">
        <f>INDEX(script.out!H:H,results.txt!$M136)</f>
        <v>{</v>
      </c>
      <c r="U136">
        <f>INDEX(script.out!I:I,results.txt!$M136)</f>
        <v>0.980989</v>
      </c>
      <c r="V136">
        <f>INDEX(script.out!J:J,results.txt!$M136)</f>
        <v>272.28449999999998</v>
      </c>
      <c r="W136">
        <f>INDEX(script.out!K:K,results.txt!$M136)</f>
        <v>352.41003999999998</v>
      </c>
      <c r="X136" t="str">
        <f>INDEX(script.out!L:L,results.txt!$M136)</f>
        <v>}</v>
      </c>
      <c r="Y136" t="str">
        <f>INDEX(script.out!M:M,results.txt!$M136)</f>
        <v>{</v>
      </c>
      <c r="Z136">
        <f>INDEX(script.out!N:N,results.txt!$M136)</f>
        <v>32.627538659378502</v>
      </c>
      <c r="AA136">
        <f>INDEX(script.out!O:O,results.txt!$M136)</f>
        <v>14.5</v>
      </c>
      <c r="AB136">
        <f>INDEX(script.out!P:P,results.txt!$M136)</f>
        <v>7299.01</v>
      </c>
      <c r="AC136" t="str">
        <f>INDEX(script.out!Q:Q,results.txt!$M136)</f>
        <v>}</v>
      </c>
      <c r="AD136">
        <f t="shared" si="2"/>
        <v>1</v>
      </c>
    </row>
    <row r="137" spans="1:30" x14ac:dyDescent="0.25">
      <c r="A137" s="12" t="s">
        <v>2</v>
      </c>
      <c r="B137" s="12">
        <v>-3</v>
      </c>
      <c r="C137" s="12">
        <v>0.22292000000000001</v>
      </c>
      <c r="D137" s="12">
        <v>9.0672000000000003E-2</v>
      </c>
      <c r="E137" s="12">
        <v>0.16366600000000001</v>
      </c>
      <c r="F137" s="12">
        <v>-3</v>
      </c>
      <c r="G137" s="12">
        <v>54.988799999999998</v>
      </c>
      <c r="H137" s="12">
        <v>90.25</v>
      </c>
      <c r="I137" s="12">
        <v>3.1051299999999999</v>
      </c>
      <c r="J137" s="12" t="s">
        <v>3</v>
      </c>
      <c r="K137" s="12">
        <v>1</v>
      </c>
      <c r="M137">
        <f>MATCH(C137,script.out!B:B,0)</f>
        <v>796</v>
      </c>
      <c r="N137">
        <f>INDEX(script.out!B:B,results.txt!$M137)</f>
        <v>0.22292000000000001</v>
      </c>
      <c r="O137">
        <f>INDEX(script.out!C:C,results.txt!$M137)</f>
        <v>9.0672000000000003E-2</v>
      </c>
      <c r="P137">
        <f>INDEX(script.out!D:D,results.txt!$M137)</f>
        <v>0.16366600000000001</v>
      </c>
      <c r="Q137">
        <f>INDEX(script.out!E:E,results.txt!$M137)</f>
        <v>54.988836776005698</v>
      </c>
      <c r="R137">
        <f>INDEX(script.out!F:F,results.txt!$M137)</f>
        <v>90.25</v>
      </c>
      <c r="S137">
        <f>INDEX(script.out!G:G,results.txt!$M137)</f>
        <v>3.1051267584912701</v>
      </c>
      <c r="T137" t="str">
        <f>INDEX(script.out!H:H,results.txt!$M137)</f>
        <v>{</v>
      </c>
      <c r="U137">
        <f>INDEX(script.out!I:I,results.txt!$M137)</f>
        <v>0.47832999999999998</v>
      </c>
      <c r="V137">
        <f>INDEX(script.out!J:J,results.txt!$M137)</f>
        <v>145.33600000000001</v>
      </c>
      <c r="W137">
        <f>INDEX(script.out!K:K,results.txt!$M137)</f>
        <v>106.56294</v>
      </c>
      <c r="X137" t="str">
        <f>INDEX(script.out!L:L,results.txt!$M137)</f>
        <v>}</v>
      </c>
      <c r="Y137" t="str">
        <f>INDEX(script.out!M:M,results.txt!$M137)</f>
        <v>{</v>
      </c>
      <c r="Z137">
        <f>INDEX(script.out!N:N,results.txt!$M137)</f>
        <v>17.415445824494</v>
      </c>
      <c r="AA137">
        <f>INDEX(script.out!O:O,results.txt!$M137)</f>
        <v>17.5</v>
      </c>
      <c r="AB137">
        <f>INDEX(script.out!P:P,results.txt!$M137)</f>
        <v>7943.18</v>
      </c>
      <c r="AC137" t="str">
        <f>INDEX(script.out!Q:Q,results.txt!$M137)</f>
        <v>}</v>
      </c>
      <c r="AD137">
        <f t="shared" si="2"/>
        <v>1</v>
      </c>
    </row>
    <row r="138" spans="1:30" x14ac:dyDescent="0.25">
      <c r="A138" s="12" t="s">
        <v>2</v>
      </c>
      <c r="B138" s="12">
        <v>-3</v>
      </c>
      <c r="C138" s="12">
        <v>0.474632</v>
      </c>
      <c r="D138" s="12">
        <v>5.1809300000000003E-2</v>
      </c>
      <c r="E138" s="12">
        <v>0.28181600000000001</v>
      </c>
      <c r="F138" s="12">
        <v>-3</v>
      </c>
      <c r="G138" s="12">
        <v>25.877700000000001</v>
      </c>
      <c r="H138" s="12">
        <v>100</v>
      </c>
      <c r="I138" s="12">
        <v>23.6937</v>
      </c>
      <c r="J138" s="12" t="s">
        <v>3</v>
      </c>
      <c r="K138" s="12">
        <v>1</v>
      </c>
      <c r="M138">
        <f>MATCH(C138,script.out!B:B,0)</f>
        <v>797</v>
      </c>
      <c r="N138">
        <f>INDEX(script.out!B:B,results.txt!$M138)</f>
        <v>0.474632</v>
      </c>
      <c r="O138">
        <f>INDEX(script.out!C:C,results.txt!$M138)</f>
        <v>5.1809300000000003E-2</v>
      </c>
      <c r="P138">
        <f>INDEX(script.out!D:D,results.txt!$M138)</f>
        <v>0.28181600000000001</v>
      </c>
      <c r="Q138">
        <f>INDEX(script.out!E:E,results.txt!$M138)</f>
        <v>25.877665543526501</v>
      </c>
      <c r="R138">
        <f>INDEX(script.out!F:F,results.txt!$M138)</f>
        <v>100</v>
      </c>
      <c r="S138">
        <f>INDEX(script.out!G:G,results.txt!$M138)</f>
        <v>23.693689790955101</v>
      </c>
      <c r="T138" t="str">
        <f>INDEX(script.out!H:H,results.txt!$M138)</f>
        <v>{</v>
      </c>
      <c r="U138">
        <f>INDEX(script.out!I:I,results.txt!$M138)</f>
        <v>0.679705</v>
      </c>
      <c r="V138">
        <f>INDEX(script.out!J:J,results.txt!$M138)</f>
        <v>125.90465</v>
      </c>
      <c r="W138">
        <f>INDEX(script.out!K:K,results.txt!$M138)</f>
        <v>176.27144000000001</v>
      </c>
      <c r="X138" t="str">
        <f>INDEX(script.out!L:L,results.txt!$M138)</f>
        <v>}</v>
      </c>
      <c r="Y138" t="str">
        <f>INDEX(script.out!M:M,results.txt!$M138)</f>
        <v>{</v>
      </c>
      <c r="Z138">
        <f>INDEX(script.out!N:N,results.txt!$M138)</f>
        <v>15.087009489231001</v>
      </c>
      <c r="AA138">
        <f>INDEX(script.out!O:O,results.txt!$M138)</f>
        <v>18</v>
      </c>
      <c r="AB138">
        <f>INDEX(script.out!P:P,results.txt!$M138)</f>
        <v>5523.32</v>
      </c>
      <c r="AC138" t="str">
        <f>INDEX(script.out!Q:Q,results.txt!$M138)</f>
        <v>}</v>
      </c>
      <c r="AD138">
        <f t="shared" si="2"/>
        <v>1</v>
      </c>
    </row>
    <row r="139" spans="1:30" x14ac:dyDescent="0.25">
      <c r="A139" s="12" t="s">
        <v>2</v>
      </c>
      <c r="B139" s="12">
        <v>-3</v>
      </c>
      <c r="C139" s="12">
        <v>0.92493700000000001</v>
      </c>
      <c r="D139" s="12">
        <v>0.734074</v>
      </c>
      <c r="E139" s="12">
        <v>1.0191300000000001</v>
      </c>
      <c r="F139" s="12">
        <v>-3</v>
      </c>
      <c r="G139" s="12">
        <v>2112.7399999999998</v>
      </c>
      <c r="H139" s="12">
        <v>30.25</v>
      </c>
      <c r="I139" s="12">
        <v>0.16756099999999999</v>
      </c>
      <c r="J139" s="12" t="s">
        <v>3</v>
      </c>
      <c r="K139" s="12">
        <v>1</v>
      </c>
      <c r="M139">
        <f>MATCH(C139,script.out!B:B,0)</f>
        <v>798</v>
      </c>
      <c r="N139">
        <f>INDEX(script.out!B:B,results.txt!$M139)</f>
        <v>0.92493700000000001</v>
      </c>
      <c r="O139">
        <f>INDEX(script.out!C:C,results.txt!$M139)</f>
        <v>0.734074</v>
      </c>
      <c r="P139">
        <f>INDEX(script.out!D:D,results.txt!$M139)</f>
        <v>1.0191300000000001</v>
      </c>
      <c r="Q139">
        <f>INDEX(script.out!E:E,results.txt!$M139)</f>
        <v>2112.7358924828</v>
      </c>
      <c r="R139">
        <f>INDEX(script.out!F:F,results.txt!$M139)</f>
        <v>30.25</v>
      </c>
      <c r="S139">
        <f>INDEX(script.out!G:G,results.txt!$M139)</f>
        <v>0.16756125426909299</v>
      </c>
      <c r="T139" t="str">
        <f>INDEX(script.out!H:H,results.txt!$M139)</f>
        <v>{</v>
      </c>
      <c r="U139">
        <f>INDEX(script.out!I:I,results.txt!$M139)</f>
        <v>1.039949</v>
      </c>
      <c r="V139">
        <f>INDEX(script.out!J:J,results.txt!$M139)</f>
        <v>467.03699999999998</v>
      </c>
      <c r="W139">
        <f>INDEX(script.out!K:K,results.txt!$M139)</f>
        <v>611.2867</v>
      </c>
      <c r="X139" t="str">
        <f>INDEX(script.out!L:L,results.txt!$M139)</f>
        <v>}</v>
      </c>
      <c r="Y139" t="str">
        <f>INDEX(script.out!M:M,results.txt!$M139)</f>
        <v>{</v>
      </c>
      <c r="Z139">
        <f>INDEX(script.out!N:N,results.txt!$M139)</f>
        <v>55.964506877402698</v>
      </c>
      <c r="AA139">
        <f>INDEX(script.out!O:O,results.txt!$M139)</f>
        <v>13.5</v>
      </c>
      <c r="AB139">
        <f>INDEX(script.out!P:P,results.txt!$M139)</f>
        <v>7449.41</v>
      </c>
      <c r="AC139" t="str">
        <f>INDEX(script.out!Q:Q,results.txt!$M139)</f>
        <v>}</v>
      </c>
      <c r="AD139">
        <f t="shared" si="2"/>
        <v>1</v>
      </c>
    </row>
    <row r="140" spans="1:30" x14ac:dyDescent="0.25">
      <c r="A140" s="12" t="s">
        <v>2</v>
      </c>
      <c r="B140" s="12">
        <v>-3</v>
      </c>
      <c r="C140" s="12">
        <v>0.28924499999999997</v>
      </c>
      <c r="D140" s="12">
        <v>-4.1340300000000003E-2</v>
      </c>
      <c r="E140" s="12">
        <v>0.428394</v>
      </c>
      <c r="F140" s="12">
        <v>-3</v>
      </c>
      <c r="G140" s="12">
        <v>0.244031</v>
      </c>
      <c r="H140" s="12">
        <v>144</v>
      </c>
      <c r="I140" s="12">
        <v>205.279</v>
      </c>
      <c r="J140" s="12" t="s">
        <v>3</v>
      </c>
      <c r="K140" s="12">
        <v>1</v>
      </c>
      <c r="M140">
        <f>MATCH(C140,script.out!B:B,0)</f>
        <v>799</v>
      </c>
      <c r="N140">
        <f>INDEX(script.out!B:B,results.txt!$M140)</f>
        <v>0.28924499999999997</v>
      </c>
      <c r="O140">
        <f>INDEX(script.out!C:C,results.txt!$M140)</f>
        <v>-4.1340300000000003E-2</v>
      </c>
      <c r="P140">
        <f>INDEX(script.out!D:D,results.txt!$M140)</f>
        <v>0.428394</v>
      </c>
      <c r="Q140">
        <f>INDEX(script.out!E:E,results.txt!$M140)</f>
        <v>0.244031316578906</v>
      </c>
      <c r="R140">
        <f>INDEX(script.out!F:F,results.txt!$M140)</f>
        <v>144</v>
      </c>
      <c r="S140">
        <f>INDEX(script.out!G:G,results.txt!$M140)</f>
        <v>205.279022657909</v>
      </c>
      <c r="T140" t="str">
        <f>INDEX(script.out!H:H,results.txt!$M140)</f>
        <v>{</v>
      </c>
      <c r="U140">
        <f>INDEX(script.out!I:I,results.txt!$M140)</f>
        <v>0.53139599999999998</v>
      </c>
      <c r="V140">
        <f>INDEX(script.out!J:J,results.txt!$M140)</f>
        <v>79.329849999999993</v>
      </c>
      <c r="W140">
        <f>INDEX(script.out!K:K,results.txt!$M140)</f>
        <v>262.75245999999999</v>
      </c>
      <c r="X140" t="str">
        <f>INDEX(script.out!L:L,results.txt!$M140)</f>
        <v>}</v>
      </c>
      <c r="Y140" t="str">
        <f>INDEX(script.out!M:M,results.txt!$M140)</f>
        <v>{</v>
      </c>
      <c r="Z140">
        <f>INDEX(script.out!N:N,results.txt!$M140)</f>
        <v>9.5060047403274908</v>
      </c>
      <c r="AA140">
        <f>INDEX(script.out!O:O,results.txt!$M140)</f>
        <v>20</v>
      </c>
      <c r="AB140">
        <f>INDEX(script.out!P:P,results.txt!$M140)</f>
        <v>2070.44</v>
      </c>
      <c r="AC140" t="str">
        <f>INDEX(script.out!Q:Q,results.txt!$M140)</f>
        <v>}</v>
      </c>
      <c r="AD140">
        <f t="shared" si="2"/>
        <v>1</v>
      </c>
    </row>
    <row r="141" spans="1:30" x14ac:dyDescent="0.25">
      <c r="A141" s="12" t="s">
        <v>2</v>
      </c>
      <c r="B141" s="12">
        <v>-3</v>
      </c>
      <c r="C141" s="12">
        <v>0.164218</v>
      </c>
      <c r="D141" s="12">
        <v>-3.3487000000000003E-2</v>
      </c>
      <c r="E141" s="12">
        <v>0.167044</v>
      </c>
      <c r="F141" s="12">
        <v>-3</v>
      </c>
      <c r="G141" s="12">
        <v>5.5080799999999996E-4</v>
      </c>
      <c r="H141" s="12">
        <v>144</v>
      </c>
      <c r="I141" s="12">
        <v>88.593999999999994</v>
      </c>
      <c r="J141" s="12" t="s">
        <v>3</v>
      </c>
      <c r="K141" s="12">
        <v>0</v>
      </c>
      <c r="M141">
        <f>MATCH(C141,script.out!B:B,0)</f>
        <v>800</v>
      </c>
      <c r="N141">
        <f>INDEX(script.out!B:B,results.txt!$M141)</f>
        <v>0.164218</v>
      </c>
      <c r="O141">
        <f>INDEX(script.out!C:C,results.txt!$M141)</f>
        <v>-3.3487000000000003E-2</v>
      </c>
      <c r="P141">
        <f>INDEX(script.out!D:D,results.txt!$M141)</f>
        <v>0.167044</v>
      </c>
      <c r="Q141">
        <f>INDEX(script.out!E:E,results.txt!$M141)</f>
        <v>5.5080821308516699E-4</v>
      </c>
      <c r="R141">
        <f>INDEX(script.out!F:F,results.txt!$M141)</f>
        <v>144</v>
      </c>
      <c r="S141">
        <f>INDEX(script.out!G:G,results.txt!$M141)</f>
        <v>88.5939958085944</v>
      </c>
      <c r="T141" t="str">
        <f>INDEX(script.out!H:H,results.txt!$M141)</f>
        <v>{</v>
      </c>
      <c r="U141">
        <f>INDEX(script.out!I:I,results.txt!$M141)</f>
        <v>0.43137399999999998</v>
      </c>
      <c r="V141">
        <f>INDEX(script.out!J:J,results.txt!$M141)</f>
        <v>83.256500000000003</v>
      </c>
      <c r="W141">
        <f>INDEX(script.out!K:K,results.txt!$M141)</f>
        <v>108.55596</v>
      </c>
      <c r="X141" t="str">
        <f>INDEX(script.out!L:L,results.txt!$M141)</f>
        <v>}</v>
      </c>
      <c r="Y141" t="str">
        <f>INDEX(script.out!M:M,results.txt!$M141)</f>
        <v>{</v>
      </c>
      <c r="Z141">
        <f>INDEX(script.out!N:N,results.txt!$M141)</f>
        <v>9.9765306963655593</v>
      </c>
      <c r="AA141">
        <f>INDEX(script.out!O:O,results.txt!$M141)</f>
        <v>20</v>
      </c>
      <c r="AB141">
        <f>INDEX(script.out!P:P,results.txt!$M141)</f>
        <v>3864.46</v>
      </c>
      <c r="AC141" t="str">
        <f>INDEX(script.out!Q:Q,results.txt!$M141)</f>
        <v>}</v>
      </c>
      <c r="AD141">
        <f t="shared" si="2"/>
        <v>1</v>
      </c>
    </row>
    <row r="142" spans="1:30" x14ac:dyDescent="0.25">
      <c r="A142" s="12" t="s">
        <v>2</v>
      </c>
      <c r="B142" s="12">
        <v>-3</v>
      </c>
      <c r="C142" s="12">
        <v>0.82033599999999995</v>
      </c>
      <c r="D142" s="12">
        <v>0.184478</v>
      </c>
      <c r="E142" s="12">
        <v>0.42235</v>
      </c>
      <c r="F142" s="12">
        <v>-3</v>
      </c>
      <c r="G142" s="12">
        <v>169.93199999999999</v>
      </c>
      <c r="H142" s="12">
        <v>49</v>
      </c>
      <c r="I142" s="12">
        <v>24.277899999999999</v>
      </c>
      <c r="J142" s="12" t="s">
        <v>3</v>
      </c>
      <c r="K142" s="12">
        <v>1</v>
      </c>
      <c r="M142">
        <f>MATCH(C142,script.out!B:B,0)</f>
        <v>801</v>
      </c>
      <c r="N142">
        <f>INDEX(script.out!B:B,results.txt!$M142)</f>
        <v>0.82033599999999995</v>
      </c>
      <c r="O142">
        <f>INDEX(script.out!C:C,results.txt!$M142)</f>
        <v>0.184478</v>
      </c>
      <c r="P142">
        <f>INDEX(script.out!D:D,results.txt!$M142)</f>
        <v>0.42235</v>
      </c>
      <c r="Q142">
        <f>INDEX(script.out!E:E,results.txt!$M142)</f>
        <v>169.931518549966</v>
      </c>
      <c r="R142">
        <f>INDEX(script.out!F:F,results.txt!$M142)</f>
        <v>49</v>
      </c>
      <c r="S142">
        <f>INDEX(script.out!G:G,results.txt!$M142)</f>
        <v>24.277893807468502</v>
      </c>
      <c r="T142" t="str">
        <f>INDEX(script.out!H:H,results.txt!$M142)</f>
        <v>{</v>
      </c>
      <c r="U142">
        <f>INDEX(script.out!I:I,results.txt!$M142)</f>
        <v>0.95626800000000001</v>
      </c>
      <c r="V142">
        <f>INDEX(script.out!J:J,results.txt!$M142)</f>
        <v>192.239</v>
      </c>
      <c r="W142">
        <f>INDEX(script.out!K:K,results.txt!$M142)</f>
        <v>259.18650000000002</v>
      </c>
      <c r="X142" t="str">
        <f>INDEX(script.out!L:L,results.txt!$M142)</f>
        <v>}</v>
      </c>
      <c r="Y142" t="str">
        <f>INDEX(script.out!M:M,results.txt!$M142)</f>
        <v>{</v>
      </c>
      <c r="Z142">
        <f>INDEX(script.out!N:N,results.txt!$M142)</f>
        <v>23.0357784021502</v>
      </c>
      <c r="AA142">
        <f>INDEX(script.out!O:O,results.txt!$M142)</f>
        <v>15</v>
      </c>
      <c r="AB142">
        <f>INDEX(script.out!P:P,results.txt!$M142)</f>
        <v>5501.55</v>
      </c>
      <c r="AC142" t="str">
        <f>INDEX(script.out!Q:Q,results.txt!$M142)</f>
        <v>}</v>
      </c>
      <c r="AD142">
        <f t="shared" si="2"/>
        <v>1</v>
      </c>
    </row>
    <row r="143" spans="1:30" x14ac:dyDescent="0.25">
      <c r="A143" s="12" t="s">
        <v>2</v>
      </c>
      <c r="B143" s="12">
        <v>-3</v>
      </c>
      <c r="C143" s="12">
        <v>1.11694</v>
      </c>
      <c r="D143" s="12">
        <v>4.34755E-2</v>
      </c>
      <c r="E143" s="12">
        <v>0.80771700000000002</v>
      </c>
      <c r="F143" s="12">
        <v>-3</v>
      </c>
      <c r="G143" s="12">
        <v>21.046900000000001</v>
      </c>
      <c r="H143" s="12">
        <v>56.25</v>
      </c>
      <c r="I143" s="12">
        <v>267.90199999999999</v>
      </c>
      <c r="J143" s="12" t="s">
        <v>3</v>
      </c>
      <c r="K143" s="12">
        <v>1</v>
      </c>
      <c r="M143">
        <f>MATCH(C143,script.out!B:B,0)</f>
        <v>802</v>
      </c>
      <c r="N143">
        <f>INDEX(script.out!B:B,results.txt!$M143)</f>
        <v>1.11694</v>
      </c>
      <c r="O143">
        <f>INDEX(script.out!C:C,results.txt!$M143)</f>
        <v>4.34755E-2</v>
      </c>
      <c r="P143">
        <f>INDEX(script.out!D:D,results.txt!$M143)</f>
        <v>0.80771700000000002</v>
      </c>
      <c r="Q143">
        <f>INDEX(script.out!E:E,results.txt!$M143)</f>
        <v>21.046942218583101</v>
      </c>
      <c r="R143">
        <f>INDEX(script.out!F:F,results.txt!$M143)</f>
        <v>56.25</v>
      </c>
      <c r="S143">
        <f>INDEX(script.out!G:G,results.txt!$M143)</f>
        <v>267.90245530793698</v>
      </c>
      <c r="T143" t="str">
        <f>INDEX(script.out!H:H,results.txt!$M143)</f>
        <v>{</v>
      </c>
      <c r="U143">
        <f>INDEX(script.out!I:I,results.txt!$M143)</f>
        <v>1.1935500000000001</v>
      </c>
      <c r="V143">
        <f>INDEX(script.out!J:J,results.txt!$M143)</f>
        <v>121.73775000000001</v>
      </c>
      <c r="W143">
        <f>INDEX(script.out!K:K,results.txt!$M143)</f>
        <v>486.55302999999998</v>
      </c>
      <c r="X143" t="str">
        <f>INDEX(script.out!L:L,results.txt!$M143)</f>
        <v>}</v>
      </c>
      <c r="Y143" t="str">
        <f>INDEX(script.out!M:M,results.txt!$M143)</f>
        <v>{</v>
      </c>
      <c r="Z143">
        <f>INDEX(script.out!N:N,results.txt!$M143)</f>
        <v>14.5876946518467</v>
      </c>
      <c r="AA143">
        <f>INDEX(script.out!O:O,results.txt!$M143)</f>
        <v>15.5</v>
      </c>
      <c r="AB143">
        <f>INDEX(script.out!P:P,results.txt!$M143)</f>
        <v>1325.78</v>
      </c>
      <c r="AC143" t="str">
        <f>INDEX(script.out!Q:Q,results.txt!$M143)</f>
        <v>}</v>
      </c>
      <c r="AD143">
        <f t="shared" si="2"/>
        <v>1</v>
      </c>
    </row>
    <row r="144" spans="1:30" x14ac:dyDescent="0.25">
      <c r="A144" s="12" t="s">
        <v>2</v>
      </c>
      <c r="B144" s="12">
        <v>-3</v>
      </c>
      <c r="C144" s="12">
        <v>1.08653</v>
      </c>
      <c r="D144" s="12">
        <v>6.12928E-3</v>
      </c>
      <c r="E144" s="12">
        <v>0.63983100000000004</v>
      </c>
      <c r="F144" s="12">
        <v>-3</v>
      </c>
      <c r="G144" s="12">
        <v>5.5230499999999996</v>
      </c>
      <c r="H144" s="12">
        <v>56.25</v>
      </c>
      <c r="I144" s="12">
        <v>261.25099999999998</v>
      </c>
      <c r="J144" s="12" t="s">
        <v>3</v>
      </c>
      <c r="K144" s="12">
        <v>0</v>
      </c>
      <c r="M144">
        <f>MATCH(C144,script.out!B:B,0)</f>
        <v>803</v>
      </c>
      <c r="N144">
        <f>INDEX(script.out!B:B,results.txt!$M144)</f>
        <v>1.08653</v>
      </c>
      <c r="O144">
        <f>INDEX(script.out!C:C,results.txt!$M144)</f>
        <v>6.12928E-3</v>
      </c>
      <c r="P144">
        <f>INDEX(script.out!D:D,results.txt!$M144)</f>
        <v>0.63983100000000004</v>
      </c>
      <c r="Q144">
        <f>INDEX(script.out!E:E,results.txt!$M144)</f>
        <v>5.52305153164962</v>
      </c>
      <c r="R144">
        <f>INDEX(script.out!F:F,results.txt!$M144)</f>
        <v>56.25</v>
      </c>
      <c r="S144">
        <f>INDEX(script.out!G:G,results.txt!$M144)</f>
        <v>261.25098268417997</v>
      </c>
      <c r="T144" t="str">
        <f>INDEX(script.out!H:H,results.txt!$M144)</f>
        <v>{</v>
      </c>
      <c r="U144">
        <f>INDEX(script.out!I:I,results.txt!$M144)</f>
        <v>1.1692199999999999</v>
      </c>
      <c r="V144">
        <f>INDEX(script.out!J:J,results.txt!$M144)</f>
        <v>103.06464</v>
      </c>
      <c r="W144">
        <f>INDEX(script.out!K:K,results.txt!$M144)</f>
        <v>387.50029000000001</v>
      </c>
      <c r="X144" t="str">
        <f>INDEX(script.out!L:L,results.txt!$M144)</f>
        <v>}</v>
      </c>
      <c r="Y144" t="str">
        <f>INDEX(script.out!M:M,results.txt!$M144)</f>
        <v>{</v>
      </c>
      <c r="Z144">
        <f>INDEX(script.out!N:N,results.txt!$M144)</f>
        <v>12.3501173442297</v>
      </c>
      <c r="AA144">
        <f>INDEX(script.out!O:O,results.txt!$M144)</f>
        <v>15.5</v>
      </c>
      <c r="AB144">
        <f>INDEX(script.out!P:P,results.txt!$M144)</f>
        <v>1400.41</v>
      </c>
      <c r="AC144" t="str">
        <f>INDEX(script.out!Q:Q,results.txt!$M144)</f>
        <v>}</v>
      </c>
      <c r="AD144">
        <f t="shared" si="2"/>
        <v>1</v>
      </c>
    </row>
    <row r="145" spans="1:30" x14ac:dyDescent="0.25">
      <c r="A145" s="12" t="s">
        <v>2</v>
      </c>
      <c r="B145" s="12">
        <v>-3</v>
      </c>
      <c r="C145" s="12">
        <v>0.95922700000000005</v>
      </c>
      <c r="D145" s="12">
        <v>6.6053700000000007E-2</v>
      </c>
      <c r="E145" s="12">
        <v>0.68337599999999998</v>
      </c>
      <c r="F145" s="12">
        <v>-3</v>
      </c>
      <c r="G145" s="12">
        <v>35.289000000000001</v>
      </c>
      <c r="H145" s="12">
        <v>56.25</v>
      </c>
      <c r="I145" s="12">
        <v>202.02199999999999</v>
      </c>
      <c r="J145" s="12" t="s">
        <v>3</v>
      </c>
      <c r="K145" s="12">
        <v>1</v>
      </c>
      <c r="M145">
        <f>MATCH(C145,script.out!B:B,0)</f>
        <v>804</v>
      </c>
      <c r="N145">
        <f>INDEX(script.out!B:B,results.txt!$M145)</f>
        <v>0.95922700000000005</v>
      </c>
      <c r="O145">
        <f>INDEX(script.out!C:C,results.txt!$M145)</f>
        <v>6.6053700000000007E-2</v>
      </c>
      <c r="P145">
        <f>INDEX(script.out!D:D,results.txt!$M145)</f>
        <v>0.68337599999999998</v>
      </c>
      <c r="Q145">
        <f>INDEX(script.out!E:E,results.txt!$M145)</f>
        <v>35.2890000071394</v>
      </c>
      <c r="R145">
        <f>INDEX(script.out!F:F,results.txt!$M145)</f>
        <v>56.25</v>
      </c>
      <c r="S145">
        <f>INDEX(script.out!G:G,results.txt!$M145)</f>
        <v>202.022219313942</v>
      </c>
      <c r="T145" t="str">
        <f>INDEX(script.out!H:H,results.txt!$M145)</f>
        <v>{</v>
      </c>
      <c r="U145">
        <f>INDEX(script.out!I:I,results.txt!$M145)</f>
        <v>1.0673809999999999</v>
      </c>
      <c r="V145">
        <f>INDEX(script.out!J:J,results.txt!$M145)</f>
        <v>133.02685</v>
      </c>
      <c r="W145">
        <f>INDEX(script.out!K:K,results.txt!$M145)</f>
        <v>413.19184000000001</v>
      </c>
      <c r="X145" t="str">
        <f>INDEX(script.out!L:L,results.txt!$M145)</f>
        <v>}</v>
      </c>
      <c r="Y145" t="str">
        <f>INDEX(script.out!M:M,results.txt!$M145)</f>
        <v>{</v>
      </c>
      <c r="Z145">
        <f>INDEX(script.out!N:N,results.txt!$M145)</f>
        <v>15.9404545286652</v>
      </c>
      <c r="AA145">
        <f>INDEX(script.out!O:O,results.txt!$M145)</f>
        <v>15.5</v>
      </c>
      <c r="AB145">
        <f>INDEX(script.out!P:P,results.txt!$M145)</f>
        <v>2112.09</v>
      </c>
      <c r="AC145" t="str">
        <f>INDEX(script.out!Q:Q,results.txt!$M145)</f>
        <v>}</v>
      </c>
      <c r="AD145">
        <f t="shared" si="2"/>
        <v>1</v>
      </c>
    </row>
    <row r="146" spans="1:30" x14ac:dyDescent="0.25">
      <c r="A146" s="12" t="s">
        <v>2</v>
      </c>
      <c r="B146" s="12">
        <v>-3</v>
      </c>
      <c r="C146" s="12">
        <v>0.88389300000000004</v>
      </c>
      <c r="D146" s="12">
        <v>0.25754199999999999</v>
      </c>
      <c r="E146" s="12">
        <v>0.53811100000000001</v>
      </c>
      <c r="F146" s="12">
        <v>-3</v>
      </c>
      <c r="G146" s="12">
        <v>303.22500000000002</v>
      </c>
      <c r="H146" s="12">
        <v>36</v>
      </c>
      <c r="I146" s="12">
        <v>2.4809299999999999</v>
      </c>
      <c r="J146" s="12" t="s">
        <v>3</v>
      </c>
      <c r="K146" s="12">
        <v>0</v>
      </c>
      <c r="M146">
        <f>MATCH(C146,script.out!B:B,0)</f>
        <v>805</v>
      </c>
      <c r="N146">
        <f>INDEX(script.out!B:B,results.txt!$M146)</f>
        <v>0.88389300000000004</v>
      </c>
      <c r="O146">
        <f>INDEX(script.out!C:C,results.txt!$M146)</f>
        <v>0.25754199999999999</v>
      </c>
      <c r="P146">
        <f>INDEX(script.out!D:D,results.txt!$M146)</f>
        <v>0.53811100000000001</v>
      </c>
      <c r="Q146">
        <f>INDEX(script.out!E:E,results.txt!$M146)</f>
        <v>303.22531442897298</v>
      </c>
      <c r="R146">
        <f>INDEX(script.out!F:F,results.txt!$M146)</f>
        <v>36</v>
      </c>
      <c r="S146">
        <f>INDEX(script.out!G:G,results.txt!$M146)</f>
        <v>2.48092706398949</v>
      </c>
      <c r="T146" t="str">
        <f>INDEX(script.out!H:H,results.txt!$M146)</f>
        <v>{</v>
      </c>
      <c r="U146">
        <f>INDEX(script.out!I:I,results.txt!$M146)</f>
        <v>1.0071140000000001</v>
      </c>
      <c r="V146">
        <f>INDEX(script.out!J:J,results.txt!$M146)</f>
        <v>228.77099999999999</v>
      </c>
      <c r="W146">
        <f>INDEX(script.out!K:K,results.txt!$M146)</f>
        <v>327.48549000000003</v>
      </c>
      <c r="X146" t="str">
        <f>INDEX(script.out!L:L,results.txt!$M146)</f>
        <v>}</v>
      </c>
      <c r="Y146" t="str">
        <f>INDEX(script.out!M:M,results.txt!$M146)</f>
        <v>{</v>
      </c>
      <c r="Z146">
        <f>INDEX(script.out!N:N,results.txt!$M146)</f>
        <v>27.413365970683898</v>
      </c>
      <c r="AA146">
        <f>INDEX(script.out!O:O,results.txt!$M146)</f>
        <v>14</v>
      </c>
      <c r="AB146">
        <f>INDEX(script.out!P:P,results.txt!$M146)</f>
        <v>6725.09</v>
      </c>
      <c r="AC146" t="str">
        <f>INDEX(script.out!Q:Q,results.txt!$M146)</f>
        <v>}</v>
      </c>
      <c r="AD146">
        <f t="shared" si="2"/>
        <v>1</v>
      </c>
    </row>
    <row r="147" spans="1:30" x14ac:dyDescent="0.25">
      <c r="A147" s="12" t="s">
        <v>2</v>
      </c>
      <c r="B147" s="12">
        <v>-3</v>
      </c>
      <c r="C147" s="12">
        <v>0.35492600000000002</v>
      </c>
      <c r="D147" s="12">
        <v>-4.9811399999999999E-2</v>
      </c>
      <c r="E147" s="12">
        <v>0.40213399999999999</v>
      </c>
      <c r="F147" s="12">
        <v>-3</v>
      </c>
      <c r="G147" s="12">
        <v>1.00308</v>
      </c>
      <c r="H147" s="12">
        <v>156.25</v>
      </c>
      <c r="I147" s="12">
        <v>197.94499999999999</v>
      </c>
      <c r="J147" s="12" t="s">
        <v>3</v>
      </c>
      <c r="K147" s="12">
        <v>1</v>
      </c>
      <c r="M147">
        <f>MATCH(C147,script.out!B:B,0)</f>
        <v>806</v>
      </c>
      <c r="N147">
        <f>INDEX(script.out!B:B,results.txt!$M147)</f>
        <v>0.35492600000000002</v>
      </c>
      <c r="O147">
        <f>INDEX(script.out!C:C,results.txt!$M147)</f>
        <v>-4.9811399999999999E-2</v>
      </c>
      <c r="P147">
        <f>INDEX(script.out!D:D,results.txt!$M147)</f>
        <v>0.40213399999999999</v>
      </c>
      <c r="Q147">
        <f>INDEX(script.out!E:E,results.txt!$M147)</f>
        <v>1.0030750556591099</v>
      </c>
      <c r="R147">
        <f>INDEX(script.out!F:F,results.txt!$M147)</f>
        <v>156.25</v>
      </c>
      <c r="S147">
        <f>INDEX(script.out!G:G,results.txt!$M147)</f>
        <v>197.944855575905</v>
      </c>
      <c r="T147" t="str">
        <f>INDEX(script.out!H:H,results.txt!$M147)</f>
        <v>{</v>
      </c>
      <c r="U147">
        <f>INDEX(script.out!I:I,results.txt!$M147)</f>
        <v>0.58394000000000001</v>
      </c>
      <c r="V147">
        <f>INDEX(script.out!J:J,results.txt!$M147)</f>
        <v>75.094300000000004</v>
      </c>
      <c r="W147">
        <f>INDEX(script.out!K:K,results.txt!$M147)</f>
        <v>247.25906000000001</v>
      </c>
      <c r="X147" t="str">
        <f>INDEX(script.out!L:L,results.txt!$M147)</f>
        <v>}</v>
      </c>
      <c r="Y147" t="str">
        <f>INDEX(script.out!M:M,results.txt!$M147)</f>
        <v>{</v>
      </c>
      <c r="Z147">
        <f>INDEX(script.out!N:N,results.txt!$M147)</f>
        <v>8.9984636523524806</v>
      </c>
      <c r="AA147">
        <f>INDEX(script.out!O:O,results.txt!$M147)</f>
        <v>20.5</v>
      </c>
      <c r="AB147">
        <f>INDEX(script.out!P:P,results.txt!$M147)</f>
        <v>2164.71</v>
      </c>
      <c r="AC147" t="str">
        <f>INDEX(script.out!Q:Q,results.txt!$M147)</f>
        <v>}</v>
      </c>
      <c r="AD147">
        <f t="shared" si="2"/>
        <v>1</v>
      </c>
    </row>
    <row r="148" spans="1:30" x14ac:dyDescent="0.25">
      <c r="A148" s="12" t="s">
        <v>2</v>
      </c>
      <c r="B148" s="12">
        <v>-3</v>
      </c>
      <c r="C148" s="12">
        <v>0.89850200000000002</v>
      </c>
      <c r="D148" s="12">
        <v>-3.8645100000000002E-2</v>
      </c>
      <c r="E148" s="12">
        <v>0.75192499999999995</v>
      </c>
      <c r="F148" s="12">
        <v>-3</v>
      </c>
      <c r="G148" s="12">
        <v>0.110565</v>
      </c>
      <c r="H148" s="12">
        <v>100</v>
      </c>
      <c r="I148" s="12">
        <v>305.27699999999999</v>
      </c>
      <c r="J148" s="12" t="s">
        <v>3</v>
      </c>
      <c r="K148" s="12">
        <v>1</v>
      </c>
      <c r="M148">
        <f>MATCH(C148,script.out!B:B,0)</f>
        <v>807</v>
      </c>
      <c r="N148">
        <f>INDEX(script.out!B:B,results.txt!$M148)</f>
        <v>0.89850200000000002</v>
      </c>
      <c r="O148">
        <f>INDEX(script.out!C:C,results.txt!$M148)</f>
        <v>-3.8645100000000002E-2</v>
      </c>
      <c r="P148">
        <f>INDEX(script.out!D:D,results.txt!$M148)</f>
        <v>0.75192499999999995</v>
      </c>
      <c r="Q148">
        <f>INDEX(script.out!E:E,results.txt!$M148)</f>
        <v>0.110565494133745</v>
      </c>
      <c r="R148">
        <f>INDEX(script.out!F:F,results.txt!$M148)</f>
        <v>100</v>
      </c>
      <c r="S148">
        <f>INDEX(script.out!G:G,results.txt!$M148)</f>
        <v>305.277102673792</v>
      </c>
      <c r="T148" t="str">
        <f>INDEX(script.out!H:H,results.txt!$M148)</f>
        <v>{</v>
      </c>
      <c r="U148">
        <f>INDEX(script.out!I:I,results.txt!$M148)</f>
        <v>1.0188010000000001</v>
      </c>
      <c r="V148">
        <f>INDEX(script.out!J:J,results.txt!$M148)</f>
        <v>80.677449999999993</v>
      </c>
      <c r="W148">
        <f>INDEX(script.out!K:K,results.txt!$M148)</f>
        <v>453.63574999999997</v>
      </c>
      <c r="X148" t="str">
        <f>INDEX(script.out!L:L,results.txt!$M148)</f>
        <v>}</v>
      </c>
      <c r="Y148" t="str">
        <f>INDEX(script.out!M:M,results.txt!$M148)</f>
        <v>{</v>
      </c>
      <c r="Z148">
        <f>INDEX(script.out!N:N,results.txt!$M148)</f>
        <v>9.6674860993375606</v>
      </c>
      <c r="AA148">
        <f>INDEX(script.out!O:O,results.txt!$M148)</f>
        <v>18</v>
      </c>
      <c r="AB148">
        <f>INDEX(script.out!P:P,results.txt!$M148)</f>
        <v>922.654</v>
      </c>
      <c r="AC148" t="str">
        <f>INDEX(script.out!Q:Q,results.txt!$M148)</f>
        <v>}</v>
      </c>
      <c r="AD148">
        <f t="shared" si="2"/>
        <v>1</v>
      </c>
    </row>
    <row r="149" spans="1:30" x14ac:dyDescent="0.25">
      <c r="A149" s="12" t="s">
        <v>2</v>
      </c>
      <c r="B149" s="12">
        <v>-3</v>
      </c>
      <c r="C149" s="12">
        <v>0.88066999999999995</v>
      </c>
      <c r="D149" s="12">
        <v>0.28547899999999998</v>
      </c>
      <c r="E149" s="12">
        <v>0.47890199999999999</v>
      </c>
      <c r="F149" s="12">
        <v>-3</v>
      </c>
      <c r="G149" s="12">
        <v>364.32100000000003</v>
      </c>
      <c r="H149" s="12">
        <v>36</v>
      </c>
      <c r="I149" s="12">
        <v>2.2680400000000001</v>
      </c>
      <c r="J149" s="12" t="s">
        <v>3</v>
      </c>
      <c r="K149" s="12">
        <v>1</v>
      </c>
      <c r="M149">
        <f>MATCH(C149,script.out!B:B,0)</f>
        <v>808</v>
      </c>
      <c r="N149">
        <f>INDEX(script.out!B:B,results.txt!$M149)</f>
        <v>0.88066999999999995</v>
      </c>
      <c r="O149">
        <f>INDEX(script.out!C:C,results.txt!$M149)</f>
        <v>0.28547899999999998</v>
      </c>
      <c r="P149">
        <f>INDEX(script.out!D:D,results.txt!$M149)</f>
        <v>0.47890199999999999</v>
      </c>
      <c r="Q149">
        <f>INDEX(script.out!E:E,results.txt!$M149)</f>
        <v>364.32102326303902</v>
      </c>
      <c r="R149">
        <f>INDEX(script.out!F:F,results.txt!$M149)</f>
        <v>36</v>
      </c>
      <c r="S149">
        <f>INDEX(script.out!G:G,results.txt!$M149)</f>
        <v>2.2680359999999999</v>
      </c>
      <c r="T149" t="str">
        <f>INDEX(script.out!H:H,results.txt!$M149)</f>
        <v>{</v>
      </c>
      <c r="U149">
        <f>INDEX(script.out!I:I,results.txt!$M149)</f>
        <v>1.0045299999999999</v>
      </c>
      <c r="V149">
        <f>INDEX(script.out!J:J,results.txt!$M149)</f>
        <v>242.73949999999999</v>
      </c>
      <c r="W149">
        <f>INDEX(script.out!K:K,results.txt!$M149)</f>
        <v>292.55218000000002</v>
      </c>
      <c r="X149" t="str">
        <f>INDEX(script.out!L:L,results.txt!$M149)</f>
        <v>}</v>
      </c>
      <c r="Y149" t="str">
        <f>INDEX(script.out!M:M,results.txt!$M149)</f>
        <v>{</v>
      </c>
      <c r="Z149">
        <f>INDEX(script.out!N:N,results.txt!$M149)</f>
        <v>29.0871952696838</v>
      </c>
      <c r="AA149">
        <f>INDEX(script.out!O:O,results.txt!$M149)</f>
        <v>14</v>
      </c>
      <c r="AB149">
        <f>INDEX(script.out!P:P,results.txt!$M149)</f>
        <v>7849.69</v>
      </c>
      <c r="AC149" t="str">
        <f>INDEX(script.out!Q:Q,results.txt!$M149)</f>
        <v>}</v>
      </c>
      <c r="AD149">
        <f t="shared" si="2"/>
        <v>1</v>
      </c>
    </row>
    <row r="150" spans="1:30" x14ac:dyDescent="0.25">
      <c r="A150" s="12" t="s">
        <v>2</v>
      </c>
      <c r="B150" s="12">
        <v>-3</v>
      </c>
      <c r="C150" s="12">
        <v>0.98280900000000004</v>
      </c>
      <c r="D150" s="12">
        <v>0.36623600000000001</v>
      </c>
      <c r="E150" s="12">
        <v>0.60247200000000001</v>
      </c>
      <c r="F150" s="12">
        <v>-3</v>
      </c>
      <c r="G150" s="12">
        <v>572.43899999999996</v>
      </c>
      <c r="H150" s="12">
        <v>30.25</v>
      </c>
      <c r="I150" s="12">
        <v>4.8099099999999999E-2</v>
      </c>
      <c r="J150" s="12" t="s">
        <v>3</v>
      </c>
      <c r="K150" s="12">
        <v>1</v>
      </c>
      <c r="M150">
        <f>MATCH(C150,script.out!B:B,0)</f>
        <v>809</v>
      </c>
      <c r="N150">
        <f>INDEX(script.out!B:B,results.txt!$M150)</f>
        <v>0.98280900000000004</v>
      </c>
      <c r="O150">
        <f>INDEX(script.out!C:C,results.txt!$M150)</f>
        <v>0.36623600000000001</v>
      </c>
      <c r="P150">
        <f>INDEX(script.out!D:D,results.txt!$M150)</f>
        <v>0.60247200000000001</v>
      </c>
      <c r="Q150">
        <f>INDEX(script.out!E:E,results.txt!$M150)</f>
        <v>572.439336389961</v>
      </c>
      <c r="R150">
        <f>INDEX(script.out!F:F,results.txt!$M150)</f>
        <v>30.25</v>
      </c>
      <c r="S150">
        <f>INDEX(script.out!G:G,results.txt!$M150)</f>
        <v>4.8099099268155303E-2</v>
      </c>
      <c r="T150" t="str">
        <f>INDEX(script.out!H:H,results.txt!$M150)</f>
        <v>{</v>
      </c>
      <c r="U150">
        <f>INDEX(script.out!I:I,results.txt!$M150)</f>
        <v>1.086247</v>
      </c>
      <c r="V150">
        <f>INDEX(script.out!J:J,results.txt!$M150)</f>
        <v>283.11799999999999</v>
      </c>
      <c r="W150">
        <f>INDEX(script.out!K:K,results.txt!$M150)</f>
        <v>365.45848000000001</v>
      </c>
      <c r="X150" t="str">
        <f>INDEX(script.out!L:L,results.txt!$M150)</f>
        <v>}</v>
      </c>
      <c r="Y150" t="str">
        <f>INDEX(script.out!M:M,results.txt!$M150)</f>
        <v>{</v>
      </c>
      <c r="Z150">
        <f>INDEX(script.out!N:N,results.txt!$M150)</f>
        <v>33.925704511883403</v>
      </c>
      <c r="AA150">
        <f>INDEX(script.out!O:O,results.txt!$M150)</f>
        <v>13.5</v>
      </c>
      <c r="AB150">
        <f>INDEX(script.out!P:P,results.txt!$M150)</f>
        <v>7380.05</v>
      </c>
      <c r="AC150" t="str">
        <f>INDEX(script.out!Q:Q,results.txt!$M150)</f>
        <v>}</v>
      </c>
      <c r="AD150">
        <f t="shared" si="2"/>
        <v>1</v>
      </c>
    </row>
    <row r="151" spans="1:30" x14ac:dyDescent="0.25">
      <c r="A151" s="12" t="s">
        <v>2</v>
      </c>
      <c r="B151" s="12">
        <v>-3</v>
      </c>
      <c r="C151" s="12">
        <v>0.81798599999999999</v>
      </c>
      <c r="D151" s="12">
        <v>0.21520900000000001</v>
      </c>
      <c r="E151" s="12">
        <v>0.445463</v>
      </c>
      <c r="F151" s="12">
        <v>-3</v>
      </c>
      <c r="G151" s="12">
        <v>221.32499999999999</v>
      </c>
      <c r="H151" s="12">
        <v>42.25</v>
      </c>
      <c r="I151" s="12">
        <v>1.9676800000000001E-2</v>
      </c>
      <c r="J151" s="12" t="s">
        <v>3</v>
      </c>
      <c r="K151" s="12">
        <v>0</v>
      </c>
      <c r="M151">
        <f>MATCH(C151,script.out!B:B,0)</f>
        <v>810</v>
      </c>
      <c r="N151">
        <f>INDEX(script.out!B:B,results.txt!$M151)</f>
        <v>0.81798599999999999</v>
      </c>
      <c r="O151">
        <f>INDEX(script.out!C:C,results.txt!$M151)</f>
        <v>0.21520900000000001</v>
      </c>
      <c r="P151">
        <f>INDEX(script.out!D:D,results.txt!$M151)</f>
        <v>0.445463</v>
      </c>
      <c r="Q151">
        <f>INDEX(script.out!E:E,results.txt!$M151)</f>
        <v>221.32538504448101</v>
      </c>
      <c r="R151">
        <f>INDEX(script.out!F:F,results.txt!$M151)</f>
        <v>42.25</v>
      </c>
      <c r="S151">
        <f>INDEX(script.out!G:G,results.txt!$M151)</f>
        <v>1.9676787389754102E-2</v>
      </c>
      <c r="T151" t="str">
        <f>INDEX(script.out!H:H,results.txt!$M151)</f>
        <v>{</v>
      </c>
      <c r="U151">
        <f>INDEX(script.out!I:I,results.txt!$M151)</f>
        <v>0.95438800000000001</v>
      </c>
      <c r="V151">
        <f>INDEX(script.out!J:J,results.txt!$M151)</f>
        <v>207.6045</v>
      </c>
      <c r="W151">
        <f>INDEX(script.out!K:K,results.txt!$M151)</f>
        <v>272.82317</v>
      </c>
      <c r="X151" t="str">
        <f>INDEX(script.out!L:L,results.txt!$M151)</f>
        <v>}</v>
      </c>
      <c r="Y151" t="str">
        <f>INDEX(script.out!M:M,results.txt!$M151)</f>
        <v>{</v>
      </c>
      <c r="Z151">
        <f>INDEX(script.out!N:N,results.txt!$M151)</f>
        <v>24.877008605377601</v>
      </c>
      <c r="AA151">
        <f>INDEX(script.out!O:O,results.txt!$M151)</f>
        <v>14.5</v>
      </c>
      <c r="AB151">
        <f>INDEX(script.out!P:P,results.txt!$M151)</f>
        <v>7248.8</v>
      </c>
      <c r="AC151" t="str">
        <f>INDEX(script.out!Q:Q,results.txt!$M151)</f>
        <v>}</v>
      </c>
      <c r="AD151">
        <f t="shared" si="2"/>
        <v>1</v>
      </c>
    </row>
    <row r="152" spans="1:30" x14ac:dyDescent="0.25">
      <c r="A152" s="12" t="s">
        <v>2</v>
      </c>
      <c r="B152" s="12">
        <v>-3</v>
      </c>
      <c r="C152" s="12">
        <v>1.0100800000000001</v>
      </c>
      <c r="D152" s="12">
        <v>0.317888</v>
      </c>
      <c r="E152" s="12">
        <v>0.58395300000000006</v>
      </c>
      <c r="F152" s="12">
        <v>-3</v>
      </c>
      <c r="G152" s="12">
        <v>442.21699999999998</v>
      </c>
      <c r="H152" s="12">
        <v>36</v>
      </c>
      <c r="I152" s="12">
        <v>30.103400000000001</v>
      </c>
      <c r="J152" s="12" t="s">
        <v>3</v>
      </c>
      <c r="K152" s="12">
        <v>1</v>
      </c>
      <c r="M152">
        <f>MATCH(C152,script.out!B:B,0)</f>
        <v>811</v>
      </c>
      <c r="N152">
        <f>INDEX(script.out!B:B,results.txt!$M152)</f>
        <v>1.0100800000000001</v>
      </c>
      <c r="O152">
        <f>INDEX(script.out!C:C,results.txt!$M152)</f>
        <v>0.317888</v>
      </c>
      <c r="P152">
        <f>INDEX(script.out!D:D,results.txt!$M152)</f>
        <v>0.58395300000000006</v>
      </c>
      <c r="Q152">
        <f>INDEX(script.out!E:E,results.txt!$M152)</f>
        <v>442.217237688593</v>
      </c>
      <c r="R152">
        <f>INDEX(script.out!F:F,results.txt!$M152)</f>
        <v>36</v>
      </c>
      <c r="S152">
        <f>INDEX(script.out!G:G,results.txt!$M152)</f>
        <v>30.103410898104698</v>
      </c>
      <c r="T152" t="str">
        <f>INDEX(script.out!H:H,results.txt!$M152)</f>
        <v>{</v>
      </c>
      <c r="U152">
        <f>INDEX(script.out!I:I,results.txt!$M152)</f>
        <v>1.10806</v>
      </c>
      <c r="V152">
        <f>INDEX(script.out!J:J,results.txt!$M152)</f>
        <v>258.94400000000002</v>
      </c>
      <c r="W152">
        <f>INDEX(script.out!K:K,results.txt!$M152)</f>
        <v>354.53226999999998</v>
      </c>
      <c r="X152" t="str">
        <f>INDEX(script.out!L:L,results.txt!$M152)</f>
        <v>}</v>
      </c>
      <c r="Y152" t="str">
        <f>INDEX(script.out!M:M,results.txt!$M152)</f>
        <v>{</v>
      </c>
      <c r="Z152">
        <f>INDEX(script.out!N:N,results.txt!$M152)</f>
        <v>31.0289618785282</v>
      </c>
      <c r="AA152">
        <f>INDEX(script.out!O:O,results.txt!$M152)</f>
        <v>14</v>
      </c>
      <c r="AB152">
        <f>INDEX(script.out!P:P,results.txt!$M152)</f>
        <v>5297.37</v>
      </c>
      <c r="AC152" t="str">
        <f>INDEX(script.out!Q:Q,results.txt!$M152)</f>
        <v>}</v>
      </c>
      <c r="AD152">
        <f t="shared" si="2"/>
        <v>1</v>
      </c>
    </row>
    <row r="153" spans="1:30" x14ac:dyDescent="0.25">
      <c r="A153" s="12" t="s">
        <v>2</v>
      </c>
      <c r="B153" s="12">
        <v>-3</v>
      </c>
      <c r="C153" s="12">
        <v>0.96493399999999996</v>
      </c>
      <c r="D153" s="12">
        <v>0.28747099999999998</v>
      </c>
      <c r="E153" s="12">
        <v>1.03694</v>
      </c>
      <c r="F153" s="12">
        <v>-3</v>
      </c>
      <c r="G153" s="12">
        <v>368.89100000000002</v>
      </c>
      <c r="H153" s="12">
        <v>42.25</v>
      </c>
      <c r="I153" s="12">
        <v>128.43700000000001</v>
      </c>
      <c r="J153" s="12" t="s">
        <v>3</v>
      </c>
      <c r="K153" s="12">
        <v>1</v>
      </c>
      <c r="M153">
        <f>MATCH(C153,script.out!B:B,0)</f>
        <v>812</v>
      </c>
      <c r="N153">
        <f>INDEX(script.out!B:B,results.txt!$M153)</f>
        <v>0.96493399999999996</v>
      </c>
      <c r="O153">
        <f>INDEX(script.out!C:C,results.txt!$M153)</f>
        <v>0.28747099999999998</v>
      </c>
      <c r="P153">
        <f>INDEX(script.out!D:D,results.txt!$M153)</f>
        <v>1.03694</v>
      </c>
      <c r="Q153">
        <f>INDEX(script.out!E:E,results.txt!$M153)</f>
        <v>368.89136334025602</v>
      </c>
      <c r="R153">
        <f>INDEX(script.out!F:F,results.txt!$M153)</f>
        <v>42.25</v>
      </c>
      <c r="S153">
        <f>INDEX(script.out!G:G,results.txt!$M153)</f>
        <v>128.437199493338</v>
      </c>
      <c r="T153" t="str">
        <f>INDEX(script.out!H:H,results.txt!$M153)</f>
        <v>{</v>
      </c>
      <c r="U153">
        <f>INDEX(script.out!I:I,results.txt!$M153)</f>
        <v>1.071947</v>
      </c>
      <c r="V153">
        <f>INDEX(script.out!J:J,results.txt!$M153)</f>
        <v>243.7355</v>
      </c>
      <c r="W153">
        <f>INDEX(script.out!K:K,results.txt!$M153)</f>
        <v>621.79459999999995</v>
      </c>
      <c r="X153" t="str">
        <f>INDEX(script.out!L:L,results.txt!$M153)</f>
        <v>}</v>
      </c>
      <c r="Y153" t="str">
        <f>INDEX(script.out!M:M,results.txt!$M153)</f>
        <v>{</v>
      </c>
      <c r="Z153">
        <f>INDEX(script.out!N:N,results.txt!$M153)</f>
        <v>29.206544804838099</v>
      </c>
      <c r="AA153">
        <f>INDEX(script.out!O:O,results.txt!$M153)</f>
        <v>14.5</v>
      </c>
      <c r="AB153">
        <f>INDEX(script.out!P:P,results.txt!$M153)</f>
        <v>3163.45</v>
      </c>
      <c r="AC153" t="str">
        <f>INDEX(script.out!Q:Q,results.txt!$M153)</f>
        <v>}</v>
      </c>
      <c r="AD153">
        <f t="shared" si="2"/>
        <v>1</v>
      </c>
    </row>
    <row r="154" spans="1:30" x14ac:dyDescent="0.25">
      <c r="A154" s="12" t="s">
        <v>2</v>
      </c>
      <c r="B154" s="12">
        <v>-3</v>
      </c>
      <c r="C154" s="12">
        <v>0.156524</v>
      </c>
      <c r="D154" s="12">
        <v>1.87878E-2</v>
      </c>
      <c r="E154" s="12">
        <v>0.14623800000000001</v>
      </c>
      <c r="F154" s="12">
        <v>-3</v>
      </c>
      <c r="G154" s="12">
        <v>9.6630500000000001</v>
      </c>
      <c r="H154" s="12">
        <v>110.25</v>
      </c>
      <c r="I154" s="12">
        <v>23.2927</v>
      </c>
      <c r="J154" s="12" t="s">
        <v>3</v>
      </c>
      <c r="K154" s="12">
        <v>1</v>
      </c>
      <c r="M154">
        <f>MATCH(C154,script.out!B:B,0)</f>
        <v>813</v>
      </c>
      <c r="N154">
        <f>INDEX(script.out!B:B,results.txt!$M154)</f>
        <v>0.156524</v>
      </c>
      <c r="O154">
        <f>INDEX(script.out!C:C,results.txt!$M154)</f>
        <v>1.87878E-2</v>
      </c>
      <c r="P154">
        <f>INDEX(script.out!D:D,results.txt!$M154)</f>
        <v>0.14623800000000001</v>
      </c>
      <c r="Q154">
        <f>INDEX(script.out!E:E,results.txt!$M154)</f>
        <v>9.6630538504675805</v>
      </c>
      <c r="R154">
        <f>INDEX(script.out!F:F,results.txt!$M154)</f>
        <v>110.25</v>
      </c>
      <c r="S154">
        <f>INDEX(script.out!G:G,results.txt!$M154)</f>
        <v>23.292656006004801</v>
      </c>
      <c r="T154" t="str">
        <f>INDEX(script.out!H:H,results.txt!$M154)</f>
        <v>{</v>
      </c>
      <c r="U154">
        <f>INDEX(script.out!I:I,results.txt!$M154)</f>
        <v>0.42521900000000001</v>
      </c>
      <c r="V154">
        <f>INDEX(script.out!J:J,results.txt!$M154)</f>
        <v>109.3939</v>
      </c>
      <c r="W154">
        <f>INDEX(script.out!K:K,results.txt!$M154)</f>
        <v>96.280420000000007</v>
      </c>
      <c r="X154" t="str">
        <f>INDEX(script.out!L:L,results.txt!$M154)</f>
        <v>}</v>
      </c>
      <c r="Y154" t="str">
        <f>INDEX(script.out!M:M,results.txt!$M154)</f>
        <v>{</v>
      </c>
      <c r="Z154">
        <f>INDEX(script.out!N:N,results.txt!$M154)</f>
        <v>13.1085452949036</v>
      </c>
      <c r="AA154">
        <f>INDEX(script.out!O:O,results.txt!$M154)</f>
        <v>18.5</v>
      </c>
      <c r="AB154">
        <f>INDEX(script.out!P:P,results.txt!$M154)</f>
        <v>5538.42</v>
      </c>
      <c r="AC154" t="str">
        <f>INDEX(script.out!Q:Q,results.txt!$M154)</f>
        <v>}</v>
      </c>
      <c r="AD154">
        <f t="shared" si="2"/>
        <v>1</v>
      </c>
    </row>
    <row r="155" spans="1:30" x14ac:dyDescent="0.25">
      <c r="A155" s="12" t="s">
        <v>2</v>
      </c>
      <c r="B155" s="12">
        <v>-3</v>
      </c>
      <c r="C155" s="12">
        <v>0.55351799999999995</v>
      </c>
      <c r="D155" s="12">
        <v>4.9002200000000003E-2</v>
      </c>
      <c r="E155" s="12">
        <v>0.26129200000000002</v>
      </c>
      <c r="F155" s="12">
        <v>-3</v>
      </c>
      <c r="G155" s="12">
        <v>24.194800000000001</v>
      </c>
      <c r="H155" s="12">
        <v>90.25</v>
      </c>
      <c r="I155" s="12">
        <v>400</v>
      </c>
      <c r="J155" s="12" t="s">
        <v>3</v>
      </c>
      <c r="K155" s="12">
        <v>1</v>
      </c>
      <c r="M155">
        <f>MATCH(C155,script.out!B:B,0)</f>
        <v>814</v>
      </c>
      <c r="N155">
        <f>INDEX(script.out!B:B,results.txt!$M155)</f>
        <v>0.55351799999999995</v>
      </c>
      <c r="O155">
        <f>INDEX(script.out!C:C,results.txt!$M155)</f>
        <v>4.9002200000000003E-2</v>
      </c>
      <c r="P155">
        <f>INDEX(script.out!D:D,results.txt!$M155)</f>
        <v>0.26129200000000002</v>
      </c>
      <c r="Q155">
        <f>INDEX(script.out!E:E,results.txt!$M155)</f>
        <v>24.194826651025402</v>
      </c>
      <c r="R155">
        <f>INDEX(script.out!F:F,results.txt!$M155)</f>
        <v>90.25</v>
      </c>
      <c r="S155">
        <f>INDEX(script.out!G:G,results.txt!$M155)</f>
        <v>400</v>
      </c>
      <c r="T155" t="str">
        <f>INDEX(script.out!H:H,results.txt!$M155)</f>
        <v>{</v>
      </c>
      <c r="U155">
        <f>INDEX(script.out!I:I,results.txt!$M155)</f>
        <v>0.74281399999999997</v>
      </c>
      <c r="V155">
        <f>INDEX(script.out!J:J,results.txt!$M155)</f>
        <v>124.50109999999999</v>
      </c>
      <c r="W155">
        <f>INDEX(script.out!K:K,results.txt!$M155)</f>
        <v>164.16228000000001</v>
      </c>
      <c r="X155" t="str">
        <f>INDEX(script.out!L:L,results.txt!$M155)</f>
        <v>}</v>
      </c>
      <c r="Y155" t="str">
        <f>INDEX(script.out!M:M,results.txt!$M155)</f>
        <v>{</v>
      </c>
      <c r="Z155">
        <f>INDEX(script.out!N:N,results.txt!$M155)</f>
        <v>14.918823706032301</v>
      </c>
      <c r="AA155">
        <f>INDEX(script.out!O:O,results.txt!$M155)</f>
        <v>17.5</v>
      </c>
      <c r="AB155">
        <f>INDEX(script.out!P:P,results.txt!$M155)</f>
        <v>0</v>
      </c>
      <c r="AC155" t="str">
        <f>INDEX(script.out!Q:Q,results.txt!$M155)</f>
        <v>}</v>
      </c>
      <c r="AD155">
        <f t="shared" si="2"/>
        <v>1</v>
      </c>
    </row>
    <row r="156" spans="1:30" x14ac:dyDescent="0.25">
      <c r="A156" s="12" t="s">
        <v>2</v>
      </c>
      <c r="B156" s="12">
        <v>-3</v>
      </c>
      <c r="C156" s="12">
        <v>0.20674699999999999</v>
      </c>
      <c r="D156" s="12">
        <v>-0.107054</v>
      </c>
      <c r="E156" s="12">
        <v>0.25698199999999999</v>
      </c>
      <c r="F156" s="12">
        <v>-3</v>
      </c>
      <c r="G156" s="12">
        <v>19.6355</v>
      </c>
      <c r="H156" s="12">
        <v>196</v>
      </c>
      <c r="I156" s="12">
        <v>252.34</v>
      </c>
      <c r="J156" s="12" t="s">
        <v>3</v>
      </c>
      <c r="K156" s="12">
        <v>1</v>
      </c>
      <c r="M156">
        <f>MATCH(C156,script.out!B:B,0)</f>
        <v>815</v>
      </c>
      <c r="N156">
        <f>INDEX(script.out!B:B,results.txt!$M156)</f>
        <v>0.20674699999999999</v>
      </c>
      <c r="O156">
        <f>INDEX(script.out!C:C,results.txt!$M156)</f>
        <v>-0.107054</v>
      </c>
      <c r="P156">
        <f>INDEX(script.out!D:D,results.txt!$M156)</f>
        <v>0.25698199999999999</v>
      </c>
      <c r="Q156">
        <f>INDEX(script.out!E:E,results.txt!$M156)</f>
        <v>19.635478742042</v>
      </c>
      <c r="R156">
        <f>INDEX(script.out!F:F,results.txt!$M156)</f>
        <v>196</v>
      </c>
      <c r="S156">
        <f>INDEX(script.out!G:G,results.txt!$M156)</f>
        <v>252.33975312441299</v>
      </c>
      <c r="T156" t="str">
        <f>INDEX(script.out!H:H,results.txt!$M156)</f>
        <v>{</v>
      </c>
      <c r="U156">
        <f>INDEX(script.out!I:I,results.txt!$M156)</f>
        <v>0.46539700000000001</v>
      </c>
      <c r="V156">
        <f>INDEX(script.out!J:J,results.txt!$M156)</f>
        <v>46.472999999999999</v>
      </c>
      <c r="W156">
        <f>INDEX(script.out!K:K,results.txt!$M156)</f>
        <v>161.61938000000001</v>
      </c>
      <c r="X156" t="str">
        <f>INDEX(script.out!L:L,results.txt!$M156)</f>
        <v>}</v>
      </c>
      <c r="Y156" t="str">
        <f>INDEX(script.out!M:M,results.txt!$M156)</f>
        <v>{</v>
      </c>
      <c r="Z156">
        <f>INDEX(script.out!N:N,results.txt!$M156)</f>
        <v>5.5688061719168704</v>
      </c>
      <c r="AA156">
        <f>INDEX(script.out!O:O,results.txt!$M156)</f>
        <v>22</v>
      </c>
      <c r="AB156">
        <f>INDEX(script.out!P:P,results.txt!$M156)</f>
        <v>1501.9</v>
      </c>
      <c r="AC156" t="str">
        <f>INDEX(script.out!Q:Q,results.txt!$M156)</f>
        <v>}</v>
      </c>
      <c r="AD156">
        <f t="shared" si="2"/>
        <v>1</v>
      </c>
    </row>
    <row r="157" spans="1:30" x14ac:dyDescent="0.25">
      <c r="A157" s="12" t="s">
        <v>2</v>
      </c>
      <c r="B157" s="12">
        <v>-3</v>
      </c>
      <c r="C157" s="12">
        <v>0.88565899999999997</v>
      </c>
      <c r="D157" s="12">
        <v>0.27458300000000002</v>
      </c>
      <c r="E157" s="12">
        <v>0.55247900000000005</v>
      </c>
      <c r="F157" s="12">
        <v>-3</v>
      </c>
      <c r="G157" s="12">
        <v>339.82600000000002</v>
      </c>
      <c r="H157" s="12">
        <v>36</v>
      </c>
      <c r="I157" s="12">
        <v>1.95617</v>
      </c>
      <c r="J157" s="12" t="s">
        <v>3</v>
      </c>
      <c r="K157" s="12">
        <v>0</v>
      </c>
      <c r="M157">
        <f>MATCH(C157,script.out!B:B,0)</f>
        <v>816</v>
      </c>
      <c r="N157">
        <f>INDEX(script.out!B:B,results.txt!$M157)</f>
        <v>0.88565899999999997</v>
      </c>
      <c r="O157">
        <f>INDEX(script.out!C:C,results.txt!$M157)</f>
        <v>0.27458300000000002</v>
      </c>
      <c r="P157">
        <f>INDEX(script.out!D:D,results.txt!$M157)</f>
        <v>0.55247900000000005</v>
      </c>
      <c r="Q157">
        <f>INDEX(script.out!E:E,results.txt!$M157)</f>
        <v>339.82591219837599</v>
      </c>
      <c r="R157">
        <f>INDEX(script.out!F:F,results.txt!$M157)</f>
        <v>36</v>
      </c>
      <c r="S157">
        <f>INDEX(script.out!G:G,results.txt!$M157)</f>
        <v>1.9561662600863201</v>
      </c>
      <c r="T157" t="str">
        <f>INDEX(script.out!H:H,results.txt!$M157)</f>
        <v>{</v>
      </c>
      <c r="U157">
        <f>INDEX(script.out!I:I,results.txt!$M157)</f>
        <v>1.008527</v>
      </c>
      <c r="V157">
        <f>INDEX(script.out!J:J,results.txt!$M157)</f>
        <v>237.29150000000001</v>
      </c>
      <c r="W157">
        <f>INDEX(script.out!K:K,results.txt!$M157)</f>
        <v>335.96260999999998</v>
      </c>
      <c r="X157" t="str">
        <f>INDEX(script.out!L:L,results.txt!$M157)</f>
        <v>}</v>
      </c>
      <c r="Y157" t="str">
        <f>INDEX(script.out!M:M,results.txt!$M157)</f>
        <v>{</v>
      </c>
      <c r="Z157">
        <f>INDEX(script.out!N:N,results.txt!$M157)</f>
        <v>28.434367691851399</v>
      </c>
      <c r="AA157">
        <f>INDEX(script.out!O:O,results.txt!$M157)</f>
        <v>14</v>
      </c>
      <c r="AB157">
        <f>INDEX(script.out!P:P,results.txt!$M157)</f>
        <v>6789.5</v>
      </c>
      <c r="AC157" t="str">
        <f>INDEX(script.out!Q:Q,results.txt!$M157)</f>
        <v>}</v>
      </c>
      <c r="AD157">
        <f t="shared" si="2"/>
        <v>1</v>
      </c>
    </row>
    <row r="158" spans="1:30" x14ac:dyDescent="0.25">
      <c r="A158" s="12" t="s">
        <v>2</v>
      </c>
      <c r="B158" s="12">
        <v>-3</v>
      </c>
      <c r="C158" s="12">
        <v>0.51037699999999997</v>
      </c>
      <c r="D158" s="12">
        <v>9.31342E-2</v>
      </c>
      <c r="E158" s="12">
        <v>0.26405000000000001</v>
      </c>
      <c r="F158" s="12">
        <v>-3</v>
      </c>
      <c r="G158" s="12">
        <v>57.198500000000003</v>
      </c>
      <c r="H158" s="12">
        <v>81</v>
      </c>
      <c r="I158" s="12">
        <v>6.9667099999999996E-2</v>
      </c>
      <c r="J158" s="12" t="s">
        <v>3</v>
      </c>
      <c r="K158" s="12">
        <v>1</v>
      </c>
      <c r="M158">
        <f>MATCH(C158,script.out!B:B,0)</f>
        <v>817</v>
      </c>
      <c r="N158">
        <f>INDEX(script.out!B:B,results.txt!$M158)</f>
        <v>0.51037699999999997</v>
      </c>
      <c r="O158">
        <f>INDEX(script.out!C:C,results.txt!$M158)</f>
        <v>9.31342E-2</v>
      </c>
      <c r="P158">
        <f>INDEX(script.out!D:D,results.txt!$M158)</f>
        <v>0.26405000000000001</v>
      </c>
      <c r="Q158">
        <f>INDEX(script.out!E:E,results.txt!$M158)</f>
        <v>57.198471694718798</v>
      </c>
      <c r="R158">
        <f>INDEX(script.out!F:F,results.txt!$M158)</f>
        <v>81</v>
      </c>
      <c r="S158">
        <f>INDEX(script.out!G:G,results.txt!$M158)</f>
        <v>6.9667071495590094E-2</v>
      </c>
      <c r="T158" t="str">
        <f>INDEX(script.out!H:H,results.txt!$M158)</f>
        <v>{</v>
      </c>
      <c r="U158">
        <f>INDEX(script.out!I:I,results.txt!$M158)</f>
        <v>0.70830099999999996</v>
      </c>
      <c r="V158">
        <f>INDEX(script.out!J:J,results.txt!$M158)</f>
        <v>146.56710000000001</v>
      </c>
      <c r="W158">
        <f>INDEX(script.out!K:K,results.txt!$M158)</f>
        <v>165.7895</v>
      </c>
      <c r="X158" t="str">
        <f>INDEX(script.out!L:L,results.txt!$M158)</f>
        <v>}</v>
      </c>
      <c r="Y158" t="str">
        <f>INDEX(script.out!M:M,results.txt!$M158)</f>
        <v>{</v>
      </c>
      <c r="Z158">
        <f>INDEX(script.out!N:N,results.txt!$M158)</f>
        <v>17.5629671224142</v>
      </c>
      <c r="AA158">
        <f>INDEX(script.out!O:O,results.txt!$M158)</f>
        <v>17</v>
      </c>
      <c r="AB158">
        <f>INDEX(script.out!P:P,results.txt!$M158)</f>
        <v>7396.34</v>
      </c>
      <c r="AC158" t="str">
        <f>INDEX(script.out!Q:Q,results.txt!$M158)</f>
        <v>}</v>
      </c>
      <c r="AD158">
        <f t="shared" si="2"/>
        <v>1</v>
      </c>
    </row>
    <row r="159" spans="1:30" x14ac:dyDescent="0.25">
      <c r="A159" s="12" t="s">
        <v>2</v>
      </c>
      <c r="B159" s="12">
        <v>-3</v>
      </c>
      <c r="C159" s="12">
        <v>0.45673200000000003</v>
      </c>
      <c r="D159" s="12">
        <v>4.9859599999999997E-2</v>
      </c>
      <c r="E159" s="12">
        <v>0.18312700000000001</v>
      </c>
      <c r="F159" s="12">
        <v>-3</v>
      </c>
      <c r="G159" s="12">
        <v>24.7028</v>
      </c>
      <c r="H159" s="12">
        <v>100</v>
      </c>
      <c r="I159" s="12">
        <v>2.4779900000000001</v>
      </c>
      <c r="J159" s="12" t="s">
        <v>3</v>
      </c>
      <c r="K159" s="12">
        <v>1</v>
      </c>
      <c r="M159">
        <f>MATCH(C159,script.out!B:B,0)</f>
        <v>818</v>
      </c>
      <c r="N159">
        <f>INDEX(script.out!B:B,results.txt!$M159)</f>
        <v>0.45673200000000003</v>
      </c>
      <c r="O159">
        <f>INDEX(script.out!C:C,results.txt!$M159)</f>
        <v>4.9859599999999997E-2</v>
      </c>
      <c r="P159">
        <f>INDEX(script.out!D:D,results.txt!$M159)</f>
        <v>0.18312700000000001</v>
      </c>
      <c r="Q159">
        <f>INDEX(script.out!E:E,results.txt!$M159)</f>
        <v>24.702831720369101</v>
      </c>
      <c r="R159">
        <f>INDEX(script.out!F:F,results.txt!$M159)</f>
        <v>100</v>
      </c>
      <c r="S159">
        <f>INDEX(script.out!G:G,results.txt!$M159)</f>
        <v>2.47799350647401</v>
      </c>
      <c r="T159" t="str">
        <f>INDEX(script.out!H:H,results.txt!$M159)</f>
        <v>{</v>
      </c>
      <c r="U159">
        <f>INDEX(script.out!I:I,results.txt!$M159)</f>
        <v>0.665385</v>
      </c>
      <c r="V159">
        <f>INDEX(script.out!J:J,results.txt!$M159)</f>
        <v>124.9298</v>
      </c>
      <c r="W159">
        <f>INDEX(script.out!K:K,results.txt!$M159)</f>
        <v>118.04492999999999</v>
      </c>
      <c r="X159" t="str">
        <f>INDEX(script.out!L:L,results.txt!$M159)</f>
        <v>}</v>
      </c>
      <c r="Y159" t="str">
        <f>INDEX(script.out!M:M,results.txt!$M159)</f>
        <v>{</v>
      </c>
      <c r="Z159">
        <f>INDEX(script.out!N:N,results.txt!$M159)</f>
        <v>14.9701943342659</v>
      </c>
      <c r="AA159">
        <f>INDEX(script.out!O:O,results.txt!$M159)</f>
        <v>18</v>
      </c>
      <c r="AB159">
        <f>INDEX(script.out!P:P,results.txt!$M159)</f>
        <v>7874.57</v>
      </c>
      <c r="AC159" t="str">
        <f>INDEX(script.out!Q:Q,results.txt!$M159)</f>
        <v>}</v>
      </c>
      <c r="AD159">
        <f t="shared" si="2"/>
        <v>1</v>
      </c>
    </row>
    <row r="160" spans="1:30" x14ac:dyDescent="0.25">
      <c r="A160" s="12" t="s">
        <v>2</v>
      </c>
      <c r="B160" s="12">
        <v>-3</v>
      </c>
      <c r="C160" s="12">
        <v>1.05772</v>
      </c>
      <c r="D160" s="12">
        <v>5.7438400000000001E-2</v>
      </c>
      <c r="E160" s="12">
        <v>0.71320700000000004</v>
      </c>
      <c r="F160" s="12">
        <v>-3</v>
      </c>
      <c r="G160" s="12">
        <v>29.422699999999999</v>
      </c>
      <c r="H160" s="12">
        <v>49</v>
      </c>
      <c r="I160" s="12">
        <v>223.27500000000001</v>
      </c>
      <c r="J160" s="12" t="s">
        <v>3</v>
      </c>
      <c r="K160" s="12">
        <v>1</v>
      </c>
      <c r="M160">
        <f>MATCH(C160,script.out!B:B,0)</f>
        <v>653</v>
      </c>
      <c r="N160">
        <f>INDEX(script.out!B:B,results.txt!$M160)</f>
        <v>1.05772</v>
      </c>
      <c r="O160">
        <f>INDEX(script.out!C:C,results.txt!$M160)</f>
        <v>-2.67399E-2</v>
      </c>
      <c r="P160">
        <f>INDEX(script.out!D:D,results.txt!$M160)</f>
        <v>0.62505299999999997</v>
      </c>
      <c r="Q160">
        <f>INDEX(script.out!E:E,results.txt!$M160)</f>
        <v>0.14499288685431699</v>
      </c>
      <c r="R160">
        <f>INDEX(script.out!F:F,results.txt!$M160)</f>
        <v>81</v>
      </c>
      <c r="S160">
        <f>INDEX(script.out!G:G,results.txt!$M160)</f>
        <v>285.99813725727103</v>
      </c>
      <c r="T160" t="str">
        <f>INDEX(script.out!H:H,results.txt!$M160)</f>
        <v>{</v>
      </c>
      <c r="U160">
        <f>INDEX(script.out!I:I,results.txt!$M160)</f>
        <v>1.1461699999999999</v>
      </c>
      <c r="V160">
        <f>INDEX(script.out!J:J,results.txt!$M160)</f>
        <v>86.630049999999997</v>
      </c>
      <c r="W160">
        <f>INDEX(script.out!K:K,results.txt!$M160)</f>
        <v>378.78127000000001</v>
      </c>
      <c r="X160" t="str">
        <f>INDEX(script.out!L:L,results.txt!$M160)</f>
        <v>}</v>
      </c>
      <c r="Y160" t="str">
        <f>INDEX(script.out!M:M,results.txt!$M160)</f>
        <v>{</v>
      </c>
      <c r="Z160">
        <f>INDEX(script.out!N:N,results.txt!$M160)</f>
        <v>10.3807793151607</v>
      </c>
      <c r="AA160">
        <f>INDEX(script.out!O:O,results.txt!$M160)</f>
        <v>17</v>
      </c>
      <c r="AB160">
        <f>INDEX(script.out!P:P,results.txt!$M160)</f>
        <v>1127.31</v>
      </c>
      <c r="AC160" t="str">
        <f>INDEX(script.out!Q:Q,results.txt!$M160)</f>
        <v>}</v>
      </c>
      <c r="AD160">
        <f t="shared" si="2"/>
        <v>1</v>
      </c>
    </row>
    <row r="161" spans="1:30" x14ac:dyDescent="0.25">
      <c r="A161" s="12" t="s">
        <v>2</v>
      </c>
      <c r="B161" s="12">
        <v>-3</v>
      </c>
      <c r="C161" s="12">
        <v>1.11635</v>
      </c>
      <c r="D161" s="12">
        <v>-5.67748E-2</v>
      </c>
      <c r="E161" s="12">
        <v>0.60809800000000003</v>
      </c>
      <c r="F161" s="12">
        <v>-3</v>
      </c>
      <c r="G161" s="12">
        <v>2.0128400000000002</v>
      </c>
      <c r="H161" s="12">
        <v>100</v>
      </c>
      <c r="I161" s="12">
        <v>323.61200000000002</v>
      </c>
      <c r="J161" s="12" t="s">
        <v>3</v>
      </c>
      <c r="K161" s="12">
        <v>1</v>
      </c>
      <c r="M161">
        <f>MATCH(C161,script.out!B:B,0)</f>
        <v>820</v>
      </c>
      <c r="N161">
        <f>INDEX(script.out!B:B,results.txt!$M161)</f>
        <v>1.11635</v>
      </c>
      <c r="O161">
        <f>INDEX(script.out!C:C,results.txt!$M161)</f>
        <v>-5.67748E-2</v>
      </c>
      <c r="P161">
        <f>INDEX(script.out!D:D,results.txt!$M161)</f>
        <v>0.60809800000000003</v>
      </c>
      <c r="Q161">
        <f>INDEX(script.out!E:E,results.txt!$M161)</f>
        <v>2.0128358332195599</v>
      </c>
      <c r="R161">
        <f>INDEX(script.out!F:F,results.txt!$M161)</f>
        <v>100</v>
      </c>
      <c r="S161">
        <f>INDEX(script.out!G:G,results.txt!$M161)</f>
        <v>323.61180949498203</v>
      </c>
      <c r="T161" t="str">
        <f>INDEX(script.out!H:H,results.txt!$M161)</f>
        <v>{</v>
      </c>
      <c r="U161">
        <f>INDEX(script.out!I:I,results.txt!$M161)</f>
        <v>1.1930799999999999</v>
      </c>
      <c r="V161">
        <f>INDEX(script.out!J:J,results.txt!$M161)</f>
        <v>71.6126</v>
      </c>
      <c r="W161">
        <f>INDEX(script.out!K:K,results.txt!$M161)</f>
        <v>368.77782000000002</v>
      </c>
      <c r="X161" t="str">
        <f>INDEX(script.out!L:L,results.txt!$M161)</f>
        <v>}</v>
      </c>
      <c r="Y161" t="str">
        <f>INDEX(script.out!M:M,results.txt!$M161)</f>
        <v>{</v>
      </c>
      <c r="Z161">
        <f>INDEX(script.out!N:N,results.txt!$M161)</f>
        <v>8.5812555433695703</v>
      </c>
      <c r="AA161">
        <f>INDEX(script.out!O:O,results.txt!$M161)</f>
        <v>18</v>
      </c>
      <c r="AB161">
        <f>INDEX(script.out!P:P,results.txt!$M161)</f>
        <v>733.93700000000001</v>
      </c>
      <c r="AC161" t="str">
        <f>INDEX(script.out!Q:Q,results.txt!$M161)</f>
        <v>}</v>
      </c>
      <c r="AD161">
        <f t="shared" si="2"/>
        <v>1</v>
      </c>
    </row>
    <row r="162" spans="1:30" x14ac:dyDescent="0.25">
      <c r="A162" s="12" t="s">
        <v>2</v>
      </c>
      <c r="B162" s="12">
        <v>-3</v>
      </c>
      <c r="C162" s="12">
        <v>0.153755</v>
      </c>
      <c r="D162" s="12">
        <v>-2.0214900000000001E-2</v>
      </c>
      <c r="E162" s="12">
        <v>0.14096</v>
      </c>
      <c r="F162" s="12">
        <v>-3</v>
      </c>
      <c r="G162" s="12">
        <v>0.595553</v>
      </c>
      <c r="H162" s="12">
        <v>132.25</v>
      </c>
      <c r="I162" s="12">
        <v>61.483199999999997</v>
      </c>
      <c r="J162" s="12" t="s">
        <v>3</v>
      </c>
      <c r="K162" s="12">
        <v>1</v>
      </c>
      <c r="M162">
        <f>MATCH(C162,script.out!B:B,0)</f>
        <v>821</v>
      </c>
      <c r="N162">
        <f>INDEX(script.out!B:B,results.txt!$M162)</f>
        <v>0.153755</v>
      </c>
      <c r="O162">
        <f>INDEX(script.out!C:C,results.txt!$M162)</f>
        <v>-2.0214900000000001E-2</v>
      </c>
      <c r="P162">
        <f>INDEX(script.out!D:D,results.txt!$M162)</f>
        <v>0.14096</v>
      </c>
      <c r="Q162">
        <f>INDEX(script.out!E:E,results.txt!$M162)</f>
        <v>0.59555320939144096</v>
      </c>
      <c r="R162">
        <f>INDEX(script.out!F:F,results.txt!$M162)</f>
        <v>132.25</v>
      </c>
      <c r="S162">
        <f>INDEX(script.out!G:G,results.txt!$M162)</f>
        <v>61.4832144124601</v>
      </c>
      <c r="T162" t="str">
        <f>INDEX(script.out!H:H,results.txt!$M162)</f>
        <v>{</v>
      </c>
      <c r="U162">
        <f>INDEX(script.out!I:I,results.txt!$M162)</f>
        <v>0.42300399999999999</v>
      </c>
      <c r="V162">
        <f>INDEX(script.out!J:J,results.txt!$M162)</f>
        <v>89.89255</v>
      </c>
      <c r="W162">
        <f>INDEX(script.out!K:K,results.txt!$M162)</f>
        <v>93.166399999999996</v>
      </c>
      <c r="X162" t="str">
        <f>INDEX(script.out!L:L,results.txt!$M162)</f>
        <v>}</v>
      </c>
      <c r="Y162" t="str">
        <f>INDEX(script.out!M:M,results.txt!$M162)</f>
        <v>{</v>
      </c>
      <c r="Z162">
        <f>INDEX(script.out!N:N,results.txt!$M162)</f>
        <v>10.7717209401016</v>
      </c>
      <c r="AA162">
        <f>INDEX(script.out!O:O,results.txt!$M162)</f>
        <v>19.5</v>
      </c>
      <c r="AB162">
        <f>INDEX(script.out!P:P,results.txt!$M162)</f>
        <v>4437.99</v>
      </c>
      <c r="AC162" t="str">
        <f>INDEX(script.out!Q:Q,results.txt!$M162)</f>
        <v>}</v>
      </c>
      <c r="AD162">
        <f t="shared" si="2"/>
        <v>1</v>
      </c>
    </row>
    <row r="163" spans="1:30" x14ac:dyDescent="0.25">
      <c r="A163" s="12" t="s">
        <v>2</v>
      </c>
      <c r="B163" s="12">
        <v>-3</v>
      </c>
      <c r="C163" s="12">
        <v>1.0415399999999999</v>
      </c>
      <c r="D163" s="12">
        <v>-2.7833299999999998E-2</v>
      </c>
      <c r="E163" s="12">
        <v>0.599997</v>
      </c>
      <c r="F163" s="12">
        <v>-3</v>
      </c>
      <c r="G163" s="12">
        <v>9.9394499999999997E-2</v>
      </c>
      <c r="H163" s="12">
        <v>81</v>
      </c>
      <c r="I163" s="12">
        <v>282.28199999999998</v>
      </c>
      <c r="J163" s="12" t="s">
        <v>3</v>
      </c>
      <c r="K163" s="12">
        <v>0</v>
      </c>
      <c r="M163">
        <f>MATCH(C163,script.out!B:B,0)</f>
        <v>822</v>
      </c>
      <c r="N163">
        <f>INDEX(script.out!B:B,results.txt!$M163)</f>
        <v>1.0415399999999999</v>
      </c>
      <c r="O163">
        <f>INDEX(script.out!C:C,results.txt!$M163)</f>
        <v>-2.7833299999999998E-2</v>
      </c>
      <c r="P163">
        <f>INDEX(script.out!D:D,results.txt!$M163)</f>
        <v>0.599997</v>
      </c>
      <c r="Q163">
        <f>INDEX(script.out!E:E,results.txt!$M163)</f>
        <v>9.9394468311572198E-2</v>
      </c>
      <c r="R163">
        <f>INDEX(script.out!F:F,results.txt!$M163)</f>
        <v>81</v>
      </c>
      <c r="S163">
        <f>INDEX(script.out!G:G,results.txt!$M163)</f>
        <v>282.28234679376902</v>
      </c>
      <c r="T163" t="str">
        <f>INDEX(script.out!H:H,results.txt!$M163)</f>
        <v>{</v>
      </c>
      <c r="U163">
        <f>INDEX(script.out!I:I,results.txt!$M163)</f>
        <v>1.13323</v>
      </c>
      <c r="V163">
        <f>INDEX(script.out!J:J,results.txt!$M163)</f>
        <v>86.083349999999996</v>
      </c>
      <c r="W163">
        <f>INDEX(script.out!K:K,results.txt!$M163)</f>
        <v>363.99822999999998</v>
      </c>
      <c r="X163" t="str">
        <f>INDEX(script.out!L:L,results.txt!$M163)</f>
        <v>}</v>
      </c>
      <c r="Y163" t="str">
        <f>INDEX(script.out!M:M,results.txt!$M163)</f>
        <v>{</v>
      </c>
      <c r="Z163">
        <f>INDEX(script.out!N:N,results.txt!$M163)</f>
        <v>10.3152688825614</v>
      </c>
      <c r="AA163">
        <f>INDEX(script.out!O:O,results.txt!$M163)</f>
        <v>17</v>
      </c>
      <c r="AB163">
        <f>INDEX(script.out!P:P,results.txt!$M163)</f>
        <v>1167.54</v>
      </c>
      <c r="AC163" t="str">
        <f>INDEX(script.out!Q:Q,results.txt!$M163)</f>
        <v>}</v>
      </c>
      <c r="AD163">
        <f t="shared" si="2"/>
        <v>1</v>
      </c>
    </row>
    <row r="164" spans="1:30" x14ac:dyDescent="0.25">
      <c r="A164" s="12" t="s">
        <v>2</v>
      </c>
      <c r="B164" s="12">
        <v>-3</v>
      </c>
      <c r="C164" s="12">
        <v>0.988954</v>
      </c>
      <c r="D164" s="12">
        <v>0.31143300000000002</v>
      </c>
      <c r="E164" s="12">
        <v>0.59365999999999997</v>
      </c>
      <c r="F164" s="12">
        <v>-3</v>
      </c>
      <c r="G164" s="12">
        <v>426.101</v>
      </c>
      <c r="H164" s="12">
        <v>30.25</v>
      </c>
      <c r="I164" s="12">
        <v>1.8135600000000001</v>
      </c>
      <c r="J164" s="12" t="s">
        <v>3</v>
      </c>
      <c r="K164" s="12">
        <v>0</v>
      </c>
      <c r="M164">
        <f>MATCH(C164,script.out!B:B,0)</f>
        <v>823</v>
      </c>
      <c r="N164">
        <f>INDEX(script.out!B:B,results.txt!$M164)</f>
        <v>0.988954</v>
      </c>
      <c r="O164">
        <f>INDEX(script.out!C:C,results.txt!$M164)</f>
        <v>0.31143300000000002</v>
      </c>
      <c r="P164">
        <f>INDEX(script.out!D:D,results.txt!$M164)</f>
        <v>0.59365999999999997</v>
      </c>
      <c r="Q164">
        <f>INDEX(script.out!E:E,results.txt!$M164)</f>
        <v>426.10100969433103</v>
      </c>
      <c r="R164">
        <f>INDEX(script.out!F:F,results.txt!$M164)</f>
        <v>30.25</v>
      </c>
      <c r="S164">
        <f>INDEX(script.out!G:G,results.txt!$M164)</f>
        <v>1.8135603047476001</v>
      </c>
      <c r="T164" t="str">
        <f>INDEX(script.out!H:H,results.txt!$M164)</f>
        <v>{</v>
      </c>
      <c r="U164">
        <f>INDEX(script.out!I:I,results.txt!$M164)</f>
        <v>1.0911630000000001</v>
      </c>
      <c r="V164">
        <f>INDEX(script.out!J:J,results.txt!$M164)</f>
        <v>255.7165</v>
      </c>
      <c r="W164">
        <f>INDEX(script.out!K:K,results.txt!$M164)</f>
        <v>360.25940000000003</v>
      </c>
      <c r="X164" t="str">
        <f>INDEX(script.out!L:L,results.txt!$M164)</f>
        <v>}</v>
      </c>
      <c r="Y164" t="str">
        <f>INDEX(script.out!M:M,results.txt!$M164)</f>
        <v>{</v>
      </c>
      <c r="Z164">
        <f>INDEX(script.out!N:N,results.txt!$M164)</f>
        <v>30.642214263356799</v>
      </c>
      <c r="AA164">
        <f>INDEX(script.out!O:O,results.txt!$M164)</f>
        <v>13.5</v>
      </c>
      <c r="AB164">
        <f>INDEX(script.out!P:P,results.txt!$M164)</f>
        <v>6808.46</v>
      </c>
      <c r="AC164" t="str">
        <f>INDEX(script.out!Q:Q,results.txt!$M164)</f>
        <v>}</v>
      </c>
      <c r="AD164">
        <f t="shared" si="2"/>
        <v>1</v>
      </c>
    </row>
    <row r="165" spans="1:30" x14ac:dyDescent="0.25">
      <c r="A165" s="12" t="s">
        <v>2</v>
      </c>
      <c r="B165" s="12">
        <v>-3</v>
      </c>
      <c r="C165" s="12">
        <v>1.0416700000000001</v>
      </c>
      <c r="D165" s="12">
        <v>2.1096699999999999E-2</v>
      </c>
      <c r="E165" s="12">
        <v>0.62362399999999996</v>
      </c>
      <c r="F165" s="12">
        <v>-3</v>
      </c>
      <c r="G165" s="12">
        <v>10.542199999999999</v>
      </c>
      <c r="H165" s="12">
        <v>49</v>
      </c>
      <c r="I165" s="12">
        <v>222.71100000000001</v>
      </c>
      <c r="J165" s="12" t="s">
        <v>3</v>
      </c>
      <c r="K165" s="12">
        <v>0</v>
      </c>
      <c r="M165">
        <f>MATCH(C165,script.out!B:B,0)</f>
        <v>824</v>
      </c>
      <c r="N165">
        <f>INDEX(script.out!B:B,results.txt!$M165)</f>
        <v>1.0416700000000001</v>
      </c>
      <c r="O165">
        <f>INDEX(script.out!C:C,results.txt!$M165)</f>
        <v>2.1096699999999999E-2</v>
      </c>
      <c r="P165">
        <f>INDEX(script.out!D:D,results.txt!$M165)</f>
        <v>0.62362399999999996</v>
      </c>
      <c r="Q165">
        <f>INDEX(script.out!E:E,results.txt!$M165)</f>
        <v>10.5422408480102</v>
      </c>
      <c r="R165">
        <f>INDEX(script.out!F:F,results.txt!$M165)</f>
        <v>49</v>
      </c>
      <c r="S165">
        <f>INDEX(script.out!G:G,results.txt!$M165)</f>
        <v>222.711056681553</v>
      </c>
      <c r="T165" t="str">
        <f>INDEX(script.out!H:H,results.txt!$M165)</f>
        <v>{</v>
      </c>
      <c r="U165">
        <f>INDEX(script.out!I:I,results.txt!$M165)</f>
        <v>1.1333299999999999</v>
      </c>
      <c r="V165">
        <f>INDEX(script.out!J:J,results.txt!$M165)</f>
        <v>110.54835</v>
      </c>
      <c r="W165">
        <f>INDEX(script.out!K:K,results.txt!$M165)</f>
        <v>377.93815999999998</v>
      </c>
      <c r="X165" t="str">
        <f>INDEX(script.out!L:L,results.txt!$M165)</f>
        <v>}</v>
      </c>
      <c r="Y165" t="str">
        <f>INDEX(script.out!M:M,results.txt!$M165)</f>
        <v>{</v>
      </c>
      <c r="Z165">
        <f>INDEX(script.out!N:N,results.txt!$M165)</f>
        <v>13.246881711428699</v>
      </c>
      <c r="AA165">
        <f>INDEX(script.out!O:O,results.txt!$M165)</f>
        <v>15</v>
      </c>
      <c r="AB165">
        <f>INDEX(script.out!P:P,results.txt!$M165)</f>
        <v>1852.92</v>
      </c>
      <c r="AC165" t="str">
        <f>INDEX(script.out!Q:Q,results.txt!$M165)</f>
        <v>}</v>
      </c>
      <c r="AD165">
        <f t="shared" si="2"/>
        <v>1</v>
      </c>
    </row>
    <row r="166" spans="1:30" x14ac:dyDescent="0.25">
      <c r="A166" s="12" t="s">
        <v>2</v>
      </c>
      <c r="B166" s="12">
        <v>-3</v>
      </c>
      <c r="C166" s="12">
        <v>0.151638</v>
      </c>
      <c r="D166" s="12">
        <v>-4.4285600000000001E-2</v>
      </c>
      <c r="E166" s="12">
        <v>0.17727499999999999</v>
      </c>
      <c r="F166" s="12">
        <v>-3</v>
      </c>
      <c r="G166" s="12">
        <v>0.44951799999999997</v>
      </c>
      <c r="H166" s="12">
        <v>144</v>
      </c>
      <c r="I166" s="12">
        <v>108.313</v>
      </c>
      <c r="J166" s="12" t="s">
        <v>3</v>
      </c>
      <c r="K166" s="12">
        <v>1</v>
      </c>
      <c r="M166">
        <f>MATCH(C166,script.out!B:B,0)</f>
        <v>825</v>
      </c>
      <c r="N166">
        <f>INDEX(script.out!B:B,results.txt!$M166)</f>
        <v>0.151638</v>
      </c>
      <c r="O166">
        <f>INDEX(script.out!C:C,results.txt!$M166)</f>
        <v>-4.4285600000000001E-2</v>
      </c>
      <c r="P166">
        <f>INDEX(script.out!D:D,results.txt!$M166)</f>
        <v>0.17727499999999999</v>
      </c>
      <c r="Q166">
        <f>INDEX(script.out!E:E,results.txt!$M166)</f>
        <v>0.449518242756483</v>
      </c>
      <c r="R166">
        <f>INDEX(script.out!F:F,results.txt!$M166)</f>
        <v>144</v>
      </c>
      <c r="S166">
        <f>INDEX(script.out!G:G,results.txt!$M166)</f>
        <v>108.313347465565</v>
      </c>
      <c r="T166" t="str">
        <f>INDEX(script.out!H:H,results.txt!$M166)</f>
        <v>{</v>
      </c>
      <c r="U166">
        <f>INDEX(script.out!I:I,results.txt!$M166)</f>
        <v>0.42131000000000002</v>
      </c>
      <c r="V166">
        <f>INDEX(script.out!J:J,results.txt!$M166)</f>
        <v>77.857200000000006</v>
      </c>
      <c r="W166">
        <f>INDEX(script.out!K:K,results.txt!$M166)</f>
        <v>114.59225000000001</v>
      </c>
      <c r="X166" t="str">
        <f>INDEX(script.out!L:L,results.txt!$M166)</f>
        <v>}</v>
      </c>
      <c r="Y166" t="str">
        <f>INDEX(script.out!M:M,results.txt!$M166)</f>
        <v>{</v>
      </c>
      <c r="Z166">
        <f>INDEX(script.out!N:N,results.txt!$M166)</f>
        <v>9.3295387835553107</v>
      </c>
      <c r="AA166">
        <f>INDEX(script.out!O:O,results.txt!$M166)</f>
        <v>20</v>
      </c>
      <c r="AB166">
        <f>INDEX(script.out!P:P,results.txt!$M166)</f>
        <v>3501.31</v>
      </c>
      <c r="AC166" t="str">
        <f>INDEX(script.out!Q:Q,results.txt!$M166)</f>
        <v>}</v>
      </c>
      <c r="AD166">
        <f t="shared" si="2"/>
        <v>1</v>
      </c>
    </row>
    <row r="167" spans="1:30" x14ac:dyDescent="0.25">
      <c r="A167" s="12" t="s">
        <v>2</v>
      </c>
      <c r="B167" s="12">
        <v>-3</v>
      </c>
      <c r="C167" s="12">
        <v>0.83881600000000001</v>
      </c>
      <c r="D167" s="12">
        <v>-5.9238900000000002E-3</v>
      </c>
      <c r="E167" s="12">
        <v>0.77028799999999997</v>
      </c>
      <c r="F167" s="12">
        <v>-3</v>
      </c>
      <c r="G167" s="12">
        <v>2.6502500000000002</v>
      </c>
      <c r="H167" s="12">
        <v>90.25</v>
      </c>
      <c r="I167" s="12">
        <v>272.70800000000003</v>
      </c>
      <c r="J167" s="12" t="s">
        <v>3</v>
      </c>
      <c r="K167" s="12">
        <v>0</v>
      </c>
      <c r="M167">
        <f>MATCH(C167,script.out!B:B,0)</f>
        <v>826</v>
      </c>
      <c r="N167">
        <f>INDEX(script.out!B:B,results.txt!$M167)</f>
        <v>0.83881600000000001</v>
      </c>
      <c r="O167">
        <f>INDEX(script.out!C:C,results.txt!$M167)</f>
        <v>-5.9238900000000002E-3</v>
      </c>
      <c r="P167">
        <f>INDEX(script.out!D:D,results.txt!$M167)</f>
        <v>0.77028799999999997</v>
      </c>
      <c r="Q167">
        <f>INDEX(script.out!E:E,results.txt!$M167)</f>
        <v>2.6502491736790201</v>
      </c>
      <c r="R167">
        <f>INDEX(script.out!F:F,results.txt!$M167)</f>
        <v>90.25</v>
      </c>
      <c r="S167">
        <f>INDEX(script.out!G:G,results.txt!$M167)</f>
        <v>272.70767163520298</v>
      </c>
      <c r="T167" t="str">
        <f>INDEX(script.out!H:H,results.txt!$M167)</f>
        <v>{</v>
      </c>
      <c r="U167">
        <f>INDEX(script.out!I:I,results.txt!$M167)</f>
        <v>0.97105200000000003</v>
      </c>
      <c r="V167">
        <f>INDEX(script.out!J:J,results.txt!$M167)</f>
        <v>97.038055</v>
      </c>
      <c r="W167">
        <f>INDEX(script.out!K:K,results.txt!$M167)</f>
        <v>464.46992</v>
      </c>
      <c r="X167" t="str">
        <f>INDEX(script.out!L:L,results.txt!$M167)</f>
        <v>}</v>
      </c>
      <c r="Y167" t="str">
        <f>INDEX(script.out!M:M,results.txt!$M167)</f>
        <v>{</v>
      </c>
      <c r="Z167">
        <f>INDEX(script.out!N:N,results.txt!$M167)</f>
        <v>11.6279585908981</v>
      </c>
      <c r="AA167">
        <f>INDEX(script.out!O:O,results.txt!$M167)</f>
        <v>17.5</v>
      </c>
      <c r="AB167">
        <f>INDEX(script.out!P:P,results.txt!$M167)</f>
        <v>1272.44</v>
      </c>
      <c r="AC167" t="str">
        <f>INDEX(script.out!Q:Q,results.txt!$M167)</f>
        <v>}</v>
      </c>
      <c r="AD167">
        <f t="shared" si="2"/>
        <v>1</v>
      </c>
    </row>
    <row r="168" spans="1:30" x14ac:dyDescent="0.25">
      <c r="A168" s="12" t="s">
        <v>2</v>
      </c>
      <c r="B168" s="12">
        <v>-3</v>
      </c>
      <c r="C168" s="12">
        <v>1.0315000000000001</v>
      </c>
      <c r="D168" s="12">
        <v>3.1614799999999998E-2</v>
      </c>
      <c r="E168" s="12">
        <v>0.65736399999999995</v>
      </c>
      <c r="F168" s="12">
        <v>-3</v>
      </c>
      <c r="G168" s="12">
        <v>15.031700000000001</v>
      </c>
      <c r="H168" s="12">
        <v>56.25</v>
      </c>
      <c r="I168" s="12">
        <v>221.39400000000001</v>
      </c>
      <c r="J168" s="12" t="s">
        <v>3</v>
      </c>
      <c r="K168" s="12">
        <v>1</v>
      </c>
      <c r="M168">
        <f>MATCH(C168,script.out!B:B,0)</f>
        <v>827</v>
      </c>
      <c r="N168">
        <f>INDEX(script.out!B:B,results.txt!$M168)</f>
        <v>1.0315000000000001</v>
      </c>
      <c r="O168">
        <f>INDEX(script.out!C:C,results.txt!$M168)</f>
        <v>3.1614799999999998E-2</v>
      </c>
      <c r="P168">
        <f>INDEX(script.out!D:D,results.txt!$M168)</f>
        <v>0.65736399999999995</v>
      </c>
      <c r="Q168">
        <f>INDEX(script.out!E:E,results.txt!$M168)</f>
        <v>15.031653391685399</v>
      </c>
      <c r="R168">
        <f>INDEX(script.out!F:F,results.txt!$M168)</f>
        <v>56.25</v>
      </c>
      <c r="S168">
        <f>INDEX(script.out!G:G,results.txt!$M168)</f>
        <v>221.39401690748701</v>
      </c>
      <c r="T168" t="str">
        <f>INDEX(script.out!H:H,results.txt!$M168)</f>
        <v>{</v>
      </c>
      <c r="U168">
        <f>INDEX(script.out!I:I,results.txt!$M168)</f>
        <v>1.1252</v>
      </c>
      <c r="V168">
        <f>INDEX(script.out!J:J,results.txt!$M168)</f>
        <v>115.8074</v>
      </c>
      <c r="W168">
        <f>INDEX(script.out!K:K,results.txt!$M168)</f>
        <v>397.84476000000001</v>
      </c>
      <c r="X168" t="str">
        <f>INDEX(script.out!L:L,results.txt!$M168)</f>
        <v>}</v>
      </c>
      <c r="Y168" t="str">
        <f>INDEX(script.out!M:M,results.txt!$M168)</f>
        <v>{</v>
      </c>
      <c r="Z168">
        <f>INDEX(script.out!N:N,results.txt!$M168)</f>
        <v>13.8770676279483</v>
      </c>
      <c r="AA168">
        <f>INDEX(script.out!O:O,results.txt!$M168)</f>
        <v>15.5</v>
      </c>
      <c r="AB168">
        <f>INDEX(script.out!P:P,results.txt!$M168)</f>
        <v>1869.05</v>
      </c>
      <c r="AC168" t="str">
        <f>INDEX(script.out!Q:Q,results.txt!$M168)</f>
        <v>}</v>
      </c>
      <c r="AD168">
        <f t="shared" si="2"/>
        <v>1</v>
      </c>
    </row>
    <row r="169" spans="1:30" x14ac:dyDescent="0.25">
      <c r="A169" s="12" t="s">
        <v>2</v>
      </c>
      <c r="B169" s="12">
        <v>-3</v>
      </c>
      <c r="C169" s="12">
        <v>0.92947199999999996</v>
      </c>
      <c r="D169" s="12">
        <v>0.35018199999999999</v>
      </c>
      <c r="E169" s="12">
        <v>0.57151799999999997</v>
      </c>
      <c r="F169" s="12">
        <v>-3</v>
      </c>
      <c r="G169" s="12">
        <v>527.33799999999997</v>
      </c>
      <c r="H169" s="12">
        <v>42.25</v>
      </c>
      <c r="I169" s="12">
        <v>17.616099999999999</v>
      </c>
      <c r="J169" s="12" t="s">
        <v>3</v>
      </c>
      <c r="K169" s="12">
        <v>1</v>
      </c>
      <c r="M169">
        <f>MATCH(C169,script.out!B:B,0)</f>
        <v>828</v>
      </c>
      <c r="N169">
        <f>INDEX(script.out!B:B,results.txt!$M169)</f>
        <v>0.92947199999999996</v>
      </c>
      <c r="O169">
        <f>INDEX(script.out!C:C,results.txt!$M169)</f>
        <v>0.35018199999999999</v>
      </c>
      <c r="P169">
        <f>INDEX(script.out!D:D,results.txt!$M169)</f>
        <v>0.57151799999999997</v>
      </c>
      <c r="Q169">
        <f>INDEX(script.out!E:E,results.txt!$M169)</f>
        <v>527.33787077590796</v>
      </c>
      <c r="R169">
        <f>INDEX(script.out!F:F,results.txt!$M169)</f>
        <v>42.25</v>
      </c>
      <c r="S169">
        <f>INDEX(script.out!G:G,results.txt!$M169)</f>
        <v>17.616073872021001</v>
      </c>
      <c r="T169" t="str">
        <f>INDEX(script.out!H:H,results.txt!$M169)</f>
        <v>{</v>
      </c>
      <c r="U169">
        <f>INDEX(script.out!I:I,results.txt!$M169)</f>
        <v>1.043577</v>
      </c>
      <c r="V169">
        <f>INDEX(script.out!J:J,results.txt!$M169)</f>
        <v>275.09100000000001</v>
      </c>
      <c r="W169">
        <f>INDEX(script.out!K:K,results.txt!$M169)</f>
        <v>347.19562000000002</v>
      </c>
      <c r="X169" t="str">
        <f>INDEX(script.out!L:L,results.txt!$M169)</f>
        <v>}</v>
      </c>
      <c r="Y169" t="str">
        <f>INDEX(script.out!M:M,results.txt!$M169)</f>
        <v>{</v>
      </c>
      <c r="Z169">
        <f>INDEX(script.out!N:N,results.txt!$M169)</f>
        <v>32.963838328465599</v>
      </c>
      <c r="AA169">
        <f>INDEX(script.out!O:O,results.txt!$M169)</f>
        <v>14.5</v>
      </c>
      <c r="AB169">
        <f>INDEX(script.out!P:P,results.txt!$M169)</f>
        <v>5768.04</v>
      </c>
      <c r="AC169" t="str">
        <f>INDEX(script.out!Q:Q,results.txt!$M169)</f>
        <v>}</v>
      </c>
      <c r="AD169">
        <f t="shared" si="2"/>
        <v>1</v>
      </c>
    </row>
    <row r="170" spans="1:30" x14ac:dyDescent="0.25">
      <c r="A170" s="12" t="s">
        <v>2</v>
      </c>
      <c r="B170" s="12">
        <v>-3</v>
      </c>
      <c r="C170" s="12">
        <v>1.0061100000000001</v>
      </c>
      <c r="D170" s="12">
        <v>4.43968E-2</v>
      </c>
      <c r="E170" s="12">
        <v>0.71172899999999995</v>
      </c>
      <c r="F170" s="12">
        <v>-3</v>
      </c>
      <c r="G170" s="12">
        <v>21.5565</v>
      </c>
      <c r="H170" s="12">
        <v>64</v>
      </c>
      <c r="I170" s="12">
        <v>250.958</v>
      </c>
      <c r="J170" s="12" t="s">
        <v>3</v>
      </c>
      <c r="K170" s="12">
        <v>1</v>
      </c>
      <c r="M170">
        <f>MATCH(C170,script.out!B:B,0)</f>
        <v>829</v>
      </c>
      <c r="N170">
        <f>INDEX(script.out!B:B,results.txt!$M170)</f>
        <v>1.0061100000000001</v>
      </c>
      <c r="O170">
        <f>INDEX(script.out!C:C,results.txt!$M170)</f>
        <v>4.43968E-2</v>
      </c>
      <c r="P170">
        <f>INDEX(script.out!D:D,results.txt!$M170)</f>
        <v>0.71172899999999995</v>
      </c>
      <c r="Q170">
        <f>INDEX(script.out!E:E,results.txt!$M170)</f>
        <v>21.556462948167201</v>
      </c>
      <c r="R170">
        <f>INDEX(script.out!F:F,results.txt!$M170)</f>
        <v>64</v>
      </c>
      <c r="S170">
        <f>INDEX(script.out!G:G,results.txt!$M170)</f>
        <v>250.95767941452399</v>
      </c>
      <c r="T170" t="str">
        <f>INDEX(script.out!H:H,results.txt!$M170)</f>
        <v>{</v>
      </c>
      <c r="U170">
        <f>INDEX(script.out!I:I,results.txt!$M170)</f>
        <v>1.1048800000000001</v>
      </c>
      <c r="V170">
        <f>INDEX(script.out!J:J,results.txt!$M170)</f>
        <v>122.19840000000001</v>
      </c>
      <c r="W170">
        <f>INDEX(script.out!K:K,results.txt!$M170)</f>
        <v>429.92011000000002</v>
      </c>
      <c r="X170" t="str">
        <f>INDEX(script.out!L:L,results.txt!$M170)</f>
        <v>}</v>
      </c>
      <c r="Y170" t="str">
        <f>INDEX(script.out!M:M,results.txt!$M170)</f>
        <v>{</v>
      </c>
      <c r="Z170">
        <f>INDEX(script.out!N:N,results.txt!$M170)</f>
        <v>14.6428938118556</v>
      </c>
      <c r="AA170">
        <f>INDEX(script.out!O:O,results.txt!$M170)</f>
        <v>16</v>
      </c>
      <c r="AB170">
        <f>INDEX(script.out!P:P,results.txt!$M170)</f>
        <v>1517.8</v>
      </c>
      <c r="AC170" t="str">
        <f>INDEX(script.out!Q:Q,results.txt!$M170)</f>
        <v>}</v>
      </c>
      <c r="AD170">
        <f t="shared" si="2"/>
        <v>1</v>
      </c>
    </row>
    <row r="171" spans="1:30" x14ac:dyDescent="0.25">
      <c r="A171" s="12" t="s">
        <v>2</v>
      </c>
      <c r="B171" s="12">
        <v>-3</v>
      </c>
      <c r="C171" s="12">
        <v>1.09138</v>
      </c>
      <c r="D171" s="12">
        <v>0.115005</v>
      </c>
      <c r="E171" s="12">
        <v>0.64251800000000003</v>
      </c>
      <c r="F171" s="12">
        <v>-3</v>
      </c>
      <c r="G171" s="12">
        <v>78.736199999999997</v>
      </c>
      <c r="H171" s="12">
        <v>36</v>
      </c>
      <c r="I171" s="12">
        <v>127.206</v>
      </c>
      <c r="J171" s="12" t="s">
        <v>3</v>
      </c>
      <c r="K171" s="12">
        <v>0</v>
      </c>
      <c r="M171">
        <f>MATCH(C171,script.out!B:B,0)</f>
        <v>830</v>
      </c>
      <c r="N171">
        <f>INDEX(script.out!B:B,results.txt!$M171)</f>
        <v>1.09138</v>
      </c>
      <c r="O171">
        <f>INDEX(script.out!C:C,results.txt!$M171)</f>
        <v>0.115005</v>
      </c>
      <c r="P171">
        <f>INDEX(script.out!D:D,results.txt!$M171)</f>
        <v>0.64251800000000003</v>
      </c>
      <c r="Q171">
        <f>INDEX(script.out!E:E,results.txt!$M171)</f>
        <v>78.736225486415293</v>
      </c>
      <c r="R171">
        <f>INDEX(script.out!F:F,results.txt!$M171)</f>
        <v>36</v>
      </c>
      <c r="S171">
        <f>INDEX(script.out!G:G,results.txt!$M171)</f>
        <v>127.205643752298</v>
      </c>
      <c r="T171" t="str">
        <f>INDEX(script.out!H:H,results.txt!$M171)</f>
        <v>{</v>
      </c>
      <c r="U171">
        <f>INDEX(script.out!I:I,results.txt!$M171)</f>
        <v>1.1731</v>
      </c>
      <c r="V171">
        <f>INDEX(script.out!J:J,results.txt!$M171)</f>
        <v>157.5025</v>
      </c>
      <c r="W171">
        <f>INDEX(script.out!K:K,results.txt!$M171)</f>
        <v>389.08562000000001</v>
      </c>
      <c r="X171" t="str">
        <f>INDEX(script.out!L:L,results.txt!$M171)</f>
        <v>}</v>
      </c>
      <c r="Y171" t="str">
        <f>INDEX(script.out!M:M,results.txt!$M171)</f>
        <v>{</v>
      </c>
      <c r="Z171">
        <f>INDEX(script.out!N:N,results.txt!$M171)</f>
        <v>18.873343534790799</v>
      </c>
      <c r="AA171">
        <f>INDEX(script.out!O:O,results.txt!$M171)</f>
        <v>14</v>
      </c>
      <c r="AB171">
        <f>INDEX(script.out!P:P,results.txt!$M171)</f>
        <v>3183.33</v>
      </c>
      <c r="AC171" t="str">
        <f>INDEX(script.out!Q:Q,results.txt!$M171)</f>
        <v>}</v>
      </c>
      <c r="AD171">
        <f t="shared" si="2"/>
        <v>1</v>
      </c>
    </row>
    <row r="172" spans="1:30" x14ac:dyDescent="0.25">
      <c r="A172" s="12" t="s">
        <v>2</v>
      </c>
      <c r="B172" s="12">
        <v>-3</v>
      </c>
      <c r="C172" s="12">
        <v>1.0795399999999999</v>
      </c>
      <c r="D172" s="12">
        <v>7.5115100000000004E-2</v>
      </c>
      <c r="E172" s="12">
        <v>0.60932600000000003</v>
      </c>
      <c r="F172" s="12">
        <v>-3</v>
      </c>
      <c r="G172" s="12">
        <v>42.033999999999999</v>
      </c>
      <c r="H172" s="12">
        <v>49</v>
      </c>
      <c r="I172" s="12">
        <v>182.18299999999999</v>
      </c>
      <c r="J172" s="12" t="s">
        <v>3</v>
      </c>
      <c r="K172" s="12">
        <v>0</v>
      </c>
      <c r="M172">
        <f>MATCH(C172,script.out!B:B,0)</f>
        <v>831</v>
      </c>
      <c r="N172">
        <f>INDEX(script.out!B:B,results.txt!$M172)</f>
        <v>1.0795399999999999</v>
      </c>
      <c r="O172">
        <f>INDEX(script.out!C:C,results.txt!$M172)</f>
        <v>7.5115100000000004E-2</v>
      </c>
      <c r="P172">
        <f>INDEX(script.out!D:D,results.txt!$M172)</f>
        <v>0.60932600000000003</v>
      </c>
      <c r="Q172">
        <f>INDEX(script.out!E:E,results.txt!$M172)</f>
        <v>42.033997110845398</v>
      </c>
      <c r="R172">
        <f>INDEX(script.out!F:F,results.txt!$M172)</f>
        <v>49</v>
      </c>
      <c r="S172">
        <f>INDEX(script.out!G:G,results.txt!$M172)</f>
        <v>182.183430737474</v>
      </c>
      <c r="T172" t="str">
        <f>INDEX(script.out!H:H,results.txt!$M172)</f>
        <v>{</v>
      </c>
      <c r="U172">
        <f>INDEX(script.out!I:I,results.txt!$M172)</f>
        <v>1.1636299999999999</v>
      </c>
      <c r="V172">
        <f>INDEX(script.out!J:J,results.txt!$M172)</f>
        <v>137.55754999999999</v>
      </c>
      <c r="W172">
        <f>INDEX(script.out!K:K,results.txt!$M172)</f>
        <v>369.50234</v>
      </c>
      <c r="X172" t="str">
        <f>INDEX(script.out!L:L,results.txt!$M172)</f>
        <v>}</v>
      </c>
      <c r="Y172" t="str">
        <f>INDEX(script.out!M:M,results.txt!$M172)</f>
        <v>{</v>
      </c>
      <c r="Z172">
        <f>INDEX(script.out!N:N,results.txt!$M172)</f>
        <v>16.483363101881999</v>
      </c>
      <c r="AA172">
        <f>INDEX(script.out!O:O,results.txt!$M172)</f>
        <v>15</v>
      </c>
      <c r="AB172">
        <f>INDEX(script.out!P:P,results.txt!$M172)</f>
        <v>2373.4</v>
      </c>
      <c r="AC172" t="str">
        <f>INDEX(script.out!Q:Q,results.txt!$M172)</f>
        <v>}</v>
      </c>
      <c r="AD172">
        <f t="shared" si="2"/>
        <v>1</v>
      </c>
    </row>
    <row r="173" spans="1:30" x14ac:dyDescent="0.25">
      <c r="A173" s="12" t="s">
        <v>2</v>
      </c>
      <c r="B173" s="12">
        <v>-3</v>
      </c>
      <c r="C173" s="12">
        <v>1.1074999999999999</v>
      </c>
      <c r="D173" s="12">
        <v>-3.1961999999999997E-2</v>
      </c>
      <c r="E173" s="12">
        <v>0.65575499999999998</v>
      </c>
      <c r="F173" s="12">
        <v>-3</v>
      </c>
      <c r="G173" s="12">
        <v>4.6104400000000004E-3</v>
      </c>
      <c r="H173" s="12">
        <v>72.25</v>
      </c>
      <c r="I173" s="12">
        <v>297.07400000000001</v>
      </c>
      <c r="J173" s="12" t="s">
        <v>3</v>
      </c>
      <c r="K173" s="12">
        <v>0</v>
      </c>
      <c r="M173">
        <f>MATCH(C173,script.out!B:B,0)</f>
        <v>832</v>
      </c>
      <c r="N173">
        <f>INDEX(script.out!B:B,results.txt!$M173)</f>
        <v>1.1074999999999999</v>
      </c>
      <c r="O173">
        <f>INDEX(script.out!C:C,results.txt!$M173)</f>
        <v>-3.1961999999999997E-2</v>
      </c>
      <c r="P173">
        <f>INDEX(script.out!D:D,results.txt!$M173)</f>
        <v>0.65575499999999998</v>
      </c>
      <c r="Q173">
        <f>INDEX(script.out!E:E,results.txt!$M173)</f>
        <v>4.6104364694916503E-3</v>
      </c>
      <c r="R173">
        <f>INDEX(script.out!F:F,results.txt!$M173)</f>
        <v>72.25</v>
      </c>
      <c r="S173">
        <f>INDEX(script.out!G:G,results.txt!$M173)</f>
        <v>297.07402939688399</v>
      </c>
      <c r="T173" t="str">
        <f>INDEX(script.out!H:H,results.txt!$M173)</f>
        <v>{</v>
      </c>
      <c r="U173">
        <f>INDEX(script.out!I:I,results.txt!$M173)</f>
        <v>1.1859999999999999</v>
      </c>
      <c r="V173">
        <f>INDEX(script.out!J:J,results.txt!$M173)</f>
        <v>84.019000000000005</v>
      </c>
      <c r="W173">
        <f>INDEX(script.out!K:K,results.txt!$M173)</f>
        <v>396.89544999999998</v>
      </c>
      <c r="X173" t="str">
        <f>INDEX(script.out!L:L,results.txt!$M173)</f>
        <v>}</v>
      </c>
      <c r="Y173" t="str">
        <f>INDEX(script.out!M:M,results.txt!$M173)</f>
        <v>{</v>
      </c>
      <c r="Z173">
        <f>INDEX(script.out!N:N,results.txt!$M173)</f>
        <v>10.0679001949149</v>
      </c>
      <c r="AA173">
        <f>INDEX(script.out!O:O,results.txt!$M173)</f>
        <v>16.5</v>
      </c>
      <c r="AB173">
        <f>INDEX(script.out!P:P,results.txt!$M173)</f>
        <v>1008.92</v>
      </c>
      <c r="AC173" t="str">
        <f>INDEX(script.out!Q:Q,results.txt!$M173)</f>
        <v>}</v>
      </c>
      <c r="AD173">
        <f t="shared" si="2"/>
        <v>1</v>
      </c>
    </row>
    <row r="174" spans="1:30" x14ac:dyDescent="0.25">
      <c r="A174" s="12" t="s">
        <v>2</v>
      </c>
      <c r="B174" s="12">
        <v>-3</v>
      </c>
      <c r="C174" s="12">
        <v>1.01932</v>
      </c>
      <c r="D174" s="12">
        <v>3.0558999999999999E-2</v>
      </c>
      <c r="E174" s="12">
        <v>0.68157299999999998</v>
      </c>
      <c r="F174" s="12">
        <v>-3</v>
      </c>
      <c r="G174" s="12">
        <v>14.5451</v>
      </c>
      <c r="H174" s="12">
        <v>56.25</v>
      </c>
      <c r="I174" s="12">
        <v>226.23</v>
      </c>
      <c r="J174" s="12" t="s">
        <v>3</v>
      </c>
      <c r="K174" s="12">
        <v>1</v>
      </c>
      <c r="M174">
        <f>MATCH(C174,script.out!B:B,0)</f>
        <v>833</v>
      </c>
      <c r="N174">
        <f>INDEX(script.out!B:B,results.txt!$M174)</f>
        <v>1.01932</v>
      </c>
      <c r="O174">
        <f>INDEX(script.out!C:C,results.txt!$M174)</f>
        <v>3.0558999999999999E-2</v>
      </c>
      <c r="P174">
        <f>INDEX(script.out!D:D,results.txt!$M174)</f>
        <v>0.68157299999999998</v>
      </c>
      <c r="Q174">
        <f>INDEX(script.out!E:E,results.txt!$M174)</f>
        <v>14.5451465463058</v>
      </c>
      <c r="R174">
        <f>INDEX(script.out!F:F,results.txt!$M174)</f>
        <v>56.25</v>
      </c>
      <c r="S174">
        <f>INDEX(script.out!G:G,results.txt!$M174)</f>
        <v>226.22962059373199</v>
      </c>
      <c r="T174" t="str">
        <f>INDEX(script.out!H:H,results.txt!$M174)</f>
        <v>{</v>
      </c>
      <c r="U174">
        <f>INDEX(script.out!I:I,results.txt!$M174)</f>
        <v>1.1154500000000001</v>
      </c>
      <c r="V174">
        <f>INDEX(script.out!J:J,results.txt!$M174)</f>
        <v>115.2795</v>
      </c>
      <c r="W174">
        <f>INDEX(script.out!K:K,results.txt!$M174)</f>
        <v>412.12806999999998</v>
      </c>
      <c r="X174" t="str">
        <f>INDEX(script.out!L:L,results.txt!$M174)</f>
        <v>}</v>
      </c>
      <c r="Y174" t="str">
        <f>INDEX(script.out!M:M,results.txt!$M174)</f>
        <v>{</v>
      </c>
      <c r="Z174">
        <f>INDEX(script.out!N:N,results.txt!$M174)</f>
        <v>13.813809977739499</v>
      </c>
      <c r="AA174">
        <f>INDEX(script.out!O:O,results.txt!$M174)</f>
        <v>15.5</v>
      </c>
      <c r="AB174">
        <f>INDEX(script.out!P:P,results.txt!$M174)</f>
        <v>1810.06</v>
      </c>
      <c r="AC174" t="str">
        <f>INDEX(script.out!Q:Q,results.txt!$M174)</f>
        <v>}</v>
      </c>
      <c r="AD174">
        <f t="shared" si="2"/>
        <v>1</v>
      </c>
    </row>
    <row r="175" spans="1:30" x14ac:dyDescent="0.25">
      <c r="A175" s="12" t="s">
        <v>2</v>
      </c>
      <c r="B175" s="12">
        <v>-3</v>
      </c>
      <c r="C175" s="12">
        <v>1.09884</v>
      </c>
      <c r="D175" s="12">
        <v>0.331287</v>
      </c>
      <c r="E175" s="12">
        <v>0.63414899999999996</v>
      </c>
      <c r="F175" s="12">
        <v>-3</v>
      </c>
      <c r="G175" s="12">
        <v>476.62599999999998</v>
      </c>
      <c r="H175" s="12">
        <v>30.25</v>
      </c>
      <c r="I175" s="12">
        <v>40.168900000000001</v>
      </c>
      <c r="J175" s="12" t="s">
        <v>3</v>
      </c>
      <c r="K175" s="12">
        <v>1</v>
      </c>
      <c r="M175">
        <f>MATCH(C175,script.out!B:B,0)</f>
        <v>834</v>
      </c>
      <c r="N175">
        <f>INDEX(script.out!B:B,results.txt!$M175)</f>
        <v>1.09884</v>
      </c>
      <c r="O175">
        <f>INDEX(script.out!C:C,results.txt!$M175)</f>
        <v>0.331287</v>
      </c>
      <c r="P175">
        <f>INDEX(script.out!D:D,results.txt!$M175)</f>
        <v>0.63414899999999996</v>
      </c>
      <c r="Q175">
        <f>INDEX(script.out!E:E,results.txt!$M175)</f>
        <v>476.62553785620003</v>
      </c>
      <c r="R175">
        <f>INDEX(script.out!F:F,results.txt!$M175)</f>
        <v>30.25</v>
      </c>
      <c r="S175">
        <f>INDEX(script.out!G:G,results.txt!$M175)</f>
        <v>40.168854861324803</v>
      </c>
      <c r="T175" t="str">
        <f>INDEX(script.out!H:H,results.txt!$M175)</f>
        <v>{</v>
      </c>
      <c r="U175">
        <f>INDEX(script.out!I:I,results.txt!$M175)</f>
        <v>1.1790700000000001</v>
      </c>
      <c r="V175">
        <f>INDEX(script.out!J:J,results.txt!$M175)</f>
        <v>265.64350000000002</v>
      </c>
      <c r="W175">
        <f>INDEX(script.out!K:K,results.txt!$M175)</f>
        <v>384.14791000000002</v>
      </c>
      <c r="X175" t="str">
        <f>INDEX(script.out!L:L,results.txt!$M175)</f>
        <v>}</v>
      </c>
      <c r="Y175" t="str">
        <f>INDEX(script.out!M:M,results.txt!$M175)</f>
        <v>{</v>
      </c>
      <c r="Z175">
        <f>INDEX(script.out!N:N,results.txt!$M175)</f>
        <v>31.8317552628321</v>
      </c>
      <c r="AA175">
        <f>INDEX(script.out!O:O,results.txt!$M175)</f>
        <v>13.5</v>
      </c>
      <c r="AB175">
        <f>INDEX(script.out!P:P,results.txt!$M175)</f>
        <v>4986.67</v>
      </c>
      <c r="AC175" t="str">
        <f>INDEX(script.out!Q:Q,results.txt!$M175)</f>
        <v>}</v>
      </c>
      <c r="AD175">
        <f t="shared" si="2"/>
        <v>1</v>
      </c>
    </row>
    <row r="176" spans="1:30" x14ac:dyDescent="0.25">
      <c r="A176" s="12" t="s">
        <v>2</v>
      </c>
      <c r="B176" s="12">
        <v>-3</v>
      </c>
      <c r="C176" s="12">
        <v>0.95319100000000001</v>
      </c>
      <c r="D176" s="12">
        <v>0.15955900000000001</v>
      </c>
      <c r="E176" s="12">
        <v>0.57937099999999997</v>
      </c>
      <c r="F176" s="12">
        <v>-3</v>
      </c>
      <c r="G176" s="12">
        <v>133.23599999999999</v>
      </c>
      <c r="H176" s="12">
        <v>42.25</v>
      </c>
      <c r="I176" s="12">
        <v>82.2346</v>
      </c>
      <c r="J176" s="12" t="s">
        <v>3</v>
      </c>
      <c r="K176" s="12">
        <v>0</v>
      </c>
      <c r="M176">
        <f>MATCH(C176,script.out!B:B,0)</f>
        <v>835</v>
      </c>
      <c r="N176">
        <f>INDEX(script.out!B:B,results.txt!$M176)</f>
        <v>0.95319100000000001</v>
      </c>
      <c r="O176">
        <f>INDEX(script.out!C:C,results.txt!$M176)</f>
        <v>0.15955900000000001</v>
      </c>
      <c r="P176">
        <f>INDEX(script.out!D:D,results.txt!$M176)</f>
        <v>0.57937099999999997</v>
      </c>
      <c r="Q176">
        <f>INDEX(script.out!E:E,results.txt!$M176)</f>
        <v>133.23555863336401</v>
      </c>
      <c r="R176">
        <f>INDEX(script.out!F:F,results.txt!$M176)</f>
        <v>42.25</v>
      </c>
      <c r="S176">
        <f>INDEX(script.out!G:G,results.txt!$M176)</f>
        <v>82.234586628635697</v>
      </c>
      <c r="T176" t="str">
        <f>INDEX(script.out!H:H,results.txt!$M176)</f>
        <v>{</v>
      </c>
      <c r="U176">
        <f>INDEX(script.out!I:I,results.txt!$M176)</f>
        <v>1.0625519999999999</v>
      </c>
      <c r="V176">
        <f>INDEX(script.out!J:J,results.txt!$M176)</f>
        <v>179.77950000000001</v>
      </c>
      <c r="W176">
        <f>INDEX(script.out!K:K,results.txt!$M176)</f>
        <v>351.82889</v>
      </c>
      <c r="X176" t="str">
        <f>INDEX(script.out!L:L,results.txt!$M176)</f>
        <v>}</v>
      </c>
      <c r="Y176" t="str">
        <f>INDEX(script.out!M:M,results.txt!$M176)</f>
        <v>{</v>
      </c>
      <c r="Z176">
        <f>INDEX(script.out!N:N,results.txt!$M176)</f>
        <v>21.542770838640202</v>
      </c>
      <c r="AA176">
        <f>INDEX(script.out!O:O,results.txt!$M176)</f>
        <v>14.5</v>
      </c>
      <c r="AB176">
        <f>INDEX(script.out!P:P,results.txt!$M176)</f>
        <v>3990.06</v>
      </c>
      <c r="AC176" t="str">
        <f>INDEX(script.out!Q:Q,results.txt!$M176)</f>
        <v>}</v>
      </c>
      <c r="AD176">
        <f t="shared" si="2"/>
        <v>1</v>
      </c>
    </row>
    <row r="177" spans="1:30" x14ac:dyDescent="0.25">
      <c r="A177" s="12" t="s">
        <v>2</v>
      </c>
      <c r="B177" s="12">
        <v>-3</v>
      </c>
      <c r="C177" s="12">
        <v>1.0025900000000001</v>
      </c>
      <c r="D177" s="12">
        <v>2.4707400000000001E-2</v>
      </c>
      <c r="E177" s="12">
        <v>0.59832700000000005</v>
      </c>
      <c r="F177" s="12">
        <v>-3</v>
      </c>
      <c r="G177" s="12">
        <v>11.9939</v>
      </c>
      <c r="H177" s="12">
        <v>64</v>
      </c>
      <c r="I177" s="12">
        <v>240</v>
      </c>
      <c r="J177" s="12" t="s">
        <v>3</v>
      </c>
      <c r="K177" s="12">
        <v>1</v>
      </c>
      <c r="M177">
        <f>MATCH(C177,script.out!B:B,0)</f>
        <v>836</v>
      </c>
      <c r="N177">
        <f>INDEX(script.out!B:B,results.txt!$M177)</f>
        <v>1.0025900000000001</v>
      </c>
      <c r="O177">
        <f>INDEX(script.out!C:C,results.txt!$M177)</f>
        <v>2.4707400000000001E-2</v>
      </c>
      <c r="P177">
        <f>INDEX(script.out!D:D,results.txt!$M177)</f>
        <v>0.59832700000000005</v>
      </c>
      <c r="Q177">
        <f>INDEX(script.out!E:E,results.txt!$M177)</f>
        <v>11.9938562437932</v>
      </c>
      <c r="R177">
        <f>INDEX(script.out!F:F,results.txt!$M177)</f>
        <v>64</v>
      </c>
      <c r="S177">
        <f>INDEX(script.out!G:G,results.txt!$M177)</f>
        <v>240.00036624957701</v>
      </c>
      <c r="T177" t="str">
        <f>INDEX(script.out!H:H,results.txt!$M177)</f>
        <v>{</v>
      </c>
      <c r="U177">
        <f>INDEX(script.out!I:I,results.txt!$M177)</f>
        <v>1.1020700000000001</v>
      </c>
      <c r="V177">
        <f>INDEX(script.out!J:J,results.txt!$M177)</f>
        <v>112.3537</v>
      </c>
      <c r="W177">
        <f>INDEX(script.out!K:K,results.txt!$M177)</f>
        <v>363.01292999999998</v>
      </c>
      <c r="X177" t="str">
        <f>INDEX(script.out!L:L,results.txt!$M177)</f>
        <v>}</v>
      </c>
      <c r="Y177" t="str">
        <f>INDEX(script.out!M:M,results.txt!$M177)</f>
        <v>{</v>
      </c>
      <c r="Z177">
        <f>INDEX(script.out!N:N,results.txt!$M177)</f>
        <v>13.463214726781001</v>
      </c>
      <c r="AA177">
        <f>INDEX(script.out!O:O,results.txt!$M177)</f>
        <v>16</v>
      </c>
      <c r="AB177">
        <f>INDEX(script.out!P:P,results.txt!$M177)</f>
        <v>1645.44</v>
      </c>
      <c r="AC177" t="str">
        <f>INDEX(script.out!Q:Q,results.txt!$M177)</f>
        <v>}</v>
      </c>
      <c r="AD177">
        <f t="shared" si="2"/>
        <v>1</v>
      </c>
    </row>
    <row r="178" spans="1:30" x14ac:dyDescent="0.25">
      <c r="A178" s="12" t="s">
        <v>2</v>
      </c>
      <c r="B178" s="12">
        <v>-3</v>
      </c>
      <c r="C178" s="12">
        <v>0.47161599999999998</v>
      </c>
      <c r="D178" s="12">
        <v>5.0037499999999999E-2</v>
      </c>
      <c r="E178" s="12">
        <v>0.26993299999999998</v>
      </c>
      <c r="F178" s="12">
        <v>-3</v>
      </c>
      <c r="G178" s="12">
        <v>24.808900000000001</v>
      </c>
      <c r="H178" s="12">
        <v>100</v>
      </c>
      <c r="I178" s="12">
        <v>18.459900000000001</v>
      </c>
      <c r="J178" s="12" t="s">
        <v>3</v>
      </c>
      <c r="K178" s="12">
        <v>1</v>
      </c>
      <c r="M178">
        <f>MATCH(C178,script.out!B:B,0)</f>
        <v>837</v>
      </c>
      <c r="N178">
        <f>INDEX(script.out!B:B,results.txt!$M178)</f>
        <v>0.47161599999999998</v>
      </c>
      <c r="O178">
        <f>INDEX(script.out!C:C,results.txt!$M178)</f>
        <v>5.0037499999999999E-2</v>
      </c>
      <c r="P178">
        <f>INDEX(script.out!D:D,results.txt!$M178)</f>
        <v>0.26993299999999998</v>
      </c>
      <c r="Q178">
        <f>INDEX(script.out!E:E,results.txt!$M178)</f>
        <v>24.808897708606001</v>
      </c>
      <c r="R178">
        <f>INDEX(script.out!F:F,results.txt!$M178)</f>
        <v>100</v>
      </c>
      <c r="S178">
        <f>INDEX(script.out!G:G,results.txt!$M178)</f>
        <v>18.459853393882501</v>
      </c>
      <c r="T178" t="str">
        <f>INDEX(script.out!H:H,results.txt!$M178)</f>
        <v>{</v>
      </c>
      <c r="U178">
        <f>INDEX(script.out!I:I,results.txt!$M178)</f>
        <v>0.67729200000000001</v>
      </c>
      <c r="V178">
        <f>INDEX(script.out!J:J,results.txt!$M178)</f>
        <v>125.01875</v>
      </c>
      <c r="W178">
        <f>INDEX(script.out!K:K,results.txt!$M178)</f>
        <v>169.26047</v>
      </c>
      <c r="X178" t="str">
        <f>INDEX(script.out!L:L,results.txt!$M178)</f>
        <v>}</v>
      </c>
      <c r="Y178" t="str">
        <f>INDEX(script.out!M:M,results.txt!$M178)</f>
        <v>{</v>
      </c>
      <c r="Z178">
        <f>INDEX(script.out!N:N,results.txt!$M178)</f>
        <v>14.980853110522901</v>
      </c>
      <c r="AA178">
        <f>INDEX(script.out!O:O,results.txt!$M178)</f>
        <v>18</v>
      </c>
      <c r="AB178">
        <f>INDEX(script.out!P:P,results.txt!$M178)</f>
        <v>5731.78</v>
      </c>
      <c r="AC178" t="str">
        <f>INDEX(script.out!Q:Q,results.txt!$M178)</f>
        <v>}</v>
      </c>
      <c r="AD178">
        <f t="shared" si="2"/>
        <v>1</v>
      </c>
    </row>
    <row r="179" spans="1:30" x14ac:dyDescent="0.25">
      <c r="A179" s="12" t="s">
        <v>2</v>
      </c>
      <c r="B179" s="12">
        <v>-3</v>
      </c>
      <c r="C179" s="12">
        <v>0.4637</v>
      </c>
      <c r="D179" s="12">
        <v>-1.22411E-3</v>
      </c>
      <c r="E179" s="12">
        <v>0.17060600000000001</v>
      </c>
      <c r="F179" s="12">
        <v>-3</v>
      </c>
      <c r="G179" s="12">
        <v>3.64636</v>
      </c>
      <c r="H179" s="12">
        <v>132.25</v>
      </c>
      <c r="I179" s="12">
        <v>18.5364</v>
      </c>
      <c r="J179" s="12" t="s">
        <v>3</v>
      </c>
      <c r="K179" s="12">
        <v>1</v>
      </c>
      <c r="M179">
        <f>MATCH(C179,script.out!B:B,0)</f>
        <v>838</v>
      </c>
      <c r="N179">
        <f>INDEX(script.out!B:B,results.txt!$M179)</f>
        <v>0.4637</v>
      </c>
      <c r="O179">
        <f>INDEX(script.out!C:C,results.txt!$M179)</f>
        <v>-1.22411E-3</v>
      </c>
      <c r="P179">
        <f>INDEX(script.out!D:D,results.txt!$M179)</f>
        <v>0.17060600000000001</v>
      </c>
      <c r="Q179">
        <f>INDEX(script.out!E:E,results.txt!$M179)</f>
        <v>3.6463552652528999</v>
      </c>
      <c r="R179">
        <f>INDEX(script.out!F:F,results.txt!$M179)</f>
        <v>132.25</v>
      </c>
      <c r="S179">
        <f>INDEX(script.out!G:G,results.txt!$M179)</f>
        <v>18.536445568774599</v>
      </c>
      <c r="T179" t="str">
        <f>INDEX(script.out!H:H,results.txt!$M179)</f>
        <v>{</v>
      </c>
      <c r="U179">
        <f>INDEX(script.out!I:I,results.txt!$M179)</f>
        <v>0.67090000000000005</v>
      </c>
      <c r="V179">
        <f>INDEX(script.out!J:J,results.txt!$M179)</f>
        <v>99.387945000000002</v>
      </c>
      <c r="W179">
        <f>INDEX(script.out!K:K,results.txt!$M179)</f>
        <v>110.65754</v>
      </c>
      <c r="X179" t="str">
        <f>INDEX(script.out!L:L,results.txt!$M179)</f>
        <v>}</v>
      </c>
      <c r="Y179" t="str">
        <f>INDEX(script.out!M:M,results.txt!$M179)</f>
        <v>{</v>
      </c>
      <c r="Z179">
        <f>INDEX(script.out!N:N,results.txt!$M179)</f>
        <v>11.909543208532501</v>
      </c>
      <c r="AA179">
        <f>INDEX(script.out!O:O,results.txt!$M179)</f>
        <v>19.5</v>
      </c>
      <c r="AB179">
        <f>INDEX(script.out!P:P,results.txt!$M179)</f>
        <v>5728.53</v>
      </c>
      <c r="AC179" t="str">
        <f>INDEX(script.out!Q:Q,results.txt!$M179)</f>
        <v>}</v>
      </c>
      <c r="AD179">
        <f t="shared" si="2"/>
        <v>1</v>
      </c>
    </row>
    <row r="180" spans="1:30" x14ac:dyDescent="0.25">
      <c r="A180" s="12" t="s">
        <v>2</v>
      </c>
      <c r="B180" s="12">
        <v>-3</v>
      </c>
      <c r="C180" s="12">
        <v>0.93318000000000001</v>
      </c>
      <c r="D180" s="12">
        <v>-4.4275900000000003E-3</v>
      </c>
      <c r="E180" s="12">
        <v>0.73934800000000001</v>
      </c>
      <c r="F180" s="12">
        <v>-3</v>
      </c>
      <c r="G180" s="12">
        <v>2.95018</v>
      </c>
      <c r="H180" s="12">
        <v>72.25</v>
      </c>
      <c r="I180" s="12">
        <v>272.45299999999997</v>
      </c>
      <c r="J180" s="12" t="s">
        <v>3</v>
      </c>
      <c r="K180" s="12">
        <v>0</v>
      </c>
      <c r="M180">
        <f>MATCH(C180,script.out!B:B,0)</f>
        <v>839</v>
      </c>
      <c r="N180">
        <f>INDEX(script.out!B:B,results.txt!$M180)</f>
        <v>0.93318000000000001</v>
      </c>
      <c r="O180">
        <f>INDEX(script.out!C:C,results.txt!$M180)</f>
        <v>-4.4275900000000003E-3</v>
      </c>
      <c r="P180">
        <f>INDEX(script.out!D:D,results.txt!$M180)</f>
        <v>0.73934800000000001</v>
      </c>
      <c r="Q180">
        <f>INDEX(script.out!E:E,results.txt!$M180)</f>
        <v>2.9501791153755601</v>
      </c>
      <c r="R180">
        <f>INDEX(script.out!F:F,results.txt!$M180)</f>
        <v>72.25</v>
      </c>
      <c r="S180">
        <f>INDEX(script.out!G:G,results.txt!$M180)</f>
        <v>272.45346265715801</v>
      </c>
      <c r="T180" t="str">
        <f>INDEX(script.out!H:H,results.txt!$M180)</f>
        <v>{</v>
      </c>
      <c r="U180">
        <f>INDEX(script.out!I:I,results.txt!$M180)</f>
        <v>1.04654</v>
      </c>
      <c r="V180">
        <f>INDEX(script.out!J:J,results.txt!$M180)</f>
        <v>97.786204999999995</v>
      </c>
      <c r="W180">
        <f>INDEX(script.out!K:K,results.txt!$M180)</f>
        <v>446.21532000000002</v>
      </c>
      <c r="X180" t="str">
        <f>INDEX(script.out!L:L,results.txt!$M180)</f>
        <v>}</v>
      </c>
      <c r="Y180" t="str">
        <f>INDEX(script.out!M:M,results.txt!$M180)</f>
        <v>{</v>
      </c>
      <c r="Z180">
        <f>INDEX(script.out!N:N,results.txt!$M180)</f>
        <v>11.717608545441999</v>
      </c>
      <c r="AA180">
        <f>INDEX(script.out!O:O,results.txt!$M180)</f>
        <v>16.5</v>
      </c>
      <c r="AB180">
        <f>INDEX(script.out!P:P,results.txt!$M180)</f>
        <v>1275.25</v>
      </c>
      <c r="AC180" t="str">
        <f>INDEX(script.out!Q:Q,results.txt!$M180)</f>
        <v>}</v>
      </c>
      <c r="AD180">
        <f t="shared" si="2"/>
        <v>1</v>
      </c>
    </row>
    <row r="181" spans="1:30" x14ac:dyDescent="0.25">
      <c r="A181" s="12" t="s">
        <v>2</v>
      </c>
      <c r="B181" s="12">
        <v>-3</v>
      </c>
      <c r="C181" s="12">
        <v>0.92651899999999998</v>
      </c>
      <c r="D181" s="12">
        <v>0.18260799999999999</v>
      </c>
      <c r="E181" s="12">
        <v>0.46091500000000002</v>
      </c>
      <c r="F181" s="12">
        <v>-3</v>
      </c>
      <c r="G181" s="12">
        <v>167.023</v>
      </c>
      <c r="H181" s="12">
        <v>42.25</v>
      </c>
      <c r="I181" s="12">
        <v>37.108499999999999</v>
      </c>
      <c r="J181" s="12" t="s">
        <v>3</v>
      </c>
      <c r="K181" s="12">
        <v>1</v>
      </c>
      <c r="M181">
        <f>MATCH(C181,script.out!B:B,0)</f>
        <v>840</v>
      </c>
      <c r="N181">
        <f>INDEX(script.out!B:B,results.txt!$M181)</f>
        <v>0.92651899999999998</v>
      </c>
      <c r="O181">
        <f>INDEX(script.out!C:C,results.txt!$M181)</f>
        <v>0.18260799999999999</v>
      </c>
      <c r="P181">
        <f>INDEX(script.out!D:D,results.txt!$M181)</f>
        <v>0.46091500000000002</v>
      </c>
      <c r="Q181">
        <f>INDEX(script.out!E:E,results.txt!$M181)</f>
        <v>167.02301492640899</v>
      </c>
      <c r="R181">
        <f>INDEX(script.out!F:F,results.txt!$M181)</f>
        <v>42.25</v>
      </c>
      <c r="S181">
        <f>INDEX(script.out!G:G,results.txt!$M181)</f>
        <v>37.108458409457597</v>
      </c>
      <c r="T181" t="str">
        <f>INDEX(script.out!H:H,results.txt!$M181)</f>
        <v>{</v>
      </c>
      <c r="U181">
        <f>INDEX(script.out!I:I,results.txt!$M181)</f>
        <v>1.041215</v>
      </c>
      <c r="V181">
        <f>INDEX(script.out!J:J,results.txt!$M181)</f>
        <v>191.304</v>
      </c>
      <c r="W181">
        <f>INDEX(script.out!K:K,results.txt!$M181)</f>
        <v>281.93984999999998</v>
      </c>
      <c r="X181" t="str">
        <f>INDEX(script.out!L:L,results.txt!$M181)</f>
        <v>}</v>
      </c>
      <c r="Y181" t="str">
        <f>INDEX(script.out!M:M,results.txt!$M181)</f>
        <v>{</v>
      </c>
      <c r="Z181">
        <f>INDEX(script.out!N:N,results.txt!$M181)</f>
        <v>22.923738426879801</v>
      </c>
      <c r="AA181">
        <f>INDEX(script.out!O:O,results.txt!$M181)</f>
        <v>14.5</v>
      </c>
      <c r="AB181">
        <f>INDEX(script.out!P:P,results.txt!$M181)</f>
        <v>5076.54</v>
      </c>
      <c r="AC181" t="str">
        <f>INDEX(script.out!Q:Q,results.txt!$M181)</f>
        <v>}</v>
      </c>
      <c r="AD181">
        <f t="shared" si="2"/>
        <v>1</v>
      </c>
    </row>
    <row r="182" spans="1:30" x14ac:dyDescent="0.25">
      <c r="A182" s="12" t="s">
        <v>2</v>
      </c>
      <c r="B182" s="12">
        <v>-3</v>
      </c>
      <c r="C182" s="12">
        <v>1.1144700000000001</v>
      </c>
      <c r="D182" s="12">
        <v>7.7748100000000001E-3</v>
      </c>
      <c r="E182" s="12">
        <v>0.68185499999999999</v>
      </c>
      <c r="F182" s="12">
        <v>-3</v>
      </c>
      <c r="G182" s="12">
        <v>5.9961700000000002</v>
      </c>
      <c r="H182" s="12">
        <v>56.25</v>
      </c>
      <c r="I182" s="12">
        <v>265.40199999999999</v>
      </c>
      <c r="J182" s="12" t="s">
        <v>3</v>
      </c>
      <c r="K182" s="12">
        <v>1</v>
      </c>
      <c r="M182">
        <f>MATCH(C182,script.out!B:B,0)</f>
        <v>841</v>
      </c>
      <c r="N182">
        <f>INDEX(script.out!B:B,results.txt!$M182)</f>
        <v>1.1144700000000001</v>
      </c>
      <c r="O182">
        <f>INDEX(script.out!C:C,results.txt!$M182)</f>
        <v>7.7748100000000001E-3</v>
      </c>
      <c r="P182">
        <f>INDEX(script.out!D:D,results.txt!$M182)</f>
        <v>0.68185499999999999</v>
      </c>
      <c r="Q182">
        <f>INDEX(script.out!E:E,results.txt!$M182)</f>
        <v>5.9961724778594698</v>
      </c>
      <c r="R182">
        <f>INDEX(script.out!F:F,results.txt!$M182)</f>
        <v>56.25</v>
      </c>
      <c r="S182">
        <f>INDEX(script.out!G:G,results.txt!$M182)</f>
        <v>265.402483305685</v>
      </c>
      <c r="T182" t="str">
        <f>INDEX(script.out!H:H,results.txt!$M182)</f>
        <v>{</v>
      </c>
      <c r="U182">
        <f>INDEX(script.out!I:I,results.txt!$M182)</f>
        <v>1.19157</v>
      </c>
      <c r="V182">
        <f>INDEX(script.out!J:J,results.txt!$M182)</f>
        <v>103.887405</v>
      </c>
      <c r="W182">
        <f>INDEX(script.out!K:K,results.txt!$M182)</f>
        <v>412.29444999999998</v>
      </c>
      <c r="X182" t="str">
        <f>INDEX(script.out!L:L,results.txt!$M182)</f>
        <v>}</v>
      </c>
      <c r="Y182" t="str">
        <f>INDEX(script.out!M:M,results.txt!$M182)</f>
        <v>{</v>
      </c>
      <c r="Z182">
        <f>INDEX(script.out!N:N,results.txt!$M182)</f>
        <v>12.448708328457901</v>
      </c>
      <c r="AA182">
        <f>INDEX(script.out!O:O,results.txt!$M182)</f>
        <v>15.5</v>
      </c>
      <c r="AB182">
        <f>INDEX(script.out!P:P,results.txt!$M182)</f>
        <v>1353.72</v>
      </c>
      <c r="AC182" t="str">
        <f>INDEX(script.out!Q:Q,results.txt!$M182)</f>
        <v>}</v>
      </c>
      <c r="AD182">
        <f t="shared" si="2"/>
        <v>1</v>
      </c>
    </row>
    <row r="183" spans="1:30" x14ac:dyDescent="0.25">
      <c r="A183" s="12" t="s">
        <v>2</v>
      </c>
      <c r="B183" s="12">
        <v>-3</v>
      </c>
      <c r="C183" s="12">
        <v>1.0851900000000001</v>
      </c>
      <c r="D183" s="12">
        <v>0.102561</v>
      </c>
      <c r="E183" s="12">
        <v>0.64559900000000003</v>
      </c>
      <c r="F183" s="12">
        <v>-3</v>
      </c>
      <c r="G183" s="12">
        <v>66.060599999999994</v>
      </c>
      <c r="H183" s="12">
        <v>42.25</v>
      </c>
      <c r="I183" s="12">
        <v>181.19200000000001</v>
      </c>
      <c r="J183" s="12" t="s">
        <v>3</v>
      </c>
      <c r="K183" s="12">
        <v>1</v>
      </c>
      <c r="M183">
        <f>MATCH(C183,script.out!B:B,0)</f>
        <v>842</v>
      </c>
      <c r="N183">
        <f>INDEX(script.out!B:B,results.txt!$M183)</f>
        <v>1.0851900000000001</v>
      </c>
      <c r="O183">
        <f>INDEX(script.out!C:C,results.txt!$M183)</f>
        <v>0.102561</v>
      </c>
      <c r="P183">
        <f>INDEX(script.out!D:D,results.txt!$M183)</f>
        <v>0.64559900000000003</v>
      </c>
      <c r="Q183">
        <f>INDEX(script.out!E:E,results.txt!$M183)</f>
        <v>66.060619596886497</v>
      </c>
      <c r="R183">
        <f>INDEX(script.out!F:F,results.txt!$M183)</f>
        <v>42.25</v>
      </c>
      <c r="S183">
        <f>INDEX(script.out!G:G,results.txt!$M183)</f>
        <v>181.191513971852</v>
      </c>
      <c r="T183" t="str">
        <f>INDEX(script.out!H:H,results.txt!$M183)</f>
        <v>{</v>
      </c>
      <c r="U183">
        <f>INDEX(script.out!I:I,results.txt!$M183)</f>
        <v>1.16815</v>
      </c>
      <c r="V183">
        <f>INDEX(script.out!J:J,results.txt!$M183)</f>
        <v>151.28049999999999</v>
      </c>
      <c r="W183">
        <f>INDEX(script.out!K:K,results.txt!$M183)</f>
        <v>390.90341000000001</v>
      </c>
      <c r="X183" t="str">
        <f>INDEX(script.out!L:L,results.txt!$M183)</f>
        <v>}</v>
      </c>
      <c r="Y183" t="str">
        <f>INDEX(script.out!M:M,results.txt!$M183)</f>
        <v>{</v>
      </c>
      <c r="Z183">
        <f>INDEX(script.out!N:N,results.txt!$M183)</f>
        <v>18.1277684266277</v>
      </c>
      <c r="AA183">
        <f>INDEX(script.out!O:O,results.txt!$M183)</f>
        <v>14.5</v>
      </c>
      <c r="AB183">
        <f>INDEX(script.out!P:P,results.txt!$M183)</f>
        <v>2386.83</v>
      </c>
      <c r="AC183" t="str">
        <f>INDEX(script.out!Q:Q,results.txt!$M183)</f>
        <v>}</v>
      </c>
      <c r="AD183">
        <f t="shared" si="2"/>
        <v>1</v>
      </c>
    </row>
    <row r="184" spans="1:30" x14ac:dyDescent="0.25">
      <c r="A184" s="12" t="s">
        <v>2</v>
      </c>
      <c r="B184" s="12">
        <v>-3</v>
      </c>
      <c r="C184" s="12">
        <v>0.97228000000000003</v>
      </c>
      <c r="D184" s="12">
        <v>0.25981500000000002</v>
      </c>
      <c r="E184" s="12">
        <v>0.92506299999999997</v>
      </c>
      <c r="F184" s="12">
        <v>-3</v>
      </c>
      <c r="G184" s="12">
        <v>307.98700000000002</v>
      </c>
      <c r="H184" s="12">
        <v>42.25</v>
      </c>
      <c r="I184" s="12">
        <v>119.676</v>
      </c>
      <c r="J184" s="12" t="s">
        <v>3</v>
      </c>
      <c r="K184" s="12">
        <v>1</v>
      </c>
      <c r="M184">
        <f>MATCH(C184,script.out!B:B,0)</f>
        <v>843</v>
      </c>
      <c r="N184">
        <f>INDEX(script.out!B:B,results.txt!$M184)</f>
        <v>0.97228000000000003</v>
      </c>
      <c r="O184">
        <f>INDEX(script.out!C:C,results.txt!$M184)</f>
        <v>0.25981500000000002</v>
      </c>
      <c r="P184">
        <f>INDEX(script.out!D:D,results.txt!$M184)</f>
        <v>0.92506299999999997</v>
      </c>
      <c r="Q184">
        <f>INDEX(script.out!E:E,results.txt!$M184)</f>
        <v>307.986756424075</v>
      </c>
      <c r="R184">
        <f>INDEX(script.out!F:F,results.txt!$M184)</f>
        <v>42.25</v>
      </c>
      <c r="S184">
        <f>INDEX(script.out!G:G,results.txt!$M184)</f>
        <v>119.67640668343</v>
      </c>
      <c r="T184" t="str">
        <f>INDEX(script.out!H:H,results.txt!$M184)</f>
        <v>{</v>
      </c>
      <c r="U184">
        <f>INDEX(script.out!I:I,results.txt!$M184)</f>
        <v>1.07782</v>
      </c>
      <c r="V184">
        <f>INDEX(script.out!J:J,results.txt!$M184)</f>
        <v>229.9075</v>
      </c>
      <c r="W184">
        <f>INDEX(script.out!K:K,results.txt!$M184)</f>
        <v>555.78716999999995</v>
      </c>
      <c r="X184" t="str">
        <f>INDEX(script.out!L:L,results.txt!$M184)</f>
        <v>}</v>
      </c>
      <c r="Y184" t="str">
        <f>INDEX(script.out!M:M,results.txt!$M184)</f>
        <v>{</v>
      </c>
      <c r="Z184">
        <f>INDEX(script.out!N:N,results.txt!$M184)</f>
        <v>27.549551459341501</v>
      </c>
      <c r="AA184">
        <f>INDEX(script.out!O:O,results.txt!$M184)</f>
        <v>14.5</v>
      </c>
      <c r="AB184">
        <f>INDEX(script.out!P:P,results.txt!$M184)</f>
        <v>3307.02</v>
      </c>
      <c r="AC184" t="str">
        <f>INDEX(script.out!Q:Q,results.txt!$M184)</f>
        <v>}</v>
      </c>
      <c r="AD184">
        <f t="shared" si="2"/>
        <v>1</v>
      </c>
    </row>
    <row r="185" spans="1:30" x14ac:dyDescent="0.25">
      <c r="A185" s="12" t="s">
        <v>2</v>
      </c>
      <c r="B185" s="12">
        <v>-3</v>
      </c>
      <c r="C185" s="12">
        <v>0.821492</v>
      </c>
      <c r="D185" s="12">
        <v>0.179151</v>
      </c>
      <c r="E185" s="12">
        <v>0.39378099999999999</v>
      </c>
      <c r="F185" s="12">
        <v>-3</v>
      </c>
      <c r="G185" s="12">
        <v>161.71199999999999</v>
      </c>
      <c r="H185" s="12">
        <v>49</v>
      </c>
      <c r="I185" s="12">
        <v>16.878399999999999</v>
      </c>
      <c r="J185" s="12" t="s">
        <v>3</v>
      </c>
      <c r="K185" s="12">
        <v>1</v>
      </c>
      <c r="M185">
        <f>MATCH(C185,script.out!B:B,0)</f>
        <v>844</v>
      </c>
      <c r="N185">
        <f>INDEX(script.out!B:B,results.txt!$M185)</f>
        <v>0.821492</v>
      </c>
      <c r="O185">
        <f>INDEX(script.out!C:C,results.txt!$M185)</f>
        <v>0.179151</v>
      </c>
      <c r="P185">
        <f>INDEX(script.out!D:D,results.txt!$M185)</f>
        <v>0.39378099999999999</v>
      </c>
      <c r="Q185">
        <f>INDEX(script.out!E:E,results.txt!$M185)</f>
        <v>161.71227820438699</v>
      </c>
      <c r="R185">
        <f>INDEX(script.out!F:F,results.txt!$M185)</f>
        <v>49</v>
      </c>
      <c r="S185">
        <f>INDEX(script.out!G:G,results.txt!$M185)</f>
        <v>16.8783652587727</v>
      </c>
      <c r="T185" t="str">
        <f>INDEX(script.out!H:H,results.txt!$M185)</f>
        <v>{</v>
      </c>
      <c r="U185">
        <f>INDEX(script.out!I:I,results.txt!$M185)</f>
        <v>0.95719299999999996</v>
      </c>
      <c r="V185">
        <f>INDEX(script.out!J:J,results.txt!$M185)</f>
        <v>189.57550000000001</v>
      </c>
      <c r="W185">
        <f>INDEX(script.out!K:K,results.txt!$M185)</f>
        <v>242.33079000000001</v>
      </c>
      <c r="X185" t="str">
        <f>INDEX(script.out!L:L,results.txt!$M185)</f>
        <v>}</v>
      </c>
      <c r="Y185" t="str">
        <f>INDEX(script.out!M:M,results.txt!$M185)</f>
        <v>{</v>
      </c>
      <c r="Z185">
        <f>INDEX(script.out!N:N,results.txt!$M185)</f>
        <v>22.716614258692701</v>
      </c>
      <c r="AA185">
        <f>INDEX(script.out!O:O,results.txt!$M185)</f>
        <v>15</v>
      </c>
      <c r="AB185">
        <f>INDEX(script.out!P:P,results.txt!$M185)</f>
        <v>5800.46</v>
      </c>
      <c r="AC185" t="str">
        <f>INDEX(script.out!Q:Q,results.txt!$M185)</f>
        <v>}</v>
      </c>
      <c r="AD185">
        <f t="shared" si="2"/>
        <v>1</v>
      </c>
    </row>
    <row r="186" spans="1:30" x14ac:dyDescent="0.25">
      <c r="A186" s="12" t="s">
        <v>2</v>
      </c>
      <c r="B186" s="12">
        <v>-3</v>
      </c>
      <c r="C186" s="12">
        <v>0.96116199999999996</v>
      </c>
      <c r="D186" s="12">
        <v>0.33759400000000001</v>
      </c>
      <c r="E186" s="12">
        <v>0.60627699999999995</v>
      </c>
      <c r="F186" s="12">
        <v>-3</v>
      </c>
      <c r="G186" s="12">
        <v>493.26799999999997</v>
      </c>
      <c r="H186" s="12">
        <v>30.25</v>
      </c>
      <c r="I186" s="12">
        <v>0.73419100000000004</v>
      </c>
      <c r="J186" s="12" t="s">
        <v>3</v>
      </c>
      <c r="K186" s="12">
        <v>1</v>
      </c>
      <c r="M186">
        <f>MATCH(C186,script.out!B:B,0)</f>
        <v>845</v>
      </c>
      <c r="N186">
        <f>INDEX(script.out!B:B,results.txt!$M186)</f>
        <v>0.96116199999999996</v>
      </c>
      <c r="O186">
        <f>INDEX(script.out!C:C,results.txt!$M186)</f>
        <v>0.33759400000000001</v>
      </c>
      <c r="P186">
        <f>INDEX(script.out!D:D,results.txt!$M186)</f>
        <v>0.60627699999999995</v>
      </c>
      <c r="Q186">
        <f>INDEX(script.out!E:E,results.txt!$M186)</f>
        <v>493.26791095566102</v>
      </c>
      <c r="R186">
        <f>INDEX(script.out!F:F,results.txt!$M186)</f>
        <v>30.25</v>
      </c>
      <c r="S186">
        <f>INDEX(script.out!G:G,results.txt!$M186)</f>
        <v>0.734190748733345</v>
      </c>
      <c r="T186" t="str">
        <f>INDEX(script.out!H:H,results.txt!$M186)</f>
        <v>{</v>
      </c>
      <c r="U186">
        <f>INDEX(script.out!I:I,results.txt!$M186)</f>
        <v>1.068929</v>
      </c>
      <c r="V186">
        <f>INDEX(script.out!J:J,results.txt!$M186)</f>
        <v>268.79700000000003</v>
      </c>
      <c r="W186">
        <f>INDEX(script.out!K:K,results.txt!$M186)</f>
        <v>367.70343000000003</v>
      </c>
      <c r="X186" t="str">
        <f>INDEX(script.out!L:L,results.txt!$M186)</f>
        <v>}</v>
      </c>
      <c r="Y186" t="str">
        <f>INDEX(script.out!M:M,results.txt!$M186)</f>
        <v>{</v>
      </c>
      <c r="Z186">
        <f>INDEX(script.out!N:N,results.txt!$M186)</f>
        <v>32.209635543062397</v>
      </c>
      <c r="AA186">
        <f>INDEX(script.out!O:O,results.txt!$M186)</f>
        <v>13.5</v>
      </c>
      <c r="AB186">
        <f>INDEX(script.out!P:P,results.txt!$M186)</f>
        <v>6987.25</v>
      </c>
      <c r="AC186" t="str">
        <f>INDEX(script.out!Q:Q,results.txt!$M186)</f>
        <v>}</v>
      </c>
      <c r="AD186">
        <f t="shared" si="2"/>
        <v>1</v>
      </c>
    </row>
    <row r="187" spans="1:30" x14ac:dyDescent="0.25">
      <c r="A187" s="12" t="s">
        <v>2</v>
      </c>
      <c r="B187" s="12">
        <v>-3</v>
      </c>
      <c r="C187" s="12">
        <v>1.00556</v>
      </c>
      <c r="D187" s="12">
        <v>4.12897E-3</v>
      </c>
      <c r="E187" s="12">
        <v>0.65554100000000004</v>
      </c>
      <c r="F187" s="12">
        <v>-3</v>
      </c>
      <c r="G187" s="12">
        <v>4.9741</v>
      </c>
      <c r="H187" s="12">
        <v>72.25</v>
      </c>
      <c r="I187" s="12">
        <v>256.70600000000002</v>
      </c>
      <c r="J187" s="12" t="s">
        <v>3</v>
      </c>
      <c r="K187" s="12">
        <v>1</v>
      </c>
      <c r="M187">
        <f>MATCH(C187,script.out!B:B,0)</f>
        <v>846</v>
      </c>
      <c r="N187">
        <f>INDEX(script.out!B:B,results.txt!$M187)</f>
        <v>1.00556</v>
      </c>
      <c r="O187">
        <f>INDEX(script.out!C:C,results.txt!$M187)</f>
        <v>4.12897E-3</v>
      </c>
      <c r="P187">
        <f>INDEX(script.out!D:D,results.txt!$M187)</f>
        <v>0.65554100000000004</v>
      </c>
      <c r="Q187">
        <f>INDEX(script.out!E:E,results.txt!$M187)</f>
        <v>4.9741039169549</v>
      </c>
      <c r="R187">
        <f>INDEX(script.out!F:F,results.txt!$M187)</f>
        <v>72.25</v>
      </c>
      <c r="S187">
        <f>INDEX(script.out!G:G,results.txt!$M187)</f>
        <v>256.70623983861799</v>
      </c>
      <c r="T187" t="str">
        <f>INDEX(script.out!H:H,results.txt!$M187)</f>
        <v>{</v>
      </c>
      <c r="U187">
        <f>INDEX(script.out!I:I,results.txt!$M187)</f>
        <v>1.1044400000000001</v>
      </c>
      <c r="V187">
        <f>INDEX(script.out!J:J,results.txt!$M187)</f>
        <v>102.064485</v>
      </c>
      <c r="W187">
        <f>INDEX(script.out!K:K,results.txt!$M187)</f>
        <v>396.76918999999998</v>
      </c>
      <c r="X187" t="str">
        <f>INDEX(script.out!L:L,results.txt!$M187)</f>
        <v>}</v>
      </c>
      <c r="Y187" t="str">
        <f>INDEX(script.out!M:M,results.txt!$M187)</f>
        <v>{</v>
      </c>
      <c r="Z187">
        <f>INDEX(script.out!N:N,results.txt!$M187)</f>
        <v>12.2302699202013</v>
      </c>
      <c r="AA187">
        <f>INDEX(script.out!O:O,results.txt!$M187)</f>
        <v>16.5</v>
      </c>
      <c r="AB187">
        <f>INDEX(script.out!P:P,results.txt!$M187)</f>
        <v>1451.95</v>
      </c>
      <c r="AC187" t="str">
        <f>INDEX(script.out!Q:Q,results.txt!$M187)</f>
        <v>}</v>
      </c>
      <c r="AD187">
        <f t="shared" si="2"/>
        <v>1</v>
      </c>
    </row>
    <row r="188" spans="1:30" x14ac:dyDescent="0.25">
      <c r="A188" s="12" t="s">
        <v>2</v>
      </c>
      <c r="B188" s="12">
        <v>-3</v>
      </c>
      <c r="C188" s="12">
        <v>0.56772999999999996</v>
      </c>
      <c r="D188" s="12">
        <v>1.31012E-2</v>
      </c>
      <c r="E188" s="12">
        <v>0.15041099999999999</v>
      </c>
      <c r="F188" s="12">
        <v>-3</v>
      </c>
      <c r="G188" s="12">
        <v>7.66092</v>
      </c>
      <c r="H188" s="12">
        <v>110.25</v>
      </c>
      <c r="I188" s="12">
        <v>1.44665</v>
      </c>
      <c r="J188" s="12" t="s">
        <v>3</v>
      </c>
      <c r="K188" s="12">
        <v>0</v>
      </c>
      <c r="M188">
        <f>MATCH(C188,script.out!B:B,0)</f>
        <v>847</v>
      </c>
      <c r="N188">
        <f>INDEX(script.out!B:B,results.txt!$M188)</f>
        <v>0.56772999999999996</v>
      </c>
      <c r="O188">
        <f>INDEX(script.out!C:C,results.txt!$M188)</f>
        <v>1.31012E-2</v>
      </c>
      <c r="P188">
        <f>INDEX(script.out!D:D,results.txt!$M188)</f>
        <v>0.15041099999999999</v>
      </c>
      <c r="Q188">
        <f>INDEX(script.out!E:E,results.txt!$M188)</f>
        <v>7.6609157028274204</v>
      </c>
      <c r="R188">
        <f>INDEX(script.out!F:F,results.txt!$M188)</f>
        <v>110.25</v>
      </c>
      <c r="S188">
        <f>INDEX(script.out!G:G,results.txt!$M188)</f>
        <v>1.4466487528617</v>
      </c>
      <c r="T188" t="str">
        <f>INDEX(script.out!H:H,results.txt!$M188)</f>
        <v>{</v>
      </c>
      <c r="U188">
        <f>INDEX(script.out!I:I,results.txt!$M188)</f>
        <v>0.75417999999999996</v>
      </c>
      <c r="V188">
        <f>INDEX(script.out!J:J,results.txt!$M188)</f>
        <v>106.5506</v>
      </c>
      <c r="W188">
        <f>INDEX(script.out!K:K,results.txt!$M188)</f>
        <v>98.742490000000004</v>
      </c>
      <c r="X188" t="str">
        <f>INDEX(script.out!L:L,results.txt!$M188)</f>
        <v>}</v>
      </c>
      <c r="Y188" t="str">
        <f>INDEX(script.out!M:M,results.txt!$M188)</f>
        <v>{</v>
      </c>
      <c r="Z188">
        <f>INDEX(script.out!N:N,results.txt!$M188)</f>
        <v>12.767835924116</v>
      </c>
      <c r="AA188">
        <f>INDEX(script.out!O:O,results.txt!$M188)</f>
        <v>18.5</v>
      </c>
      <c r="AB188">
        <f>INDEX(script.out!P:P,results.txt!$M188)</f>
        <v>6860.99</v>
      </c>
      <c r="AC188" t="str">
        <f>INDEX(script.out!Q:Q,results.txt!$M188)</f>
        <v>}</v>
      </c>
      <c r="AD188">
        <f t="shared" si="2"/>
        <v>1</v>
      </c>
    </row>
    <row r="189" spans="1:30" x14ac:dyDescent="0.25">
      <c r="A189" s="12" t="s">
        <v>2</v>
      </c>
      <c r="B189" s="12">
        <v>-3</v>
      </c>
      <c r="C189" s="12">
        <v>0.59857199999999999</v>
      </c>
      <c r="D189" s="12">
        <v>-4.3600800000000002E-2</v>
      </c>
      <c r="E189" s="12">
        <v>0.137908</v>
      </c>
      <c r="F189" s="12">
        <v>-3</v>
      </c>
      <c r="G189" s="12">
        <v>0.39618399999999998</v>
      </c>
      <c r="H189" s="12">
        <v>132.25</v>
      </c>
      <c r="I189" s="12">
        <v>33.743000000000002</v>
      </c>
      <c r="J189" s="12" t="s">
        <v>3</v>
      </c>
      <c r="K189" s="12">
        <v>1</v>
      </c>
      <c r="M189">
        <f>MATCH(C189,script.out!B:B,0)</f>
        <v>848</v>
      </c>
      <c r="N189">
        <f>INDEX(script.out!B:B,results.txt!$M189)</f>
        <v>0.59857199999999999</v>
      </c>
      <c r="O189">
        <f>INDEX(script.out!C:C,results.txt!$M189)</f>
        <v>-4.3600800000000002E-2</v>
      </c>
      <c r="P189">
        <f>INDEX(script.out!D:D,results.txt!$M189)</f>
        <v>0.137908</v>
      </c>
      <c r="Q189">
        <f>INDEX(script.out!E:E,results.txt!$M189)</f>
        <v>0.396184413528538</v>
      </c>
      <c r="R189">
        <f>INDEX(script.out!F:F,results.txt!$M189)</f>
        <v>132.25</v>
      </c>
      <c r="S189">
        <f>INDEX(script.out!G:G,results.txt!$M189)</f>
        <v>33.743048659035402</v>
      </c>
      <c r="T189" t="str">
        <f>INDEX(script.out!H:H,results.txt!$M189)</f>
        <v>{</v>
      </c>
      <c r="U189">
        <f>INDEX(script.out!I:I,results.txt!$M189)</f>
        <v>0.77885700000000002</v>
      </c>
      <c r="V189">
        <f>INDEX(script.out!J:J,results.txt!$M189)</f>
        <v>78.199600000000004</v>
      </c>
      <c r="W189">
        <f>INDEX(script.out!K:K,results.txt!$M189)</f>
        <v>91.365719999999996</v>
      </c>
      <c r="X189" t="str">
        <f>INDEX(script.out!L:L,results.txt!$M189)</f>
        <v>}</v>
      </c>
      <c r="Y189" t="str">
        <f>INDEX(script.out!M:M,results.txt!$M189)</f>
        <v>{</v>
      </c>
      <c r="Z189">
        <f>INDEX(script.out!N:N,results.txt!$M189)</f>
        <v>9.3705681819858899</v>
      </c>
      <c r="AA189">
        <f>INDEX(script.out!O:O,results.txt!$M189)</f>
        <v>19.5</v>
      </c>
      <c r="AB189">
        <f>INDEX(script.out!P:P,results.txt!$M189)</f>
        <v>5179.76</v>
      </c>
      <c r="AC189" t="str">
        <f>INDEX(script.out!Q:Q,results.txt!$M189)</f>
        <v>}</v>
      </c>
      <c r="AD189">
        <f t="shared" si="2"/>
        <v>1</v>
      </c>
    </row>
    <row r="190" spans="1:30" x14ac:dyDescent="0.25">
      <c r="A190" s="12" t="s">
        <v>2</v>
      </c>
      <c r="B190" s="12">
        <v>-3</v>
      </c>
      <c r="C190" s="12">
        <v>1.07406</v>
      </c>
      <c r="D190" s="12">
        <v>-5.1596000000000003E-2</v>
      </c>
      <c r="E190" s="12">
        <v>0.68756099999999998</v>
      </c>
      <c r="F190" s="12">
        <v>-3</v>
      </c>
      <c r="G190" s="12">
        <v>1.22868</v>
      </c>
      <c r="H190" s="12">
        <v>90.25</v>
      </c>
      <c r="I190" s="12">
        <v>321.62799999999999</v>
      </c>
      <c r="J190" s="12" t="s">
        <v>3</v>
      </c>
      <c r="K190" s="12">
        <v>1</v>
      </c>
      <c r="M190">
        <f>MATCH(C190,script.out!B:B,0)</f>
        <v>849</v>
      </c>
      <c r="N190">
        <f>INDEX(script.out!B:B,results.txt!$M190)</f>
        <v>1.07406</v>
      </c>
      <c r="O190">
        <f>INDEX(script.out!C:C,results.txt!$M190)</f>
        <v>-5.1596000000000003E-2</v>
      </c>
      <c r="P190">
        <f>INDEX(script.out!D:D,results.txt!$M190)</f>
        <v>0.68756099999999998</v>
      </c>
      <c r="Q190">
        <f>INDEX(script.out!E:E,results.txt!$M190)</f>
        <v>1.2286827535547999</v>
      </c>
      <c r="R190">
        <f>INDEX(script.out!F:F,results.txt!$M190)</f>
        <v>90.25</v>
      </c>
      <c r="S190">
        <f>INDEX(script.out!G:G,results.txt!$M190)</f>
        <v>321.628257731514</v>
      </c>
      <c r="T190" t="str">
        <f>INDEX(script.out!H:H,results.txt!$M190)</f>
        <v>{</v>
      </c>
      <c r="U190">
        <f>INDEX(script.out!I:I,results.txt!$M190)</f>
        <v>1.15924</v>
      </c>
      <c r="V190">
        <f>INDEX(script.out!J:J,results.txt!$M190)</f>
        <v>74.201999999999998</v>
      </c>
      <c r="W190">
        <f>INDEX(script.out!K:K,results.txt!$M190)</f>
        <v>415.66099000000003</v>
      </c>
      <c r="X190" t="str">
        <f>INDEX(script.out!L:L,results.txt!$M190)</f>
        <v>}</v>
      </c>
      <c r="Y190" t="str">
        <f>INDEX(script.out!M:M,results.txt!$M190)</f>
        <v>{</v>
      </c>
      <c r="Z190">
        <f>INDEX(script.out!N:N,results.txt!$M190)</f>
        <v>8.8915403690008308</v>
      </c>
      <c r="AA190">
        <f>INDEX(script.out!O:O,results.txt!$M190)</f>
        <v>17.5</v>
      </c>
      <c r="AB190">
        <f>INDEX(script.out!P:P,results.txt!$M190)</f>
        <v>754.09100000000001</v>
      </c>
      <c r="AC190" t="str">
        <f>INDEX(script.out!Q:Q,results.txt!$M190)</f>
        <v>}</v>
      </c>
      <c r="AD190">
        <f t="shared" si="2"/>
        <v>1</v>
      </c>
    </row>
    <row r="191" spans="1:30" x14ac:dyDescent="0.25">
      <c r="A191" s="12" t="s">
        <v>2</v>
      </c>
      <c r="B191" s="12">
        <v>-3</v>
      </c>
      <c r="C191" s="12">
        <v>0.97969099999999998</v>
      </c>
      <c r="D191" s="12">
        <v>0.118398</v>
      </c>
      <c r="E191" s="12">
        <v>0.53225900000000004</v>
      </c>
      <c r="F191" s="12">
        <v>-3</v>
      </c>
      <c r="G191" s="12">
        <v>82.385300000000001</v>
      </c>
      <c r="H191" s="12">
        <v>42.25</v>
      </c>
      <c r="I191" s="12">
        <v>87.363600000000005</v>
      </c>
      <c r="J191" s="12" t="s">
        <v>3</v>
      </c>
      <c r="K191" s="12">
        <v>0</v>
      </c>
      <c r="M191">
        <f>MATCH(C191,script.out!B:B,0)</f>
        <v>850</v>
      </c>
      <c r="N191">
        <f>INDEX(script.out!B:B,results.txt!$M191)</f>
        <v>0.97969099999999998</v>
      </c>
      <c r="O191">
        <f>INDEX(script.out!C:C,results.txt!$M191)</f>
        <v>0.118398</v>
      </c>
      <c r="P191">
        <f>INDEX(script.out!D:D,results.txt!$M191)</f>
        <v>0.53225900000000004</v>
      </c>
      <c r="Q191">
        <f>INDEX(script.out!E:E,results.txt!$M191)</f>
        <v>82.385269879923001</v>
      </c>
      <c r="R191">
        <f>INDEX(script.out!F:F,results.txt!$M191)</f>
        <v>42.25</v>
      </c>
      <c r="S191">
        <f>INDEX(script.out!G:G,results.txt!$M191)</f>
        <v>87.363592118596301</v>
      </c>
      <c r="T191" t="str">
        <f>INDEX(script.out!H:H,results.txt!$M191)</f>
        <v>{</v>
      </c>
      <c r="U191">
        <f>INDEX(script.out!I:I,results.txt!$M191)</f>
        <v>1.083752</v>
      </c>
      <c r="V191">
        <f>INDEX(script.out!J:J,results.txt!$M191)</f>
        <v>159.19900000000001</v>
      </c>
      <c r="W191">
        <f>INDEX(script.out!K:K,results.txt!$M191)</f>
        <v>324.03280999999998</v>
      </c>
      <c r="X191" t="str">
        <f>INDEX(script.out!L:L,results.txt!$M191)</f>
        <v>}</v>
      </c>
      <c r="Y191" t="str">
        <f>INDEX(script.out!M:M,results.txt!$M191)</f>
        <v>{</v>
      </c>
      <c r="Z191">
        <f>INDEX(script.out!N:N,results.txt!$M191)</f>
        <v>19.076633179760101</v>
      </c>
      <c r="AA191">
        <f>INDEX(script.out!O:O,results.txt!$M191)</f>
        <v>14.5</v>
      </c>
      <c r="AB191">
        <f>INDEX(script.out!P:P,results.txt!$M191)</f>
        <v>3888.4</v>
      </c>
      <c r="AC191" t="str">
        <f>INDEX(script.out!Q:Q,results.txt!$M191)</f>
        <v>}</v>
      </c>
      <c r="AD191">
        <f t="shared" si="2"/>
        <v>1</v>
      </c>
    </row>
    <row r="192" spans="1:30" x14ac:dyDescent="0.25">
      <c r="A192" s="12" t="s">
        <v>2</v>
      </c>
      <c r="B192" s="12">
        <v>-3</v>
      </c>
      <c r="C192" s="12">
        <v>9.5013299999999995E-2</v>
      </c>
      <c r="D192" s="12">
        <v>1.70236E-2</v>
      </c>
      <c r="E192" s="12">
        <v>1.4746799999999999E-2</v>
      </c>
      <c r="F192" s="12">
        <v>-3</v>
      </c>
      <c r="G192" s="12">
        <v>9.0170700000000004</v>
      </c>
      <c r="H192" s="12">
        <v>110.25</v>
      </c>
      <c r="I192" s="12">
        <v>779.45</v>
      </c>
      <c r="J192" s="12" t="s">
        <v>3</v>
      </c>
      <c r="K192" s="12">
        <v>1</v>
      </c>
      <c r="M192">
        <f>MATCH(C192,script.out!B:B,0)</f>
        <v>851</v>
      </c>
      <c r="N192">
        <f>INDEX(script.out!B:B,results.txt!$M192)</f>
        <v>9.5013299999999995E-2</v>
      </c>
      <c r="O192">
        <f>INDEX(script.out!C:C,results.txt!$M192)</f>
        <v>1.70236E-2</v>
      </c>
      <c r="P192">
        <f>INDEX(script.out!D:D,results.txt!$M192)</f>
        <v>1.4746799999999999E-2</v>
      </c>
      <c r="Q192">
        <f>INDEX(script.out!E:E,results.txt!$M192)</f>
        <v>9.0170736848141004</v>
      </c>
      <c r="R192">
        <f>INDEX(script.out!F:F,results.txt!$M192)</f>
        <v>110.25</v>
      </c>
      <c r="S192">
        <f>INDEX(script.out!G:G,results.txt!$M192)</f>
        <v>779.44990872583901</v>
      </c>
      <c r="T192" t="str">
        <f>INDEX(script.out!H:H,results.txt!$M192)</f>
        <v>{</v>
      </c>
      <c r="U192">
        <f>INDEX(script.out!I:I,results.txt!$M192)</f>
        <v>0.37601059999999997</v>
      </c>
      <c r="V192">
        <f>INDEX(script.out!J:J,results.txt!$M192)</f>
        <v>108.51179999999999</v>
      </c>
      <c r="W192">
        <f>INDEX(script.out!K:K,results.txt!$M192)</f>
        <v>18.700612</v>
      </c>
      <c r="X192" t="str">
        <f>INDEX(script.out!L:L,results.txt!$M192)</f>
        <v>}</v>
      </c>
      <c r="Y192" t="str">
        <f>INDEX(script.out!M:M,results.txt!$M192)</f>
        <v>{</v>
      </c>
      <c r="Z192">
        <f>INDEX(script.out!N:N,results.txt!$M192)</f>
        <v>13.0028442658276</v>
      </c>
      <c r="AA192">
        <f>INDEX(script.out!O:O,results.txt!$M192)</f>
        <v>18.5</v>
      </c>
      <c r="AB192">
        <f>INDEX(script.out!P:P,results.txt!$M192)</f>
        <v>17490.3</v>
      </c>
      <c r="AC192" t="str">
        <f>INDEX(script.out!Q:Q,results.txt!$M192)</f>
        <v>}</v>
      </c>
      <c r="AD192">
        <f t="shared" si="2"/>
        <v>1</v>
      </c>
    </row>
    <row r="193" spans="1:30" x14ac:dyDescent="0.25">
      <c r="A193" s="12" t="s">
        <v>2</v>
      </c>
      <c r="B193" s="12">
        <v>-3</v>
      </c>
      <c r="C193" s="12">
        <v>1.1240000000000001</v>
      </c>
      <c r="D193" s="12">
        <v>0.15493199999999999</v>
      </c>
      <c r="E193" s="12">
        <v>0.82512600000000003</v>
      </c>
      <c r="F193" s="12">
        <v>-3</v>
      </c>
      <c r="G193" s="12">
        <v>126.913</v>
      </c>
      <c r="H193" s="12">
        <v>36</v>
      </c>
      <c r="I193" s="12">
        <v>150.85</v>
      </c>
      <c r="J193" s="12" t="s">
        <v>3</v>
      </c>
      <c r="K193" s="12">
        <v>1</v>
      </c>
      <c r="M193">
        <f>MATCH(C193,script.out!B:B,0)</f>
        <v>852</v>
      </c>
      <c r="N193">
        <f>INDEX(script.out!B:B,results.txt!$M193)</f>
        <v>1.1240000000000001</v>
      </c>
      <c r="O193">
        <f>INDEX(script.out!C:C,results.txt!$M193)</f>
        <v>0.15493199999999999</v>
      </c>
      <c r="P193">
        <f>INDEX(script.out!D:D,results.txt!$M193)</f>
        <v>0.82512600000000003</v>
      </c>
      <c r="Q193">
        <f>INDEX(script.out!E:E,results.txt!$M193)</f>
        <v>126.912544542514</v>
      </c>
      <c r="R193">
        <f>INDEX(script.out!F:F,results.txt!$M193)</f>
        <v>36</v>
      </c>
      <c r="S193">
        <f>INDEX(script.out!G:G,results.txt!$M193)</f>
        <v>150.849542965659</v>
      </c>
      <c r="T193" t="str">
        <f>INDEX(script.out!H:H,results.txt!$M193)</f>
        <v>{</v>
      </c>
      <c r="U193">
        <f>INDEX(script.out!I:I,results.txt!$M193)</f>
        <v>1.1990000000000001</v>
      </c>
      <c r="V193">
        <f>INDEX(script.out!J:J,results.txt!$M193)</f>
        <v>177.46600000000001</v>
      </c>
      <c r="W193">
        <f>INDEX(script.out!K:K,results.txt!$M193)</f>
        <v>496.82434000000001</v>
      </c>
      <c r="X193" t="str">
        <f>INDEX(script.out!L:L,results.txt!$M193)</f>
        <v>}</v>
      </c>
      <c r="Y193" t="str">
        <f>INDEX(script.out!M:M,results.txt!$M193)</f>
        <v>{</v>
      </c>
      <c r="Z193">
        <f>INDEX(script.out!N:N,results.txt!$M193)</f>
        <v>21.265546792877501</v>
      </c>
      <c r="AA193">
        <f>INDEX(script.out!O:O,results.txt!$M193)</f>
        <v>14</v>
      </c>
      <c r="AB193">
        <f>INDEX(script.out!P:P,results.txt!$M193)</f>
        <v>2817.04</v>
      </c>
      <c r="AC193" t="str">
        <f>INDEX(script.out!Q:Q,results.txt!$M193)</f>
        <v>}</v>
      </c>
      <c r="AD193">
        <f t="shared" si="2"/>
        <v>1</v>
      </c>
    </row>
    <row r="194" spans="1:30" x14ac:dyDescent="0.25">
      <c r="A194" s="12" t="s">
        <v>2</v>
      </c>
      <c r="B194" s="12">
        <v>-3</v>
      </c>
      <c r="C194" s="12">
        <v>1.0524800000000001</v>
      </c>
      <c r="D194" s="12">
        <v>0.10301200000000001</v>
      </c>
      <c r="E194" s="12">
        <v>0.63381600000000005</v>
      </c>
      <c r="F194" s="12">
        <v>-3</v>
      </c>
      <c r="G194" s="12">
        <v>66.500600000000006</v>
      </c>
      <c r="H194" s="12">
        <v>36</v>
      </c>
      <c r="I194" s="12">
        <v>130.92699999999999</v>
      </c>
      <c r="J194" s="12" t="s">
        <v>3</v>
      </c>
      <c r="K194" s="12">
        <v>0</v>
      </c>
      <c r="M194">
        <f>MATCH(C194,script.out!B:B,0)</f>
        <v>853</v>
      </c>
      <c r="N194">
        <f>INDEX(script.out!B:B,results.txt!$M194)</f>
        <v>1.0524800000000001</v>
      </c>
      <c r="O194">
        <f>INDEX(script.out!C:C,results.txt!$M194)</f>
        <v>0.10301200000000001</v>
      </c>
      <c r="P194">
        <f>INDEX(script.out!D:D,results.txt!$M194)</f>
        <v>0.63381600000000005</v>
      </c>
      <c r="Q194">
        <f>INDEX(script.out!E:E,results.txt!$M194)</f>
        <v>66.500597211074904</v>
      </c>
      <c r="R194">
        <f>INDEX(script.out!F:F,results.txt!$M194)</f>
        <v>36</v>
      </c>
      <c r="S194">
        <f>INDEX(script.out!G:G,results.txt!$M194)</f>
        <v>130.92688761493699</v>
      </c>
      <c r="T194" t="str">
        <f>INDEX(script.out!H:H,results.txt!$M194)</f>
        <v>{</v>
      </c>
      <c r="U194">
        <f>INDEX(script.out!I:I,results.txt!$M194)</f>
        <v>1.14198</v>
      </c>
      <c r="V194">
        <f>INDEX(script.out!J:J,results.txt!$M194)</f>
        <v>151.506</v>
      </c>
      <c r="W194">
        <f>INDEX(script.out!K:K,results.txt!$M194)</f>
        <v>383.95143999999999</v>
      </c>
      <c r="X194" t="str">
        <f>INDEX(script.out!L:L,results.txt!$M194)</f>
        <v>}</v>
      </c>
      <c r="Y194" t="str">
        <f>INDEX(script.out!M:M,results.txt!$M194)</f>
        <v>{</v>
      </c>
      <c r="Z194">
        <f>INDEX(script.out!N:N,results.txt!$M194)</f>
        <v>18.1547898324282</v>
      </c>
      <c r="AA194">
        <f>INDEX(script.out!O:O,results.txt!$M194)</f>
        <v>14</v>
      </c>
      <c r="AB194">
        <f>INDEX(script.out!P:P,results.txt!$M194)</f>
        <v>3123.55</v>
      </c>
      <c r="AC194" t="str">
        <f>INDEX(script.out!Q:Q,results.txt!$M194)</f>
        <v>}</v>
      </c>
      <c r="AD194">
        <f t="shared" si="2"/>
        <v>1</v>
      </c>
    </row>
    <row r="195" spans="1:30" x14ac:dyDescent="0.25">
      <c r="A195" s="12" t="s">
        <v>2</v>
      </c>
      <c r="B195" s="12">
        <v>-3</v>
      </c>
      <c r="C195" s="12">
        <v>0.47007399999999999</v>
      </c>
      <c r="D195" s="12">
        <v>-1.66724E-2</v>
      </c>
      <c r="E195" s="12">
        <v>0.13294900000000001</v>
      </c>
      <c r="F195" s="12">
        <v>-3</v>
      </c>
      <c r="G195" s="12">
        <v>0.96819299999999997</v>
      </c>
      <c r="H195" s="12">
        <v>144</v>
      </c>
      <c r="I195" s="12">
        <v>4.83385</v>
      </c>
      <c r="J195" s="12" t="s">
        <v>3</v>
      </c>
      <c r="K195" s="12">
        <v>1</v>
      </c>
      <c r="M195">
        <f>MATCH(C195,script.out!B:B,0)</f>
        <v>854</v>
      </c>
      <c r="N195">
        <f>INDEX(script.out!B:B,results.txt!$M195)</f>
        <v>0.47007399999999999</v>
      </c>
      <c r="O195">
        <f>INDEX(script.out!C:C,results.txt!$M195)</f>
        <v>-1.66724E-2</v>
      </c>
      <c r="P195">
        <f>INDEX(script.out!D:D,results.txt!$M195)</f>
        <v>0.13294900000000001</v>
      </c>
      <c r="Q195">
        <f>INDEX(script.out!E:E,results.txt!$M195)</f>
        <v>0.96819261500471698</v>
      </c>
      <c r="R195">
        <f>INDEX(script.out!F:F,results.txt!$M195)</f>
        <v>144</v>
      </c>
      <c r="S195">
        <f>INDEX(script.out!G:G,results.txt!$M195)</f>
        <v>4.8338540071307898</v>
      </c>
      <c r="T195" t="str">
        <f>INDEX(script.out!H:H,results.txt!$M195)</f>
        <v>{</v>
      </c>
      <c r="U195">
        <f>INDEX(script.out!I:I,results.txt!$M195)</f>
        <v>0.67605899999999997</v>
      </c>
      <c r="V195">
        <f>INDEX(script.out!J:J,results.txt!$M195)</f>
        <v>91.663799999999995</v>
      </c>
      <c r="W195">
        <f>INDEX(script.out!K:K,results.txt!$M195)</f>
        <v>88.439909999999998</v>
      </c>
      <c r="X195" t="str">
        <f>INDEX(script.out!L:L,results.txt!$M195)</f>
        <v>}</v>
      </c>
      <c r="Y195" t="str">
        <f>INDEX(script.out!M:M,results.txt!$M195)</f>
        <v>{</v>
      </c>
      <c r="Z195">
        <f>INDEX(script.out!N:N,results.txt!$M195)</f>
        <v>10.98396779165</v>
      </c>
      <c r="AA195">
        <f>INDEX(script.out!O:O,results.txt!$M195)</f>
        <v>20</v>
      </c>
      <c r="AB195">
        <f>INDEX(script.out!P:P,results.txt!$M195)</f>
        <v>6497.51</v>
      </c>
      <c r="AC195" t="str">
        <f>INDEX(script.out!Q:Q,results.txt!$M195)</f>
        <v>}</v>
      </c>
      <c r="AD195">
        <f t="shared" si="2"/>
        <v>1</v>
      </c>
    </row>
    <row r="196" spans="1:30" x14ac:dyDescent="0.25">
      <c r="A196" s="12" t="s">
        <v>2</v>
      </c>
      <c r="B196" s="12">
        <v>-3</v>
      </c>
      <c r="C196" s="12">
        <v>1.00946</v>
      </c>
      <c r="D196" s="12">
        <v>-2.2982200000000001E-2</v>
      </c>
      <c r="E196" s="12">
        <v>0.61812</v>
      </c>
      <c r="F196" s="12">
        <v>-3</v>
      </c>
      <c r="G196" s="12">
        <v>0.36713899999999999</v>
      </c>
      <c r="H196" s="12">
        <v>81</v>
      </c>
      <c r="I196" s="12">
        <v>282.44799999999998</v>
      </c>
      <c r="J196" s="12" t="s">
        <v>3</v>
      </c>
      <c r="K196" s="12">
        <v>1</v>
      </c>
      <c r="M196">
        <f>MATCH(C196,script.out!B:B,0)</f>
        <v>855</v>
      </c>
      <c r="N196">
        <f>INDEX(script.out!B:B,results.txt!$M196)</f>
        <v>1.00946</v>
      </c>
      <c r="O196">
        <f>INDEX(script.out!C:C,results.txt!$M196)</f>
        <v>-2.2982200000000001E-2</v>
      </c>
      <c r="P196">
        <f>INDEX(script.out!D:D,results.txt!$M196)</f>
        <v>0.61812</v>
      </c>
      <c r="Q196">
        <f>INDEX(script.out!E:E,results.txt!$M196)</f>
        <v>0.36713874468711</v>
      </c>
      <c r="R196">
        <f>INDEX(script.out!F:F,results.txt!$M196)</f>
        <v>81</v>
      </c>
      <c r="S196">
        <f>INDEX(script.out!G:G,results.txt!$M196)</f>
        <v>282.44808217376601</v>
      </c>
      <c r="T196" t="str">
        <f>INDEX(script.out!H:H,results.txt!$M196)</f>
        <v>{</v>
      </c>
      <c r="U196">
        <f>INDEX(script.out!I:I,results.txt!$M196)</f>
        <v>1.1075600000000001</v>
      </c>
      <c r="V196">
        <f>INDEX(script.out!J:J,results.txt!$M196)</f>
        <v>88.508899999999997</v>
      </c>
      <c r="W196">
        <f>INDEX(script.out!K:K,results.txt!$M196)</f>
        <v>374.69080000000002</v>
      </c>
      <c r="X196" t="str">
        <f>INDEX(script.out!L:L,results.txt!$M196)</f>
        <v>}</v>
      </c>
      <c r="Y196" t="str">
        <f>INDEX(script.out!M:M,results.txt!$M196)</f>
        <v>{</v>
      </c>
      <c r="Z196">
        <f>INDEX(script.out!N:N,results.txt!$M196)</f>
        <v>10.605919751029001</v>
      </c>
      <c r="AA196">
        <f>INDEX(script.out!O:O,results.txt!$M196)</f>
        <v>17</v>
      </c>
      <c r="AB196">
        <f>INDEX(script.out!P:P,results.txt!$M196)</f>
        <v>1165.74</v>
      </c>
      <c r="AC196" t="str">
        <f>INDEX(script.out!Q:Q,results.txt!$M196)</f>
        <v>}</v>
      </c>
      <c r="AD196">
        <f t="shared" ref="AD196:AD259" si="3">IF(A196="all",1)+IF(A196="nonDominatedFront",2)</f>
        <v>1</v>
      </c>
    </row>
    <row r="197" spans="1:30" x14ac:dyDescent="0.25">
      <c r="A197" s="12" t="s">
        <v>2</v>
      </c>
      <c r="B197" s="12">
        <v>-3</v>
      </c>
      <c r="C197" s="12">
        <v>1.08623</v>
      </c>
      <c r="D197" s="12">
        <v>0.34494399999999997</v>
      </c>
      <c r="E197" s="12">
        <v>0.58625400000000005</v>
      </c>
      <c r="F197" s="12">
        <v>-3</v>
      </c>
      <c r="G197" s="12">
        <v>513.02300000000002</v>
      </c>
      <c r="H197" s="12">
        <v>25</v>
      </c>
      <c r="I197" s="12">
        <v>2.7747299999999999E-2</v>
      </c>
      <c r="J197" s="12" t="s">
        <v>3</v>
      </c>
      <c r="K197" s="12">
        <v>0</v>
      </c>
      <c r="M197">
        <f>MATCH(C197,script.out!B:B,0)</f>
        <v>856</v>
      </c>
      <c r="N197">
        <f>INDEX(script.out!B:B,results.txt!$M197)</f>
        <v>1.08623</v>
      </c>
      <c r="O197">
        <f>INDEX(script.out!C:C,results.txt!$M197)</f>
        <v>0.34494399999999997</v>
      </c>
      <c r="P197">
        <f>INDEX(script.out!D:D,results.txt!$M197)</f>
        <v>0.58625400000000005</v>
      </c>
      <c r="Q197">
        <f>INDEX(script.out!E:E,results.txt!$M197)</f>
        <v>513.02279756930602</v>
      </c>
      <c r="R197">
        <f>INDEX(script.out!F:F,results.txt!$M197)</f>
        <v>25</v>
      </c>
      <c r="S197">
        <f>INDEX(script.out!G:G,results.txt!$M197)</f>
        <v>2.7747344717583E-2</v>
      </c>
      <c r="T197" t="str">
        <f>INDEX(script.out!H:H,results.txt!$M197)</f>
        <v>{</v>
      </c>
      <c r="U197">
        <f>INDEX(script.out!I:I,results.txt!$M197)</f>
        <v>1.1689799999999999</v>
      </c>
      <c r="V197">
        <f>INDEX(script.out!J:J,results.txt!$M197)</f>
        <v>272.47199999999998</v>
      </c>
      <c r="W197">
        <f>INDEX(script.out!K:K,results.txt!$M197)</f>
        <v>355.88986</v>
      </c>
      <c r="X197" t="str">
        <f>INDEX(script.out!L:L,results.txt!$M197)</f>
        <v>}</v>
      </c>
      <c r="Y197" t="str">
        <f>INDEX(script.out!M:M,results.txt!$M197)</f>
        <v>{</v>
      </c>
      <c r="Z197">
        <f>INDEX(script.out!N:N,results.txt!$M197)</f>
        <v>32.650006568857897</v>
      </c>
      <c r="AA197">
        <f>INDEX(script.out!O:O,results.txt!$M197)</f>
        <v>13</v>
      </c>
      <c r="AB197">
        <f>INDEX(script.out!P:P,results.txt!$M197)</f>
        <v>7239.2</v>
      </c>
      <c r="AC197" t="str">
        <f>INDEX(script.out!Q:Q,results.txt!$M197)</f>
        <v>}</v>
      </c>
      <c r="AD197">
        <f t="shared" si="3"/>
        <v>1</v>
      </c>
    </row>
    <row r="198" spans="1:30" x14ac:dyDescent="0.25">
      <c r="A198" s="12" t="s">
        <v>2</v>
      </c>
      <c r="B198" s="12">
        <v>-3</v>
      </c>
      <c r="C198" s="12">
        <v>1.04027</v>
      </c>
      <c r="D198" s="12">
        <v>8.7692999999999993E-2</v>
      </c>
      <c r="E198" s="12">
        <v>0.63211200000000001</v>
      </c>
      <c r="F198" s="12">
        <v>-3</v>
      </c>
      <c r="G198" s="12">
        <v>52.373600000000003</v>
      </c>
      <c r="H198" s="12">
        <v>49</v>
      </c>
      <c r="I198" s="12">
        <v>181.053</v>
      </c>
      <c r="J198" s="12" t="s">
        <v>3</v>
      </c>
      <c r="K198" s="12">
        <v>1</v>
      </c>
      <c r="M198">
        <f>MATCH(C198,script.out!B:B,0)</f>
        <v>857</v>
      </c>
      <c r="N198">
        <f>INDEX(script.out!B:B,results.txt!$M198)</f>
        <v>1.04027</v>
      </c>
      <c r="O198">
        <f>INDEX(script.out!C:C,results.txt!$M198)</f>
        <v>8.7692999999999993E-2</v>
      </c>
      <c r="P198">
        <f>INDEX(script.out!D:D,results.txt!$M198)</f>
        <v>0.63211200000000001</v>
      </c>
      <c r="Q198">
        <f>INDEX(script.out!E:E,results.txt!$M198)</f>
        <v>52.373600920053498</v>
      </c>
      <c r="R198">
        <f>INDEX(script.out!F:F,results.txt!$M198)</f>
        <v>49</v>
      </c>
      <c r="S198">
        <f>INDEX(script.out!G:G,results.txt!$M198)</f>
        <v>181.052876442859</v>
      </c>
      <c r="T198" t="str">
        <f>INDEX(script.out!H:H,results.txt!$M198)</f>
        <v>{</v>
      </c>
      <c r="U198">
        <f>INDEX(script.out!I:I,results.txt!$M198)</f>
        <v>1.1322099999999999</v>
      </c>
      <c r="V198">
        <f>INDEX(script.out!J:J,results.txt!$M198)</f>
        <v>143.84649999999999</v>
      </c>
      <c r="W198">
        <f>INDEX(script.out!K:K,results.txt!$M198)</f>
        <v>382.94607999999999</v>
      </c>
      <c r="X198" t="str">
        <f>INDEX(script.out!L:L,results.txt!$M198)</f>
        <v>}</v>
      </c>
      <c r="Y198" t="str">
        <f>INDEX(script.out!M:M,results.txt!$M198)</f>
        <v>{</v>
      </c>
      <c r="Z198">
        <f>INDEX(script.out!N:N,results.txt!$M198)</f>
        <v>17.236960751589901</v>
      </c>
      <c r="AA198">
        <f>INDEX(script.out!O:O,results.txt!$M198)</f>
        <v>15</v>
      </c>
      <c r="AB198">
        <f>INDEX(script.out!P:P,results.txt!$M198)</f>
        <v>2388.71</v>
      </c>
      <c r="AC198" t="str">
        <f>INDEX(script.out!Q:Q,results.txt!$M198)</f>
        <v>}</v>
      </c>
      <c r="AD198">
        <f t="shared" si="3"/>
        <v>1</v>
      </c>
    </row>
    <row r="199" spans="1:30" x14ac:dyDescent="0.25">
      <c r="A199" s="12" t="s">
        <v>2</v>
      </c>
      <c r="B199" s="12">
        <v>-3</v>
      </c>
      <c r="C199" s="12">
        <v>9.8384399999999997E-2</v>
      </c>
      <c r="D199" s="12">
        <v>3.41978E-4</v>
      </c>
      <c r="E199" s="12">
        <v>0.22852900000000001</v>
      </c>
      <c r="F199" s="12">
        <v>-3</v>
      </c>
      <c r="G199" s="12">
        <v>4.0135100000000001</v>
      </c>
      <c r="H199" s="12">
        <v>121</v>
      </c>
      <c r="I199" s="12">
        <v>123.22199999999999</v>
      </c>
      <c r="J199" s="12" t="s">
        <v>3</v>
      </c>
      <c r="K199" s="12">
        <v>0</v>
      </c>
      <c r="M199">
        <f>MATCH(C199,script.out!B:B,0)</f>
        <v>858</v>
      </c>
      <c r="N199">
        <f>INDEX(script.out!B:B,results.txt!$M199)</f>
        <v>9.8384399999999997E-2</v>
      </c>
      <c r="O199">
        <f>INDEX(script.out!C:C,results.txt!$M199)</f>
        <v>3.41978E-4</v>
      </c>
      <c r="P199">
        <f>INDEX(script.out!D:D,results.txt!$M199)</f>
        <v>0.22852900000000001</v>
      </c>
      <c r="Q199">
        <f>INDEX(script.out!E:E,results.txt!$M199)</f>
        <v>4.0135092710057299</v>
      </c>
      <c r="R199">
        <f>INDEX(script.out!F:F,results.txt!$M199)</f>
        <v>121</v>
      </c>
      <c r="S199">
        <f>INDEX(script.out!G:G,results.txt!$M199)</f>
        <v>123.22155643535299</v>
      </c>
      <c r="T199" t="str">
        <f>INDEX(script.out!H:H,results.txt!$M199)</f>
        <v>{</v>
      </c>
      <c r="U199">
        <f>INDEX(script.out!I:I,results.txt!$M199)</f>
        <v>0.37870749999999997</v>
      </c>
      <c r="V199">
        <f>INDEX(script.out!J:J,results.txt!$M199)</f>
        <v>100.17098900000001</v>
      </c>
      <c r="W199">
        <f>INDEX(script.out!K:K,results.txt!$M199)</f>
        <v>144.83211</v>
      </c>
      <c r="X199" t="str">
        <f>INDEX(script.out!L:L,results.txt!$M199)</f>
        <v>}</v>
      </c>
      <c r="Y199" t="str">
        <f>INDEX(script.out!M:M,results.txt!$M199)</f>
        <v>{</v>
      </c>
      <c r="Z199">
        <f>INDEX(script.out!N:N,results.txt!$M199)</f>
        <v>12.003374470987801</v>
      </c>
      <c r="AA199">
        <f>INDEX(script.out!O:O,results.txt!$M199)</f>
        <v>19</v>
      </c>
      <c r="AB199">
        <f>INDEX(script.out!P:P,results.txt!$M199)</f>
        <v>3248.31</v>
      </c>
      <c r="AC199" t="str">
        <f>INDEX(script.out!Q:Q,results.txt!$M199)</f>
        <v>}</v>
      </c>
      <c r="AD199">
        <f t="shared" si="3"/>
        <v>1</v>
      </c>
    </row>
    <row r="200" spans="1:30" x14ac:dyDescent="0.25">
      <c r="A200" s="12" t="s">
        <v>2</v>
      </c>
      <c r="B200" s="12">
        <v>-3</v>
      </c>
      <c r="C200" s="12">
        <v>0.81525999999999998</v>
      </c>
      <c r="D200" s="12">
        <v>0.130215</v>
      </c>
      <c r="E200" s="12">
        <v>0.38973999999999998</v>
      </c>
      <c r="F200" s="12">
        <v>-3</v>
      </c>
      <c r="G200" s="12">
        <v>95.739199999999997</v>
      </c>
      <c r="H200" s="12">
        <v>56.25</v>
      </c>
      <c r="I200" s="12">
        <v>31.198499999999999</v>
      </c>
      <c r="J200" s="12" t="s">
        <v>3</v>
      </c>
      <c r="K200" s="12">
        <v>1</v>
      </c>
      <c r="M200">
        <f>MATCH(C200,script.out!B:B,0)</f>
        <v>859</v>
      </c>
      <c r="N200">
        <f>INDEX(script.out!B:B,results.txt!$M200)</f>
        <v>0.81525999999999998</v>
      </c>
      <c r="O200">
        <f>INDEX(script.out!C:C,results.txt!$M200)</f>
        <v>0.130215</v>
      </c>
      <c r="P200">
        <f>INDEX(script.out!D:D,results.txt!$M200)</f>
        <v>0.38973999999999998</v>
      </c>
      <c r="Q200">
        <f>INDEX(script.out!E:E,results.txt!$M200)</f>
        <v>95.739217958073496</v>
      </c>
      <c r="R200">
        <f>INDEX(script.out!F:F,results.txt!$M200)</f>
        <v>56.25</v>
      </c>
      <c r="S200">
        <f>INDEX(script.out!G:G,results.txt!$M200)</f>
        <v>31.198498877087601</v>
      </c>
      <c r="T200" t="str">
        <f>INDEX(script.out!H:H,results.txt!$M200)</f>
        <v>{</v>
      </c>
      <c r="U200">
        <f>INDEX(script.out!I:I,results.txt!$M200)</f>
        <v>0.95220000000000005</v>
      </c>
      <c r="V200">
        <f>INDEX(script.out!J:J,results.txt!$M200)</f>
        <v>165.10749999999999</v>
      </c>
      <c r="W200">
        <f>INDEX(script.out!K:K,results.txt!$M200)</f>
        <v>239.94659999999999</v>
      </c>
      <c r="X200" t="str">
        <f>INDEX(script.out!L:L,results.txt!$M200)</f>
        <v>}</v>
      </c>
      <c r="Y200" t="str">
        <f>INDEX(script.out!M:M,results.txt!$M200)</f>
        <v>{</v>
      </c>
      <c r="Z200">
        <f>INDEX(script.out!N:N,results.txt!$M200)</f>
        <v>19.784641943273801</v>
      </c>
      <c r="AA200">
        <f>INDEX(script.out!O:O,results.txt!$M200)</f>
        <v>15.5</v>
      </c>
      <c r="AB200">
        <f>INDEX(script.out!P:P,results.txt!$M200)</f>
        <v>5261.27</v>
      </c>
      <c r="AC200" t="str">
        <f>INDEX(script.out!Q:Q,results.txt!$M200)</f>
        <v>}</v>
      </c>
      <c r="AD200">
        <f t="shared" si="3"/>
        <v>1</v>
      </c>
    </row>
    <row r="201" spans="1:30" x14ac:dyDescent="0.25">
      <c r="A201" s="12" t="s">
        <v>2</v>
      </c>
      <c r="B201" s="12">
        <v>-3</v>
      </c>
      <c r="C201" s="12">
        <v>1.03488</v>
      </c>
      <c r="D201" s="12">
        <v>0.151861</v>
      </c>
      <c r="E201" s="12">
        <v>0.73074399999999995</v>
      </c>
      <c r="F201" s="12">
        <v>-3</v>
      </c>
      <c r="G201" s="12">
        <v>122.801</v>
      </c>
      <c r="H201" s="12">
        <v>36</v>
      </c>
      <c r="I201" s="12">
        <v>129.809</v>
      </c>
      <c r="J201" s="12" t="s">
        <v>3</v>
      </c>
      <c r="K201" s="12">
        <v>1</v>
      </c>
      <c r="M201">
        <f>MATCH(C201,script.out!B:B,0)</f>
        <v>860</v>
      </c>
      <c r="N201">
        <f>INDEX(script.out!B:B,results.txt!$M201)</f>
        <v>1.03488</v>
      </c>
      <c r="O201">
        <f>INDEX(script.out!C:C,results.txt!$M201)</f>
        <v>0.151861</v>
      </c>
      <c r="P201">
        <f>INDEX(script.out!D:D,results.txt!$M201)</f>
        <v>0.73074399999999995</v>
      </c>
      <c r="Q201">
        <f>INDEX(script.out!E:E,results.txt!$M201)</f>
        <v>122.80074137874701</v>
      </c>
      <c r="R201">
        <f>INDEX(script.out!F:F,results.txt!$M201)</f>
        <v>36</v>
      </c>
      <c r="S201">
        <f>INDEX(script.out!G:G,results.txt!$M201)</f>
        <v>129.80887683542801</v>
      </c>
      <c r="T201" t="str">
        <f>INDEX(script.out!H:H,results.txt!$M201)</f>
        <v>{</v>
      </c>
      <c r="U201">
        <f>INDEX(script.out!I:I,results.txt!$M201)</f>
        <v>1.1278999999999999</v>
      </c>
      <c r="V201">
        <f>INDEX(script.out!J:J,results.txt!$M201)</f>
        <v>175.93049999999999</v>
      </c>
      <c r="W201">
        <f>INDEX(script.out!K:K,results.txt!$M201)</f>
        <v>441.13896</v>
      </c>
      <c r="X201" t="str">
        <f>INDEX(script.out!L:L,results.txt!$M201)</f>
        <v>}</v>
      </c>
      <c r="Y201" t="str">
        <f>INDEX(script.out!M:M,results.txt!$M201)</f>
        <v>{</v>
      </c>
      <c r="Z201">
        <f>INDEX(script.out!N:N,results.txt!$M201)</f>
        <v>21.0815495928479</v>
      </c>
      <c r="AA201">
        <f>INDEX(script.out!O:O,results.txt!$M201)</f>
        <v>14</v>
      </c>
      <c r="AB201">
        <f>INDEX(script.out!P:P,results.txt!$M201)</f>
        <v>3141.42</v>
      </c>
      <c r="AC201" t="str">
        <f>INDEX(script.out!Q:Q,results.txt!$M201)</f>
        <v>}</v>
      </c>
      <c r="AD201">
        <f t="shared" si="3"/>
        <v>1</v>
      </c>
    </row>
    <row r="202" spans="1:30" x14ac:dyDescent="0.25">
      <c r="A202" s="12" t="s">
        <v>2</v>
      </c>
      <c r="B202" s="12">
        <v>-3</v>
      </c>
      <c r="C202" s="12">
        <v>0.56704399999999999</v>
      </c>
      <c r="D202" s="12">
        <v>0.12558900000000001</v>
      </c>
      <c r="E202" s="12">
        <v>0.26850200000000002</v>
      </c>
      <c r="F202" s="12">
        <v>-3</v>
      </c>
      <c r="G202" s="12">
        <v>90.392099999999999</v>
      </c>
      <c r="H202" s="12">
        <v>72.25</v>
      </c>
      <c r="I202" s="12">
        <v>6.8784799999999997</v>
      </c>
      <c r="J202" s="12" t="s">
        <v>3</v>
      </c>
      <c r="K202" s="12">
        <v>1</v>
      </c>
      <c r="M202">
        <f>MATCH(C202,script.out!B:B,0)</f>
        <v>861</v>
      </c>
      <c r="N202">
        <f>INDEX(script.out!B:B,results.txt!$M202)</f>
        <v>0.56704399999999999</v>
      </c>
      <c r="O202">
        <f>INDEX(script.out!C:C,results.txt!$M202)</f>
        <v>0.12558900000000001</v>
      </c>
      <c r="P202">
        <f>INDEX(script.out!D:D,results.txt!$M202)</f>
        <v>0.26850200000000002</v>
      </c>
      <c r="Q202">
        <f>INDEX(script.out!E:E,results.txt!$M202)</f>
        <v>90.392134344463301</v>
      </c>
      <c r="R202">
        <f>INDEX(script.out!F:F,results.txt!$M202)</f>
        <v>72.25</v>
      </c>
      <c r="S202">
        <f>INDEX(script.out!G:G,results.txt!$M202)</f>
        <v>6.8784762499530796</v>
      </c>
      <c r="T202" t="str">
        <f>INDEX(script.out!H:H,results.txt!$M202)</f>
        <v>{</v>
      </c>
      <c r="U202">
        <f>INDEX(script.out!I:I,results.txt!$M202)</f>
        <v>0.75363500000000005</v>
      </c>
      <c r="V202">
        <f>INDEX(script.out!J:J,results.txt!$M202)</f>
        <v>162.7945</v>
      </c>
      <c r="W202">
        <f>INDEX(script.out!K:K,results.txt!$M202)</f>
        <v>168.41618</v>
      </c>
      <c r="X202" t="str">
        <f>INDEX(script.out!L:L,results.txt!$M202)</f>
        <v>}</v>
      </c>
      <c r="Y202" t="str">
        <f>INDEX(script.out!M:M,results.txt!$M202)</f>
        <v>{</v>
      </c>
      <c r="Z202">
        <f>INDEX(script.out!N:N,results.txt!$M202)</f>
        <v>19.507477811936401</v>
      </c>
      <c r="AA202">
        <f>INDEX(script.out!O:O,results.txt!$M202)</f>
        <v>16.5</v>
      </c>
      <c r="AB202">
        <f>INDEX(script.out!P:P,results.txt!$M202)</f>
        <v>8257.2800000000007</v>
      </c>
      <c r="AC202" t="str">
        <f>INDEX(script.out!Q:Q,results.txt!$M202)</f>
        <v>}</v>
      </c>
      <c r="AD202">
        <f t="shared" si="3"/>
        <v>1</v>
      </c>
    </row>
    <row r="203" spans="1:30" x14ac:dyDescent="0.25">
      <c r="A203" s="12" t="s">
        <v>2</v>
      </c>
      <c r="B203" s="12">
        <v>-3</v>
      </c>
      <c r="C203" s="12">
        <v>1.0845899999999999</v>
      </c>
      <c r="D203" s="12">
        <v>-7.2388499999999995E-2</v>
      </c>
      <c r="E203" s="12">
        <v>0.62430200000000002</v>
      </c>
      <c r="F203" s="12">
        <v>-3</v>
      </c>
      <c r="G203" s="12">
        <v>5.5423999999999998</v>
      </c>
      <c r="H203" s="12">
        <v>132.25</v>
      </c>
      <c r="I203" s="12">
        <v>331.142</v>
      </c>
      <c r="J203" s="12" t="s">
        <v>3</v>
      </c>
      <c r="K203" s="12">
        <v>1</v>
      </c>
      <c r="M203">
        <f>MATCH(C203,script.out!B:B,0)</f>
        <v>862</v>
      </c>
      <c r="N203">
        <f>INDEX(script.out!B:B,results.txt!$M203)</f>
        <v>1.0845899999999999</v>
      </c>
      <c r="O203">
        <f>INDEX(script.out!C:C,results.txt!$M203)</f>
        <v>-7.2388499999999995E-2</v>
      </c>
      <c r="P203">
        <f>INDEX(script.out!D:D,results.txt!$M203)</f>
        <v>0.62430200000000002</v>
      </c>
      <c r="Q203">
        <f>INDEX(script.out!E:E,results.txt!$M203)</f>
        <v>5.5424003930070702</v>
      </c>
      <c r="R203">
        <f>INDEX(script.out!F:F,results.txt!$M203)</f>
        <v>132.25</v>
      </c>
      <c r="S203">
        <f>INDEX(script.out!G:G,results.txt!$M203)</f>
        <v>331.142275702007</v>
      </c>
      <c r="T203" t="str">
        <f>INDEX(script.out!H:H,results.txt!$M203)</f>
        <v>{</v>
      </c>
      <c r="U203">
        <f>INDEX(script.out!I:I,results.txt!$M203)</f>
        <v>1.16767</v>
      </c>
      <c r="V203">
        <f>INDEX(script.out!J:J,results.txt!$M203)</f>
        <v>63.805750000000003</v>
      </c>
      <c r="W203">
        <f>INDEX(script.out!K:K,results.txt!$M203)</f>
        <v>378.33818000000002</v>
      </c>
      <c r="X203" t="str">
        <f>INDEX(script.out!L:L,results.txt!$M203)</f>
        <v>}</v>
      </c>
      <c r="Y203" t="str">
        <f>INDEX(script.out!M:M,results.txt!$M203)</f>
        <v>{</v>
      </c>
      <c r="Z203">
        <f>INDEX(script.out!N:N,results.txt!$M203)</f>
        <v>7.6457696814017799</v>
      </c>
      <c r="AA203">
        <f>INDEX(script.out!O:O,results.txt!$M203)</f>
        <v>19.5</v>
      </c>
      <c r="AB203">
        <f>INDEX(script.out!P:P,results.txt!$M203)</f>
        <v>657.98</v>
      </c>
      <c r="AC203" t="str">
        <f>INDEX(script.out!Q:Q,results.txt!$M203)</f>
        <v>}</v>
      </c>
      <c r="AD203">
        <f t="shared" si="3"/>
        <v>1</v>
      </c>
    </row>
    <row r="204" spans="1:30" x14ac:dyDescent="0.25">
      <c r="A204" s="12" t="s">
        <v>2</v>
      </c>
      <c r="B204" s="12">
        <v>-3</v>
      </c>
      <c r="C204" s="12">
        <v>0.96409500000000004</v>
      </c>
      <c r="D204" s="12">
        <v>0.28303400000000001</v>
      </c>
      <c r="E204" s="12">
        <v>0.62958000000000003</v>
      </c>
      <c r="F204" s="12">
        <v>-3</v>
      </c>
      <c r="G204" s="12">
        <v>358.75</v>
      </c>
      <c r="H204" s="12">
        <v>42.25</v>
      </c>
      <c r="I204" s="12">
        <v>48.370699999999999</v>
      </c>
      <c r="J204" s="12" t="s">
        <v>3</v>
      </c>
      <c r="K204" s="12">
        <v>1</v>
      </c>
      <c r="M204">
        <f>MATCH(C204,script.out!B:B,0)</f>
        <v>863</v>
      </c>
      <c r="N204">
        <f>INDEX(script.out!B:B,results.txt!$M204)</f>
        <v>0.96409500000000004</v>
      </c>
      <c r="O204">
        <f>INDEX(script.out!C:C,results.txt!$M204)</f>
        <v>0.28303400000000001</v>
      </c>
      <c r="P204">
        <f>INDEX(script.out!D:D,results.txt!$M204)</f>
        <v>0.62958000000000003</v>
      </c>
      <c r="Q204">
        <f>INDEX(script.out!E:E,results.txt!$M204)</f>
        <v>358.75028695171198</v>
      </c>
      <c r="R204">
        <f>INDEX(script.out!F:F,results.txt!$M204)</f>
        <v>42.25</v>
      </c>
      <c r="S204">
        <f>INDEX(script.out!G:G,results.txt!$M204)</f>
        <v>48.3706911735785</v>
      </c>
      <c r="T204" t="str">
        <f>INDEX(script.out!H:H,results.txt!$M204)</f>
        <v>{</v>
      </c>
      <c r="U204">
        <f>INDEX(script.out!I:I,results.txt!$M204)</f>
        <v>1.0712759999999999</v>
      </c>
      <c r="V204">
        <f>INDEX(script.out!J:J,results.txt!$M204)</f>
        <v>241.517</v>
      </c>
      <c r="W204">
        <f>INDEX(script.out!K:K,results.txt!$M204)</f>
        <v>381.4522</v>
      </c>
      <c r="X204" t="str">
        <f>INDEX(script.out!L:L,results.txt!$M204)</f>
        <v>}</v>
      </c>
      <c r="Y204" t="str">
        <f>INDEX(script.out!M:M,results.txt!$M204)</f>
        <v>{</v>
      </c>
      <c r="Z204">
        <f>INDEX(script.out!N:N,results.txt!$M204)</f>
        <v>28.940704499878301</v>
      </c>
      <c r="AA204">
        <f>INDEX(script.out!O:O,results.txt!$M204)</f>
        <v>14.5</v>
      </c>
      <c r="AB204">
        <f>INDEX(script.out!P:P,results.txt!$M204)</f>
        <v>4761.46</v>
      </c>
      <c r="AC204" t="str">
        <f>INDEX(script.out!Q:Q,results.txt!$M204)</f>
        <v>}</v>
      </c>
      <c r="AD204">
        <f t="shared" si="3"/>
        <v>1</v>
      </c>
    </row>
    <row r="205" spans="1:30" x14ac:dyDescent="0.25">
      <c r="A205" s="12" t="s">
        <v>2</v>
      </c>
      <c r="B205" s="12">
        <v>-3</v>
      </c>
      <c r="C205" s="12">
        <v>0.50392499999999996</v>
      </c>
      <c r="D205" s="12">
        <v>1.91284E-2</v>
      </c>
      <c r="E205" s="12">
        <v>0.26078800000000002</v>
      </c>
      <c r="F205" s="12">
        <v>-3</v>
      </c>
      <c r="G205" s="12">
        <v>9.7903400000000005</v>
      </c>
      <c r="H205" s="12">
        <v>132.25</v>
      </c>
      <c r="I205" s="12">
        <v>61.866599999999998</v>
      </c>
      <c r="J205" s="12" t="s">
        <v>3</v>
      </c>
      <c r="K205" s="12">
        <v>1</v>
      </c>
      <c r="M205">
        <f>MATCH(C205,script.out!B:B,0)</f>
        <v>864</v>
      </c>
      <c r="N205">
        <f>INDEX(script.out!B:B,results.txt!$M205)</f>
        <v>0.50392499999999996</v>
      </c>
      <c r="O205">
        <f>INDEX(script.out!C:C,results.txt!$M205)</f>
        <v>1.91284E-2</v>
      </c>
      <c r="P205">
        <f>INDEX(script.out!D:D,results.txt!$M205)</f>
        <v>0.26078800000000002</v>
      </c>
      <c r="Q205">
        <f>INDEX(script.out!E:E,results.txt!$M205)</f>
        <v>9.7903415454339804</v>
      </c>
      <c r="R205">
        <f>INDEX(script.out!F:F,results.txt!$M205)</f>
        <v>132.25</v>
      </c>
      <c r="S205">
        <f>INDEX(script.out!G:G,results.txt!$M205)</f>
        <v>61.866628984049498</v>
      </c>
      <c r="T205" t="str">
        <f>INDEX(script.out!H:H,results.txt!$M205)</f>
        <v>{</v>
      </c>
      <c r="U205">
        <f>INDEX(script.out!I:I,results.txt!$M205)</f>
        <v>0.70313999999999999</v>
      </c>
      <c r="V205">
        <f>INDEX(script.out!J:J,results.txt!$M205)</f>
        <v>109.5642</v>
      </c>
      <c r="W205">
        <f>INDEX(script.out!K:K,results.txt!$M205)</f>
        <v>163.86492000000001</v>
      </c>
      <c r="X205" t="str">
        <f>INDEX(script.out!L:L,results.txt!$M205)</f>
        <v>}</v>
      </c>
      <c r="Y205" t="str">
        <f>INDEX(script.out!M:M,results.txt!$M205)</f>
        <v>{</v>
      </c>
      <c r="Z205">
        <f>INDEX(script.out!N:N,results.txt!$M205)</f>
        <v>13.128952148153401</v>
      </c>
      <c r="AA205">
        <f>INDEX(script.out!O:O,results.txt!$M205)</f>
        <v>19.5</v>
      </c>
      <c r="AB205">
        <f>INDEX(script.out!P:P,results.txt!$M205)</f>
        <v>4429.08</v>
      </c>
      <c r="AC205" t="str">
        <f>INDEX(script.out!Q:Q,results.txt!$M205)</f>
        <v>}</v>
      </c>
      <c r="AD205">
        <f t="shared" si="3"/>
        <v>1</v>
      </c>
    </row>
    <row r="206" spans="1:30" x14ac:dyDescent="0.25">
      <c r="A206" s="12" t="s">
        <v>2</v>
      </c>
      <c r="B206" s="12">
        <v>-3</v>
      </c>
      <c r="C206" s="12">
        <v>0.36828300000000003</v>
      </c>
      <c r="D206" s="12">
        <v>3.84392E-2</v>
      </c>
      <c r="E206" s="12">
        <v>0.21833900000000001</v>
      </c>
      <c r="F206" s="12">
        <v>-3</v>
      </c>
      <c r="G206" s="12">
        <v>18.369299999999999</v>
      </c>
      <c r="H206" s="12">
        <v>110.25</v>
      </c>
      <c r="I206" s="12">
        <v>9.4589099999999995</v>
      </c>
      <c r="J206" s="12" t="s">
        <v>3</v>
      </c>
      <c r="K206" s="12">
        <v>1</v>
      </c>
      <c r="M206">
        <f>MATCH(C206,script.out!B:B,0)</f>
        <v>865</v>
      </c>
      <c r="N206">
        <f>INDEX(script.out!B:B,results.txt!$M206)</f>
        <v>0.36828300000000003</v>
      </c>
      <c r="O206">
        <f>INDEX(script.out!C:C,results.txt!$M206)</f>
        <v>3.84392E-2</v>
      </c>
      <c r="P206">
        <f>INDEX(script.out!D:D,results.txt!$M206)</f>
        <v>0.21833900000000001</v>
      </c>
      <c r="Q206">
        <f>INDEX(script.out!E:E,results.txt!$M206)</f>
        <v>18.369347102683101</v>
      </c>
      <c r="R206">
        <f>INDEX(script.out!F:F,results.txt!$M206)</f>
        <v>110.25</v>
      </c>
      <c r="S206">
        <f>INDEX(script.out!G:G,results.txt!$M206)</f>
        <v>9.4589109018577506</v>
      </c>
      <c r="T206" t="str">
        <f>INDEX(script.out!H:H,results.txt!$M206)</f>
        <v>{</v>
      </c>
      <c r="U206">
        <f>INDEX(script.out!I:I,results.txt!$M206)</f>
        <v>0.59462599999999999</v>
      </c>
      <c r="V206">
        <f>INDEX(script.out!J:J,results.txt!$M206)</f>
        <v>119.2196</v>
      </c>
      <c r="W206">
        <f>INDEX(script.out!K:K,results.txt!$M206)</f>
        <v>138.82001</v>
      </c>
      <c r="X206" t="str">
        <f>INDEX(script.out!L:L,results.txt!$M206)</f>
        <v>}</v>
      </c>
      <c r="Y206" t="str">
        <f>INDEX(script.out!M:M,results.txt!$M206)</f>
        <v>{</v>
      </c>
      <c r="Z206">
        <f>INDEX(script.out!N:N,results.txt!$M206)</f>
        <v>14.285947631817599</v>
      </c>
      <c r="AA206">
        <f>INDEX(script.out!O:O,results.txt!$M206)</f>
        <v>18.5</v>
      </c>
      <c r="AB206">
        <f>INDEX(script.out!P:P,results.txt!$M206)</f>
        <v>6177.43</v>
      </c>
      <c r="AC206" t="str">
        <f>INDEX(script.out!Q:Q,results.txt!$M206)</f>
        <v>}</v>
      </c>
      <c r="AD206">
        <f t="shared" si="3"/>
        <v>1</v>
      </c>
    </row>
    <row r="207" spans="1:30" x14ac:dyDescent="0.25">
      <c r="A207" s="12" t="s">
        <v>2</v>
      </c>
      <c r="B207" s="12">
        <v>-3</v>
      </c>
      <c r="C207" s="12">
        <v>0.82167699999999999</v>
      </c>
      <c r="D207" s="12">
        <v>0.10097</v>
      </c>
      <c r="E207" s="12">
        <v>0.272318</v>
      </c>
      <c r="F207" s="12">
        <v>-3</v>
      </c>
      <c r="G207" s="12">
        <v>64.520200000000003</v>
      </c>
      <c r="H207" s="12">
        <v>56.25</v>
      </c>
      <c r="I207" s="12">
        <v>3.6185399999999999</v>
      </c>
      <c r="J207" s="12" t="s">
        <v>3</v>
      </c>
      <c r="K207" s="12">
        <v>0</v>
      </c>
      <c r="M207">
        <f>MATCH(C207,script.out!B:B,0)</f>
        <v>866</v>
      </c>
      <c r="N207">
        <f>INDEX(script.out!B:B,results.txt!$M207)</f>
        <v>0.82167699999999999</v>
      </c>
      <c r="O207">
        <f>INDEX(script.out!C:C,results.txt!$M207)</f>
        <v>0.10097</v>
      </c>
      <c r="P207">
        <f>INDEX(script.out!D:D,results.txt!$M207)</f>
        <v>0.272318</v>
      </c>
      <c r="Q207">
        <f>INDEX(script.out!E:E,results.txt!$M207)</f>
        <v>64.520165866671604</v>
      </c>
      <c r="R207">
        <f>INDEX(script.out!F:F,results.txt!$M207)</f>
        <v>56.25</v>
      </c>
      <c r="S207">
        <f>INDEX(script.out!G:G,results.txt!$M207)</f>
        <v>3.6185420334021301</v>
      </c>
      <c r="T207" t="str">
        <f>INDEX(script.out!H:H,results.txt!$M207)</f>
        <v>{</v>
      </c>
      <c r="U207">
        <f>INDEX(script.out!I:I,results.txt!$M207)</f>
        <v>0.957341</v>
      </c>
      <c r="V207">
        <f>INDEX(script.out!J:J,results.txt!$M207)</f>
        <v>150.48500000000001</v>
      </c>
      <c r="W207">
        <f>INDEX(script.out!K:K,results.txt!$M207)</f>
        <v>170.66762</v>
      </c>
      <c r="X207" t="str">
        <f>INDEX(script.out!L:L,results.txt!$M207)</f>
        <v>}</v>
      </c>
      <c r="Y207" t="str">
        <f>INDEX(script.out!M:M,results.txt!$M207)</f>
        <v>{</v>
      </c>
      <c r="Z207">
        <f>INDEX(script.out!N:N,results.txt!$M207)</f>
        <v>18.032444576009901</v>
      </c>
      <c r="AA207">
        <f>INDEX(script.out!O:O,results.txt!$M207)</f>
        <v>15.5</v>
      </c>
      <c r="AB207">
        <f>INDEX(script.out!P:P,results.txt!$M207)</f>
        <v>6605.68</v>
      </c>
      <c r="AC207" t="str">
        <f>INDEX(script.out!Q:Q,results.txt!$M207)</f>
        <v>}</v>
      </c>
      <c r="AD207">
        <f t="shared" si="3"/>
        <v>1</v>
      </c>
    </row>
    <row r="208" spans="1:30" x14ac:dyDescent="0.25">
      <c r="A208" s="12" t="s">
        <v>2</v>
      </c>
      <c r="B208" s="12">
        <v>-3</v>
      </c>
      <c r="C208" s="12">
        <v>0.91151400000000005</v>
      </c>
      <c r="D208" s="12">
        <v>6.4492300000000002E-2</v>
      </c>
      <c r="E208" s="12">
        <v>0.55301100000000003</v>
      </c>
      <c r="F208" s="12">
        <v>-3</v>
      </c>
      <c r="G208" s="12">
        <v>34.186300000000003</v>
      </c>
      <c r="H208" s="12">
        <v>56.25</v>
      </c>
      <c r="I208" s="12">
        <v>165.346</v>
      </c>
      <c r="J208" s="12" t="s">
        <v>3</v>
      </c>
      <c r="K208" s="12">
        <v>0</v>
      </c>
      <c r="M208">
        <f>MATCH(C208,script.out!B:B,0)</f>
        <v>867</v>
      </c>
      <c r="N208">
        <f>INDEX(script.out!B:B,results.txt!$M208)</f>
        <v>0.91151400000000005</v>
      </c>
      <c r="O208">
        <f>INDEX(script.out!C:C,results.txt!$M208)</f>
        <v>6.4492300000000002E-2</v>
      </c>
      <c r="P208">
        <f>INDEX(script.out!D:D,results.txt!$M208)</f>
        <v>0.55301100000000003</v>
      </c>
      <c r="Q208">
        <f>INDEX(script.out!E:E,results.txt!$M208)</f>
        <v>34.186288081235702</v>
      </c>
      <c r="R208">
        <f>INDEX(script.out!F:F,results.txt!$M208)</f>
        <v>56.25</v>
      </c>
      <c r="S208">
        <f>INDEX(script.out!G:G,results.txt!$M208)</f>
        <v>165.34577816776101</v>
      </c>
      <c r="T208" t="str">
        <f>INDEX(script.out!H:H,results.txt!$M208)</f>
        <v>{</v>
      </c>
      <c r="U208">
        <f>INDEX(script.out!I:I,results.txt!$M208)</f>
        <v>1.0292110000000001</v>
      </c>
      <c r="V208">
        <f>INDEX(script.out!J:J,results.txt!$M208)</f>
        <v>132.24615</v>
      </c>
      <c r="W208">
        <f>INDEX(script.out!K:K,results.txt!$M208)</f>
        <v>336.27649000000002</v>
      </c>
      <c r="X208" t="str">
        <f>INDEX(script.out!L:L,results.txt!$M208)</f>
        <v>}</v>
      </c>
      <c r="Y208" t="str">
        <f>INDEX(script.out!M:M,results.txt!$M208)</f>
        <v>{</v>
      </c>
      <c r="Z208">
        <f>INDEX(script.out!N:N,results.txt!$M208)</f>
        <v>15.846904145035699</v>
      </c>
      <c r="AA208">
        <f>INDEX(script.out!O:O,results.txt!$M208)</f>
        <v>15.5</v>
      </c>
      <c r="AB208">
        <f>INDEX(script.out!P:P,results.txt!$M208)</f>
        <v>2606.58</v>
      </c>
      <c r="AC208" t="str">
        <f>INDEX(script.out!Q:Q,results.txt!$M208)</f>
        <v>}</v>
      </c>
      <c r="AD208">
        <f t="shared" si="3"/>
        <v>1</v>
      </c>
    </row>
    <row r="209" spans="1:30" x14ac:dyDescent="0.25">
      <c r="A209" s="12" t="s">
        <v>2</v>
      </c>
      <c r="B209" s="12">
        <v>-3</v>
      </c>
      <c r="C209" s="12">
        <v>0.82359000000000004</v>
      </c>
      <c r="D209" s="12">
        <v>7.7856900000000007E-2</v>
      </c>
      <c r="E209" s="12">
        <v>0.65947800000000001</v>
      </c>
      <c r="F209" s="12">
        <v>-3</v>
      </c>
      <c r="G209" s="12">
        <v>44.191099999999999</v>
      </c>
      <c r="H209" s="12">
        <v>56.25</v>
      </c>
      <c r="I209" s="12">
        <v>143.37100000000001</v>
      </c>
      <c r="J209" s="12" t="s">
        <v>3</v>
      </c>
      <c r="K209" s="12">
        <v>0</v>
      </c>
      <c r="M209">
        <f>MATCH(C209,script.out!B:B,0)</f>
        <v>868</v>
      </c>
      <c r="N209">
        <f>INDEX(script.out!B:B,results.txt!$M209)</f>
        <v>0.82359000000000004</v>
      </c>
      <c r="O209">
        <f>INDEX(script.out!C:C,results.txt!$M209)</f>
        <v>7.7856900000000007E-2</v>
      </c>
      <c r="P209">
        <f>INDEX(script.out!D:D,results.txt!$M209)</f>
        <v>0.65947800000000001</v>
      </c>
      <c r="Q209">
        <f>INDEX(script.out!E:E,results.txt!$M209)</f>
        <v>44.191070678623298</v>
      </c>
      <c r="R209">
        <f>INDEX(script.out!F:F,results.txt!$M209)</f>
        <v>56.25</v>
      </c>
      <c r="S209">
        <f>INDEX(script.out!G:G,results.txt!$M209)</f>
        <v>143.37142717132599</v>
      </c>
      <c r="T209" t="str">
        <f>INDEX(script.out!H:H,results.txt!$M209)</f>
        <v>{</v>
      </c>
      <c r="U209">
        <f>INDEX(script.out!I:I,results.txt!$M209)</f>
        <v>0.95887</v>
      </c>
      <c r="V209">
        <f>INDEX(script.out!J:J,results.txt!$M209)</f>
        <v>138.92845</v>
      </c>
      <c r="W209">
        <f>INDEX(script.out!K:K,results.txt!$M209)</f>
        <v>399.09201999999999</v>
      </c>
      <c r="X209" t="str">
        <f>INDEX(script.out!L:L,results.txt!$M209)</f>
        <v>}</v>
      </c>
      <c r="Y209" t="str">
        <f>INDEX(script.out!M:M,results.txt!$M209)</f>
        <v>{</v>
      </c>
      <c r="Z209">
        <f>INDEX(script.out!N:N,results.txt!$M209)</f>
        <v>16.647636473110001</v>
      </c>
      <c r="AA209">
        <f>INDEX(script.out!O:O,results.txt!$M209)</f>
        <v>15.5</v>
      </c>
      <c r="AB209">
        <f>INDEX(script.out!P:P,results.txt!$M209)</f>
        <v>2929.57</v>
      </c>
      <c r="AC209" t="str">
        <f>INDEX(script.out!Q:Q,results.txt!$M209)</f>
        <v>}</v>
      </c>
      <c r="AD209">
        <f t="shared" si="3"/>
        <v>1</v>
      </c>
    </row>
    <row r="210" spans="1:30" x14ac:dyDescent="0.25">
      <c r="A210" s="12" t="s">
        <v>2</v>
      </c>
      <c r="B210" s="12">
        <v>-3</v>
      </c>
      <c r="C210" s="12">
        <v>1.08192</v>
      </c>
      <c r="D210" s="12">
        <v>4.2703499999999998E-2</v>
      </c>
      <c r="E210" s="12">
        <v>0.67249999999999999</v>
      </c>
      <c r="F210" s="12">
        <v>-3</v>
      </c>
      <c r="G210" s="12">
        <v>20.624700000000001</v>
      </c>
      <c r="H210" s="12">
        <v>56.25</v>
      </c>
      <c r="I210" s="12">
        <v>247.137</v>
      </c>
      <c r="J210" s="12" t="s">
        <v>3</v>
      </c>
      <c r="K210" s="12">
        <v>1</v>
      </c>
      <c r="M210">
        <f>MATCH(C210,script.out!B:B,0)</f>
        <v>869</v>
      </c>
      <c r="N210">
        <f>INDEX(script.out!B:B,results.txt!$M210)</f>
        <v>1.08192</v>
      </c>
      <c r="O210">
        <f>INDEX(script.out!C:C,results.txt!$M210)</f>
        <v>4.2703499999999998E-2</v>
      </c>
      <c r="P210">
        <f>INDEX(script.out!D:D,results.txt!$M210)</f>
        <v>0.67249999999999999</v>
      </c>
      <c r="Q210">
        <f>INDEX(script.out!E:E,results.txt!$M210)</f>
        <v>20.624683772690702</v>
      </c>
      <c r="R210">
        <f>INDEX(script.out!F:F,results.txt!$M210)</f>
        <v>56.25</v>
      </c>
      <c r="S210">
        <f>INDEX(script.out!G:G,results.txt!$M210)</f>
        <v>247.137350500281</v>
      </c>
      <c r="T210" t="str">
        <f>INDEX(script.out!H:H,results.txt!$M210)</f>
        <v>{</v>
      </c>
      <c r="U210">
        <f>INDEX(script.out!I:I,results.txt!$M210)</f>
        <v>1.16553</v>
      </c>
      <c r="V210">
        <f>INDEX(script.out!J:J,results.txt!$M210)</f>
        <v>121.35175</v>
      </c>
      <c r="W210">
        <f>INDEX(script.out!K:K,results.txt!$M210)</f>
        <v>406.77499999999998</v>
      </c>
      <c r="X210" t="str">
        <f>INDEX(script.out!L:L,results.txt!$M210)</f>
        <v>}</v>
      </c>
      <c r="Y210" t="str">
        <f>INDEX(script.out!M:M,results.txt!$M210)</f>
        <v>{</v>
      </c>
      <c r="Z210">
        <f>INDEX(script.out!N:N,results.txt!$M210)</f>
        <v>14.541440715531801</v>
      </c>
      <c r="AA210">
        <f>INDEX(script.out!O:O,results.txt!$M210)</f>
        <v>15.5</v>
      </c>
      <c r="AB210">
        <f>INDEX(script.out!P:P,results.txt!$M210)</f>
        <v>1561.98</v>
      </c>
      <c r="AC210" t="str">
        <f>INDEX(script.out!Q:Q,results.txt!$M210)</f>
        <v>}</v>
      </c>
      <c r="AD210">
        <f t="shared" si="3"/>
        <v>1</v>
      </c>
    </row>
    <row r="211" spans="1:30" x14ac:dyDescent="0.25">
      <c r="A211" s="12" t="s">
        <v>2</v>
      </c>
      <c r="B211" s="12">
        <v>-3</v>
      </c>
      <c r="C211" s="12">
        <v>1.03512</v>
      </c>
      <c r="D211" s="12">
        <v>0.36732399999999998</v>
      </c>
      <c r="E211" s="12">
        <v>0.63389499999999999</v>
      </c>
      <c r="F211" s="12">
        <v>-3</v>
      </c>
      <c r="G211" s="12">
        <v>575.56299999999999</v>
      </c>
      <c r="H211" s="12">
        <v>36</v>
      </c>
      <c r="I211" s="12">
        <v>28.656500000000001</v>
      </c>
      <c r="J211" s="12" t="s">
        <v>3</v>
      </c>
      <c r="K211" s="12">
        <v>1</v>
      </c>
      <c r="M211">
        <f>MATCH(C211,script.out!B:B,0)</f>
        <v>870</v>
      </c>
      <c r="N211">
        <f>INDEX(script.out!B:B,results.txt!$M211)</f>
        <v>1.03512</v>
      </c>
      <c r="O211">
        <f>INDEX(script.out!C:C,results.txt!$M211)</f>
        <v>0.36732399999999998</v>
      </c>
      <c r="P211">
        <f>INDEX(script.out!D:D,results.txt!$M211)</f>
        <v>0.63389499999999999</v>
      </c>
      <c r="Q211">
        <f>INDEX(script.out!E:E,results.txt!$M211)</f>
        <v>575.56287048261402</v>
      </c>
      <c r="R211">
        <f>INDEX(script.out!F:F,results.txt!$M211)</f>
        <v>36</v>
      </c>
      <c r="S211">
        <f>INDEX(script.out!G:G,results.txt!$M211)</f>
        <v>28.6565155796584</v>
      </c>
      <c r="T211" t="str">
        <f>INDEX(script.out!H:H,results.txt!$M211)</f>
        <v>{</v>
      </c>
      <c r="U211">
        <f>INDEX(script.out!I:I,results.txt!$M211)</f>
        <v>1.12809</v>
      </c>
      <c r="V211">
        <f>INDEX(script.out!J:J,results.txt!$M211)</f>
        <v>283.66199999999998</v>
      </c>
      <c r="W211">
        <f>INDEX(script.out!K:K,results.txt!$M211)</f>
        <v>383.99804999999998</v>
      </c>
      <c r="X211" t="str">
        <f>INDEX(script.out!L:L,results.txt!$M211)</f>
        <v>}</v>
      </c>
      <c r="Y211" t="str">
        <f>INDEX(script.out!M:M,results.txt!$M211)</f>
        <v>{</v>
      </c>
      <c r="Z211">
        <f>INDEX(script.out!N:N,results.txt!$M211)</f>
        <v>33.990891406586201</v>
      </c>
      <c r="AA211">
        <f>INDEX(script.out!O:O,results.txt!$M211)</f>
        <v>14</v>
      </c>
      <c r="AB211">
        <f>INDEX(script.out!P:P,results.txt!$M211)</f>
        <v>5346.09</v>
      </c>
      <c r="AC211" t="str">
        <f>INDEX(script.out!Q:Q,results.txt!$M211)</f>
        <v>}</v>
      </c>
      <c r="AD211">
        <f t="shared" si="3"/>
        <v>1</v>
      </c>
    </row>
    <row r="212" spans="1:30" x14ac:dyDescent="0.25">
      <c r="A212" s="12" t="s">
        <v>2</v>
      </c>
      <c r="B212" s="12">
        <v>-3</v>
      </c>
      <c r="C212" s="12">
        <v>0.92065699999999995</v>
      </c>
      <c r="D212" s="12">
        <v>7.0473900000000006E-2</v>
      </c>
      <c r="E212" s="12">
        <v>0.508432</v>
      </c>
      <c r="F212" s="12">
        <v>-3</v>
      </c>
      <c r="G212" s="12">
        <v>38.505600000000001</v>
      </c>
      <c r="H212" s="12">
        <v>56.25</v>
      </c>
      <c r="I212" s="12">
        <v>148.46299999999999</v>
      </c>
      <c r="J212" s="12" t="s">
        <v>3</v>
      </c>
      <c r="K212" s="12">
        <v>0</v>
      </c>
      <c r="M212">
        <f>MATCH(C212,script.out!B:B,0)</f>
        <v>871</v>
      </c>
      <c r="N212">
        <f>INDEX(script.out!B:B,results.txt!$M212)</f>
        <v>0.92065699999999995</v>
      </c>
      <c r="O212">
        <f>INDEX(script.out!C:C,results.txt!$M212)</f>
        <v>7.0473900000000006E-2</v>
      </c>
      <c r="P212">
        <f>INDEX(script.out!D:D,results.txt!$M212)</f>
        <v>0.508432</v>
      </c>
      <c r="Q212">
        <f>INDEX(script.out!E:E,results.txt!$M212)</f>
        <v>38.505602529689902</v>
      </c>
      <c r="R212">
        <f>INDEX(script.out!F:F,results.txt!$M212)</f>
        <v>56.25</v>
      </c>
      <c r="S212">
        <f>INDEX(script.out!G:G,results.txt!$M212)</f>
        <v>148.462540983298</v>
      </c>
      <c r="T212" t="str">
        <f>INDEX(script.out!H:H,results.txt!$M212)</f>
        <v>{</v>
      </c>
      <c r="U212">
        <f>INDEX(script.out!I:I,results.txt!$M212)</f>
        <v>1.0365249999999999</v>
      </c>
      <c r="V212">
        <f>INDEX(script.out!J:J,results.txt!$M212)</f>
        <v>135.23695000000001</v>
      </c>
      <c r="W212">
        <f>INDEX(script.out!K:K,results.txt!$M212)</f>
        <v>309.97487999999998</v>
      </c>
      <c r="X212" t="str">
        <f>INDEX(script.out!L:L,results.txt!$M212)</f>
        <v>}</v>
      </c>
      <c r="Y212" t="str">
        <f>INDEX(script.out!M:M,results.txt!$M212)</f>
        <v>{</v>
      </c>
      <c r="Z212">
        <f>INDEX(script.out!N:N,results.txt!$M212)</f>
        <v>16.205288271280299</v>
      </c>
      <c r="AA212">
        <f>INDEX(script.out!O:O,results.txt!$M212)</f>
        <v>15.5</v>
      </c>
      <c r="AB212">
        <f>INDEX(script.out!P:P,results.txt!$M212)</f>
        <v>2852.65</v>
      </c>
      <c r="AC212" t="str">
        <f>INDEX(script.out!Q:Q,results.txt!$M212)</f>
        <v>}</v>
      </c>
      <c r="AD212">
        <f t="shared" si="3"/>
        <v>1</v>
      </c>
    </row>
    <row r="213" spans="1:30" x14ac:dyDescent="0.25">
      <c r="A213" s="12" t="s">
        <v>2</v>
      </c>
      <c r="B213" s="12">
        <v>-3</v>
      </c>
      <c r="C213" s="12">
        <v>0.183314</v>
      </c>
      <c r="D213" s="12">
        <v>3.7604100000000001E-2</v>
      </c>
      <c r="E213" s="12">
        <v>0.13134599999999999</v>
      </c>
      <c r="F213" s="12">
        <v>-3</v>
      </c>
      <c r="G213" s="12">
        <v>17.943000000000001</v>
      </c>
      <c r="H213" s="12">
        <v>110.25</v>
      </c>
      <c r="I213" s="12">
        <v>3.5431599999999999</v>
      </c>
      <c r="J213" s="12" t="s">
        <v>3</v>
      </c>
      <c r="K213" s="12">
        <v>1</v>
      </c>
      <c r="M213">
        <f>MATCH(C213,script.out!B:B,0)</f>
        <v>872</v>
      </c>
      <c r="N213">
        <f>INDEX(script.out!B:B,results.txt!$M213)</f>
        <v>0.183314</v>
      </c>
      <c r="O213">
        <f>INDEX(script.out!C:C,results.txt!$M213)</f>
        <v>3.7604100000000001E-2</v>
      </c>
      <c r="P213">
        <f>INDEX(script.out!D:D,results.txt!$M213)</f>
        <v>0.13134599999999999</v>
      </c>
      <c r="Q213">
        <f>INDEX(script.out!E:E,results.txt!$M213)</f>
        <v>17.942959750660499</v>
      </c>
      <c r="R213">
        <f>INDEX(script.out!F:F,results.txt!$M213)</f>
        <v>110.25</v>
      </c>
      <c r="S213">
        <f>INDEX(script.out!G:G,results.txt!$M213)</f>
        <v>3.5431615875398701</v>
      </c>
      <c r="T213" t="str">
        <f>INDEX(script.out!H:H,results.txt!$M213)</f>
        <v>{</v>
      </c>
      <c r="U213">
        <f>INDEX(script.out!I:I,results.txt!$M213)</f>
        <v>0.44665100000000002</v>
      </c>
      <c r="V213">
        <f>INDEX(script.out!J:J,results.txt!$M213)</f>
        <v>118.80204999999999</v>
      </c>
      <c r="W213">
        <f>INDEX(script.out!K:K,results.txt!$M213)</f>
        <v>87.494140000000002</v>
      </c>
      <c r="X213" t="str">
        <f>INDEX(script.out!L:L,results.txt!$M213)</f>
        <v>}</v>
      </c>
      <c r="Y213" t="str">
        <f>INDEX(script.out!M:M,results.txt!$M213)</f>
        <v>{</v>
      </c>
      <c r="Z213">
        <f>INDEX(script.out!N:N,results.txt!$M213)</f>
        <v>14.2359130952677</v>
      </c>
      <c r="AA213">
        <f>INDEX(script.out!O:O,results.txt!$M213)</f>
        <v>18.5</v>
      </c>
      <c r="AB213">
        <f>INDEX(script.out!P:P,results.txt!$M213)</f>
        <v>6612.95</v>
      </c>
      <c r="AC213" t="str">
        <f>INDEX(script.out!Q:Q,results.txt!$M213)</f>
        <v>}</v>
      </c>
      <c r="AD213">
        <f t="shared" si="3"/>
        <v>1</v>
      </c>
    </row>
    <row r="214" spans="1:30" x14ac:dyDescent="0.25">
      <c r="A214" s="12" t="s">
        <v>2</v>
      </c>
      <c r="B214" s="12">
        <v>-3</v>
      </c>
      <c r="C214" s="12">
        <v>0.94393300000000002</v>
      </c>
      <c r="D214" s="12">
        <v>4.4485299999999998E-2</v>
      </c>
      <c r="E214" s="12">
        <v>0.55251499999999998</v>
      </c>
      <c r="F214" s="12">
        <v>-3</v>
      </c>
      <c r="G214" s="12">
        <v>21.605699999999999</v>
      </c>
      <c r="H214" s="12">
        <v>56.25</v>
      </c>
      <c r="I214" s="12">
        <v>179.14099999999999</v>
      </c>
      <c r="J214" s="12" t="s">
        <v>3</v>
      </c>
      <c r="K214" s="12">
        <v>0</v>
      </c>
      <c r="M214">
        <f>MATCH(C214,script.out!B:B,0)</f>
        <v>873</v>
      </c>
      <c r="N214">
        <f>INDEX(script.out!B:B,results.txt!$M214)</f>
        <v>0.94393300000000002</v>
      </c>
      <c r="O214">
        <f>INDEX(script.out!C:C,results.txt!$M214)</f>
        <v>4.4485299999999998E-2</v>
      </c>
      <c r="P214">
        <f>INDEX(script.out!D:D,results.txt!$M214)</f>
        <v>0.55251499999999998</v>
      </c>
      <c r="Q214">
        <f>INDEX(script.out!E:E,results.txt!$M214)</f>
        <v>21.605728271538201</v>
      </c>
      <c r="R214">
        <f>INDEX(script.out!F:F,results.txt!$M214)</f>
        <v>56.25</v>
      </c>
      <c r="S214">
        <f>INDEX(script.out!G:G,results.txt!$M214)</f>
        <v>179.14098993507201</v>
      </c>
      <c r="T214" t="str">
        <f>INDEX(script.out!H:H,results.txt!$M214)</f>
        <v>{</v>
      </c>
      <c r="U214">
        <f>INDEX(script.out!I:I,results.txt!$M214)</f>
        <v>1.0551459999999999</v>
      </c>
      <c r="V214">
        <f>INDEX(script.out!J:J,results.txt!$M214)</f>
        <v>122.24265</v>
      </c>
      <c r="W214">
        <f>INDEX(script.out!K:K,results.txt!$M214)</f>
        <v>335.98385000000002</v>
      </c>
      <c r="X214" t="str">
        <f>INDEX(script.out!L:L,results.txt!$M214)</f>
        <v>}</v>
      </c>
      <c r="Y214" t="str">
        <f>INDEX(script.out!M:M,results.txt!$M214)</f>
        <v>{</v>
      </c>
      <c r="Z214">
        <f>INDEX(script.out!N:N,results.txt!$M214)</f>
        <v>14.6481962384927</v>
      </c>
      <c r="AA214">
        <f>INDEX(script.out!O:O,results.txt!$M214)</f>
        <v>15.5</v>
      </c>
      <c r="AB214">
        <f>INDEX(script.out!P:P,results.txt!$M214)</f>
        <v>2414.71</v>
      </c>
      <c r="AC214" t="str">
        <f>INDEX(script.out!Q:Q,results.txt!$M214)</f>
        <v>}</v>
      </c>
      <c r="AD214">
        <f t="shared" si="3"/>
        <v>1</v>
      </c>
    </row>
    <row r="215" spans="1:30" x14ac:dyDescent="0.25">
      <c r="A215" s="12" t="s">
        <v>2</v>
      </c>
      <c r="B215" s="12">
        <v>-3</v>
      </c>
      <c r="C215" s="12">
        <v>0.94801299999999999</v>
      </c>
      <c r="D215" s="12">
        <v>0.273534</v>
      </c>
      <c r="E215" s="12">
        <v>0.59061399999999997</v>
      </c>
      <c r="F215" s="12">
        <v>-3</v>
      </c>
      <c r="G215" s="12">
        <v>337.51299999999998</v>
      </c>
      <c r="H215" s="12">
        <v>42.25</v>
      </c>
      <c r="I215" s="12">
        <v>41.262500000000003</v>
      </c>
      <c r="J215" s="12" t="s">
        <v>3</v>
      </c>
      <c r="K215" s="12">
        <v>1</v>
      </c>
      <c r="M215">
        <f>MATCH(C215,script.out!B:B,0)</f>
        <v>874</v>
      </c>
      <c r="N215">
        <f>INDEX(script.out!B:B,results.txt!$M215)</f>
        <v>0.94801299999999999</v>
      </c>
      <c r="O215">
        <f>INDEX(script.out!C:C,results.txt!$M215)</f>
        <v>0.273534</v>
      </c>
      <c r="P215">
        <f>INDEX(script.out!D:D,results.txt!$M215)</f>
        <v>0.59061399999999997</v>
      </c>
      <c r="Q215">
        <f>INDEX(script.out!E:E,results.txt!$M215)</f>
        <v>337.51265377332999</v>
      </c>
      <c r="R215">
        <f>INDEX(script.out!F:F,results.txt!$M215)</f>
        <v>42.25</v>
      </c>
      <c r="S215">
        <f>INDEX(script.out!G:G,results.txt!$M215)</f>
        <v>41.262496168887203</v>
      </c>
      <c r="T215" t="str">
        <f>INDEX(script.out!H:H,results.txt!$M215)</f>
        <v>{</v>
      </c>
      <c r="U215">
        <f>INDEX(script.out!I:I,results.txt!$M215)</f>
        <v>1.0584100000000001</v>
      </c>
      <c r="V215">
        <f>INDEX(script.out!J:J,results.txt!$M215)</f>
        <v>236.767</v>
      </c>
      <c r="W215">
        <f>INDEX(script.out!K:K,results.txt!$M215)</f>
        <v>358.46226000000001</v>
      </c>
      <c r="X215" t="str">
        <f>INDEX(script.out!L:L,results.txt!$M215)</f>
        <v>}</v>
      </c>
      <c r="Y215" t="str">
        <f>INDEX(script.out!M:M,results.txt!$M215)</f>
        <v>{</v>
      </c>
      <c r="Z215">
        <f>INDEX(script.out!N:N,results.txt!$M215)</f>
        <v>28.371517459734498</v>
      </c>
      <c r="AA215">
        <f>INDEX(script.out!O:O,results.txt!$M215)</f>
        <v>14.5</v>
      </c>
      <c r="AB215">
        <f>INDEX(script.out!P:P,results.txt!$M215)</f>
        <v>4955.3900000000003</v>
      </c>
      <c r="AC215" t="str">
        <f>INDEX(script.out!Q:Q,results.txt!$M215)</f>
        <v>}</v>
      </c>
      <c r="AD215">
        <f t="shared" si="3"/>
        <v>1</v>
      </c>
    </row>
    <row r="216" spans="1:30" x14ac:dyDescent="0.25">
      <c r="A216" s="12" t="s">
        <v>2</v>
      </c>
      <c r="B216" s="12">
        <v>-3</v>
      </c>
      <c r="C216" s="12">
        <v>1.00343</v>
      </c>
      <c r="D216" s="12">
        <v>0.15396899999999999</v>
      </c>
      <c r="E216" s="12">
        <v>0.63760899999999998</v>
      </c>
      <c r="F216" s="12">
        <v>-3</v>
      </c>
      <c r="G216" s="12">
        <v>125.616</v>
      </c>
      <c r="H216" s="12">
        <v>42.25</v>
      </c>
      <c r="I216" s="12">
        <v>100.59</v>
      </c>
      <c r="J216" s="12" t="s">
        <v>3</v>
      </c>
      <c r="K216" s="12">
        <v>1</v>
      </c>
      <c r="M216">
        <f>MATCH(C216,script.out!B:B,0)</f>
        <v>875</v>
      </c>
      <c r="N216">
        <f>INDEX(script.out!B:B,results.txt!$M216)</f>
        <v>1.00343</v>
      </c>
      <c r="O216">
        <f>INDEX(script.out!C:C,results.txt!$M216)</f>
        <v>0.15396899999999999</v>
      </c>
      <c r="P216">
        <f>INDEX(script.out!D:D,results.txt!$M216)</f>
        <v>0.63760899999999998</v>
      </c>
      <c r="Q216">
        <f>INDEX(script.out!E:E,results.txt!$M216)</f>
        <v>125.615883719856</v>
      </c>
      <c r="R216">
        <f>INDEX(script.out!F:F,results.txt!$M216)</f>
        <v>42.25</v>
      </c>
      <c r="S216">
        <f>INDEX(script.out!G:G,results.txt!$M216)</f>
        <v>100.589908519422</v>
      </c>
      <c r="T216" t="str">
        <f>INDEX(script.out!H:H,results.txt!$M216)</f>
        <v>{</v>
      </c>
      <c r="U216">
        <f>INDEX(script.out!I:I,results.txt!$M216)</f>
        <v>1.1027400000000001</v>
      </c>
      <c r="V216">
        <f>INDEX(script.out!J:J,results.txt!$M216)</f>
        <v>176.9845</v>
      </c>
      <c r="W216">
        <f>INDEX(script.out!K:K,results.txt!$M216)</f>
        <v>386.18930999999998</v>
      </c>
      <c r="X216" t="str">
        <f>INDEX(script.out!L:L,results.txt!$M216)</f>
        <v>}</v>
      </c>
      <c r="Y216" t="str">
        <f>INDEX(script.out!M:M,results.txt!$M216)</f>
        <v>{</v>
      </c>
      <c r="Z216">
        <f>INDEX(script.out!N:N,results.txt!$M216)</f>
        <v>21.207849201334501</v>
      </c>
      <c r="AA216">
        <f>INDEX(script.out!O:O,results.txt!$M216)</f>
        <v>14.5</v>
      </c>
      <c r="AB216">
        <f>INDEX(script.out!P:P,results.txt!$M216)</f>
        <v>3639.25</v>
      </c>
      <c r="AC216" t="str">
        <f>INDEX(script.out!Q:Q,results.txt!$M216)</f>
        <v>}</v>
      </c>
      <c r="AD216">
        <f t="shared" si="3"/>
        <v>1</v>
      </c>
    </row>
    <row r="217" spans="1:30" x14ac:dyDescent="0.25">
      <c r="A217" s="12" t="s">
        <v>2</v>
      </c>
      <c r="B217" s="12">
        <v>-3</v>
      </c>
      <c r="C217" s="12">
        <v>1.01105</v>
      </c>
      <c r="D217" s="12">
        <v>0.25026799999999999</v>
      </c>
      <c r="E217" s="12">
        <v>0.57556399999999996</v>
      </c>
      <c r="F217" s="12">
        <v>-3</v>
      </c>
      <c r="G217" s="12">
        <v>288.23700000000002</v>
      </c>
      <c r="H217" s="12">
        <v>36</v>
      </c>
      <c r="I217" s="12">
        <v>48.053800000000003</v>
      </c>
      <c r="J217" s="12" t="s">
        <v>3</v>
      </c>
      <c r="K217" s="12">
        <v>1</v>
      </c>
      <c r="M217">
        <f>MATCH(C217,script.out!B:B,0)</f>
        <v>876</v>
      </c>
      <c r="N217">
        <f>INDEX(script.out!B:B,results.txt!$M217)</f>
        <v>1.01105</v>
      </c>
      <c r="O217">
        <f>INDEX(script.out!C:C,results.txt!$M217)</f>
        <v>0.25026799999999999</v>
      </c>
      <c r="P217">
        <f>INDEX(script.out!D:D,results.txt!$M217)</f>
        <v>0.57556399999999996</v>
      </c>
      <c r="Q217">
        <f>INDEX(script.out!E:E,results.txt!$M217)</f>
        <v>288.23715107361699</v>
      </c>
      <c r="R217">
        <f>INDEX(script.out!F:F,results.txt!$M217)</f>
        <v>36</v>
      </c>
      <c r="S217">
        <f>INDEX(script.out!G:G,results.txt!$M217)</f>
        <v>48.0537635136048</v>
      </c>
      <c r="T217" t="str">
        <f>INDEX(script.out!H:H,results.txt!$M217)</f>
        <v>{</v>
      </c>
      <c r="U217">
        <f>INDEX(script.out!I:I,results.txt!$M217)</f>
        <v>1.10884</v>
      </c>
      <c r="V217">
        <f>INDEX(script.out!J:J,results.txt!$M217)</f>
        <v>225.13399999999999</v>
      </c>
      <c r="W217">
        <f>INDEX(script.out!K:K,results.txt!$M217)</f>
        <v>349.58276000000001</v>
      </c>
      <c r="X217" t="str">
        <f>INDEX(script.out!L:L,results.txt!$M217)</f>
        <v>}</v>
      </c>
      <c r="Y217" t="str">
        <f>INDEX(script.out!M:M,results.txt!$M217)</f>
        <v>{</v>
      </c>
      <c r="Z217">
        <f>INDEX(script.out!N:N,results.txt!$M217)</f>
        <v>26.9775484412095</v>
      </c>
      <c r="AA217">
        <f>INDEX(script.out!O:O,results.txt!$M217)</f>
        <v>14</v>
      </c>
      <c r="AB217">
        <f>INDEX(script.out!P:P,results.txt!$M217)</f>
        <v>4769.79</v>
      </c>
      <c r="AC217" t="str">
        <f>INDEX(script.out!Q:Q,results.txt!$M217)</f>
        <v>}</v>
      </c>
      <c r="AD217">
        <f t="shared" si="3"/>
        <v>1</v>
      </c>
    </row>
    <row r="218" spans="1:30" x14ac:dyDescent="0.25">
      <c r="A218" s="12" t="s">
        <v>2</v>
      </c>
      <c r="B218" s="12">
        <v>-3</v>
      </c>
      <c r="C218" s="12">
        <v>1.0376799999999999</v>
      </c>
      <c r="D218" s="12">
        <v>0.144591</v>
      </c>
      <c r="E218" s="12">
        <v>0.57803000000000004</v>
      </c>
      <c r="F218" s="12">
        <v>-3</v>
      </c>
      <c r="G218" s="12">
        <v>113.337</v>
      </c>
      <c r="H218" s="12">
        <v>36</v>
      </c>
      <c r="I218" s="12">
        <v>400</v>
      </c>
      <c r="J218" s="12" t="s">
        <v>3</v>
      </c>
      <c r="K218" s="12">
        <v>1</v>
      </c>
      <c r="M218">
        <f>MATCH(C218,script.out!B:B,0)</f>
        <v>877</v>
      </c>
      <c r="N218">
        <f>INDEX(script.out!B:B,results.txt!$M218)</f>
        <v>1.0376799999999999</v>
      </c>
      <c r="O218">
        <f>INDEX(script.out!C:C,results.txt!$M218)</f>
        <v>0.144591</v>
      </c>
      <c r="P218">
        <f>INDEX(script.out!D:D,results.txt!$M218)</f>
        <v>0.57803000000000004</v>
      </c>
      <c r="Q218">
        <f>INDEX(script.out!E:E,results.txt!$M218)</f>
        <v>113.336713885921</v>
      </c>
      <c r="R218">
        <f>INDEX(script.out!F:F,results.txt!$M218)</f>
        <v>36</v>
      </c>
      <c r="S218">
        <f>INDEX(script.out!G:G,results.txt!$M218)</f>
        <v>400</v>
      </c>
      <c r="T218" t="str">
        <f>INDEX(script.out!H:H,results.txt!$M218)</f>
        <v>{</v>
      </c>
      <c r="U218">
        <f>INDEX(script.out!I:I,results.txt!$M218)</f>
        <v>1.1301399999999999</v>
      </c>
      <c r="V218">
        <f>INDEX(script.out!J:J,results.txt!$M218)</f>
        <v>172.2955</v>
      </c>
      <c r="W218">
        <f>INDEX(script.out!K:K,results.txt!$M218)</f>
        <v>351.03769999999997</v>
      </c>
      <c r="X218" t="str">
        <f>INDEX(script.out!L:L,results.txt!$M218)</f>
        <v>}</v>
      </c>
      <c r="Y218" t="str">
        <f>INDEX(script.out!M:M,results.txt!$M218)</f>
        <v>{</v>
      </c>
      <c r="Z218">
        <f>INDEX(script.out!N:N,results.txt!$M218)</f>
        <v>20.645971721074599</v>
      </c>
      <c r="AA218">
        <f>INDEX(script.out!O:O,results.txt!$M218)</f>
        <v>14</v>
      </c>
      <c r="AB218">
        <f>INDEX(script.out!P:P,results.txt!$M218)</f>
        <v>0</v>
      </c>
      <c r="AC218" t="str">
        <f>INDEX(script.out!Q:Q,results.txt!$M218)</f>
        <v>}</v>
      </c>
      <c r="AD218">
        <f t="shared" si="3"/>
        <v>1</v>
      </c>
    </row>
    <row r="219" spans="1:30" x14ac:dyDescent="0.25">
      <c r="A219" s="12" t="s">
        <v>2</v>
      </c>
      <c r="B219" s="12">
        <v>-3</v>
      </c>
      <c r="C219" s="12">
        <v>0.88558300000000001</v>
      </c>
      <c r="D219" s="12">
        <v>0.191134</v>
      </c>
      <c r="E219" s="12">
        <v>0.42234500000000003</v>
      </c>
      <c r="F219" s="12">
        <v>-3</v>
      </c>
      <c r="G219" s="12">
        <v>180.488</v>
      </c>
      <c r="H219" s="12">
        <v>49</v>
      </c>
      <c r="I219" s="12">
        <v>21.719899999999999</v>
      </c>
      <c r="J219" s="12" t="s">
        <v>3</v>
      </c>
      <c r="K219" s="12">
        <v>1</v>
      </c>
      <c r="M219">
        <f>MATCH(C219,script.out!B:B,0)</f>
        <v>878</v>
      </c>
      <c r="N219">
        <f>INDEX(script.out!B:B,results.txt!$M219)</f>
        <v>0.88558300000000001</v>
      </c>
      <c r="O219">
        <f>INDEX(script.out!C:C,results.txt!$M219)</f>
        <v>0.191134</v>
      </c>
      <c r="P219">
        <f>INDEX(script.out!D:D,results.txt!$M219)</f>
        <v>0.42234500000000003</v>
      </c>
      <c r="Q219">
        <f>INDEX(script.out!E:E,results.txt!$M219)</f>
        <v>180.48763929340399</v>
      </c>
      <c r="R219">
        <f>INDEX(script.out!F:F,results.txt!$M219)</f>
        <v>49</v>
      </c>
      <c r="S219">
        <f>INDEX(script.out!G:G,results.txt!$M219)</f>
        <v>21.719941038843999</v>
      </c>
      <c r="T219" t="str">
        <f>INDEX(script.out!H:H,results.txt!$M219)</f>
        <v>{</v>
      </c>
      <c r="U219">
        <f>INDEX(script.out!I:I,results.txt!$M219)</f>
        <v>1.0084660000000001</v>
      </c>
      <c r="V219">
        <f>INDEX(script.out!J:J,results.txt!$M219)</f>
        <v>195.56700000000001</v>
      </c>
      <c r="W219">
        <f>INDEX(script.out!K:K,results.txt!$M219)</f>
        <v>259.18355000000003</v>
      </c>
      <c r="X219" t="str">
        <f>INDEX(script.out!L:L,results.txt!$M219)</f>
        <v>}</v>
      </c>
      <c r="Y219" t="str">
        <f>INDEX(script.out!M:M,results.txt!$M219)</f>
        <v>{</v>
      </c>
      <c r="Z219">
        <f>INDEX(script.out!N:N,results.txt!$M219)</f>
        <v>23.4345688168025</v>
      </c>
      <c r="AA219">
        <f>INDEX(script.out!O:O,results.txt!$M219)</f>
        <v>15</v>
      </c>
      <c r="AB219">
        <f>INDEX(script.out!P:P,results.txt!$M219)</f>
        <v>5598.93</v>
      </c>
      <c r="AC219" t="str">
        <f>INDEX(script.out!Q:Q,results.txt!$M219)</f>
        <v>}</v>
      </c>
      <c r="AD219">
        <f t="shared" si="3"/>
        <v>1</v>
      </c>
    </row>
    <row r="220" spans="1:30" x14ac:dyDescent="0.25">
      <c r="A220" s="12" t="s">
        <v>2</v>
      </c>
      <c r="B220" s="12">
        <v>-3</v>
      </c>
      <c r="C220" s="12">
        <v>1.0343</v>
      </c>
      <c r="D220" s="12">
        <v>3.5202600000000001E-2</v>
      </c>
      <c r="E220" s="12">
        <v>0.62040099999999998</v>
      </c>
      <c r="F220" s="12">
        <v>-3</v>
      </c>
      <c r="G220" s="12">
        <v>16.744700000000002</v>
      </c>
      <c r="H220" s="12">
        <v>56.25</v>
      </c>
      <c r="I220" s="12">
        <v>205.66900000000001</v>
      </c>
      <c r="J220" s="12" t="s">
        <v>3</v>
      </c>
      <c r="K220" s="12">
        <v>0</v>
      </c>
      <c r="M220">
        <f>MATCH(C220,script.out!B:B,0)</f>
        <v>879</v>
      </c>
      <c r="N220">
        <f>INDEX(script.out!B:B,results.txt!$M220)</f>
        <v>1.0343</v>
      </c>
      <c r="O220">
        <f>INDEX(script.out!C:C,results.txt!$M220)</f>
        <v>3.5202600000000001E-2</v>
      </c>
      <c r="P220">
        <f>INDEX(script.out!D:D,results.txt!$M220)</f>
        <v>0.62040099999999998</v>
      </c>
      <c r="Q220">
        <f>INDEX(script.out!E:E,results.txt!$M220)</f>
        <v>16.744698087458101</v>
      </c>
      <c r="R220">
        <f>INDEX(script.out!F:F,results.txt!$M220)</f>
        <v>56.25</v>
      </c>
      <c r="S220">
        <f>INDEX(script.out!G:G,results.txt!$M220)</f>
        <v>205.66938878513699</v>
      </c>
      <c r="T220" t="str">
        <f>INDEX(script.out!H:H,results.txt!$M220)</f>
        <v>{</v>
      </c>
      <c r="U220">
        <f>INDEX(script.out!I:I,results.txt!$M220)</f>
        <v>1.1274</v>
      </c>
      <c r="V220">
        <f>INDEX(script.out!J:J,results.txt!$M220)</f>
        <v>117.60129999999999</v>
      </c>
      <c r="W220">
        <f>INDEX(script.out!K:K,results.txt!$M220)</f>
        <v>376.03658999999999</v>
      </c>
      <c r="X220" t="str">
        <f>INDEX(script.out!L:L,results.txt!$M220)</f>
        <v>}</v>
      </c>
      <c r="Y220" t="str">
        <f>INDEX(script.out!M:M,results.txt!$M220)</f>
        <v>{</v>
      </c>
      <c r="Z220">
        <f>INDEX(script.out!N:N,results.txt!$M220)</f>
        <v>14.0920286029618</v>
      </c>
      <c r="AA220">
        <f>INDEX(script.out!O:O,results.txt!$M220)</f>
        <v>15.5</v>
      </c>
      <c r="AB220">
        <f>INDEX(script.out!P:P,results.txt!$M220)</f>
        <v>2065.4699999999998</v>
      </c>
      <c r="AC220" t="str">
        <f>INDEX(script.out!Q:Q,results.txt!$M220)</f>
        <v>}</v>
      </c>
      <c r="AD220">
        <f t="shared" si="3"/>
        <v>1</v>
      </c>
    </row>
    <row r="221" spans="1:30" x14ac:dyDescent="0.25">
      <c r="A221" s="12" t="s">
        <v>2</v>
      </c>
      <c r="B221" s="12">
        <v>-3</v>
      </c>
      <c r="C221" s="12">
        <v>0.73157300000000003</v>
      </c>
      <c r="D221" s="12">
        <v>0.101031</v>
      </c>
      <c r="E221" s="12">
        <v>0.346356</v>
      </c>
      <c r="F221" s="12">
        <v>-3</v>
      </c>
      <c r="G221" s="12">
        <v>64.578900000000004</v>
      </c>
      <c r="H221" s="12">
        <v>64</v>
      </c>
      <c r="I221" s="12">
        <v>27.330300000000001</v>
      </c>
      <c r="J221" s="12" t="s">
        <v>3</v>
      </c>
      <c r="K221" s="12">
        <v>1</v>
      </c>
      <c r="M221">
        <f>MATCH(C221,script.out!B:B,0)</f>
        <v>880</v>
      </c>
      <c r="N221">
        <f>INDEX(script.out!B:B,results.txt!$M221)</f>
        <v>0.73157300000000003</v>
      </c>
      <c r="O221">
        <f>INDEX(script.out!C:C,results.txt!$M221)</f>
        <v>0.101031</v>
      </c>
      <c r="P221">
        <f>INDEX(script.out!D:D,results.txt!$M221)</f>
        <v>0.346356</v>
      </c>
      <c r="Q221">
        <f>INDEX(script.out!E:E,results.txt!$M221)</f>
        <v>64.578892858730896</v>
      </c>
      <c r="R221">
        <f>INDEX(script.out!F:F,results.txt!$M221)</f>
        <v>64</v>
      </c>
      <c r="S221">
        <f>INDEX(script.out!G:G,results.txt!$M221)</f>
        <v>27.3302652325014</v>
      </c>
      <c r="T221" t="str">
        <f>INDEX(script.out!H:H,results.txt!$M221)</f>
        <v>{</v>
      </c>
      <c r="U221">
        <f>INDEX(script.out!I:I,results.txt!$M221)</f>
        <v>0.88525799999999999</v>
      </c>
      <c r="V221">
        <f>INDEX(script.out!J:J,results.txt!$M221)</f>
        <v>150.5155</v>
      </c>
      <c r="W221">
        <f>INDEX(script.out!K:K,results.txt!$M221)</f>
        <v>214.35004000000001</v>
      </c>
      <c r="X221" t="str">
        <f>INDEX(script.out!L:L,results.txt!$M221)</f>
        <v>}</v>
      </c>
      <c r="Y221" t="str">
        <f>INDEX(script.out!M:M,results.txt!$M221)</f>
        <v>{</v>
      </c>
      <c r="Z221">
        <f>INDEX(script.out!N:N,results.txt!$M221)</f>
        <v>18.036099355951901</v>
      </c>
      <c r="AA221">
        <f>INDEX(script.out!O:O,results.txt!$M221)</f>
        <v>16</v>
      </c>
      <c r="AB221">
        <f>INDEX(script.out!P:P,results.txt!$M221)</f>
        <v>5391.84</v>
      </c>
      <c r="AC221" t="str">
        <f>INDEX(script.out!Q:Q,results.txt!$M221)</f>
        <v>}</v>
      </c>
      <c r="AD221">
        <f t="shared" si="3"/>
        <v>1</v>
      </c>
    </row>
    <row r="222" spans="1:30" x14ac:dyDescent="0.25">
      <c r="A222" s="12" t="s">
        <v>2</v>
      </c>
      <c r="B222" s="12">
        <v>-3</v>
      </c>
      <c r="C222" s="12">
        <v>0.56515400000000005</v>
      </c>
      <c r="D222" s="12">
        <v>-1.2243800000000001E-2</v>
      </c>
      <c r="E222" s="12">
        <v>0.147148</v>
      </c>
      <c r="F222" s="12">
        <v>-3</v>
      </c>
      <c r="G222" s="12">
        <v>1.5607599999999999</v>
      </c>
      <c r="H222" s="12">
        <v>132.25</v>
      </c>
      <c r="I222" s="12">
        <v>22.399100000000001</v>
      </c>
      <c r="J222" s="12" t="s">
        <v>3</v>
      </c>
      <c r="K222" s="12">
        <v>1</v>
      </c>
      <c r="M222">
        <f>MATCH(C222,script.out!B:B,0)</f>
        <v>881</v>
      </c>
      <c r="N222">
        <f>INDEX(script.out!B:B,results.txt!$M222)</f>
        <v>0.56515400000000005</v>
      </c>
      <c r="O222">
        <f>INDEX(script.out!C:C,results.txt!$M222)</f>
        <v>-1.2243800000000001E-2</v>
      </c>
      <c r="P222">
        <f>INDEX(script.out!D:D,results.txt!$M222)</f>
        <v>0.147148</v>
      </c>
      <c r="Q222">
        <f>INDEX(script.out!E:E,results.txt!$M222)</f>
        <v>1.5607625218754499</v>
      </c>
      <c r="R222">
        <f>INDEX(script.out!F:F,results.txt!$M222)</f>
        <v>132.25</v>
      </c>
      <c r="S222">
        <f>INDEX(script.out!G:G,results.txt!$M222)</f>
        <v>22.399084643272602</v>
      </c>
      <c r="T222" t="str">
        <f>INDEX(script.out!H:H,results.txt!$M222)</f>
        <v>{</v>
      </c>
      <c r="U222">
        <f>INDEX(script.out!I:I,results.txt!$M222)</f>
        <v>0.75212299999999999</v>
      </c>
      <c r="V222">
        <f>INDEX(script.out!J:J,results.txt!$M222)</f>
        <v>93.878100000000003</v>
      </c>
      <c r="W222">
        <f>INDEX(script.out!K:K,results.txt!$M222)</f>
        <v>96.817319999999995</v>
      </c>
      <c r="X222" t="str">
        <f>INDEX(script.out!L:L,results.txt!$M222)</f>
        <v>}</v>
      </c>
      <c r="Y222" t="str">
        <f>INDEX(script.out!M:M,results.txt!$M222)</f>
        <v>{</v>
      </c>
      <c r="Z222">
        <f>INDEX(script.out!N:N,results.txt!$M222)</f>
        <v>11.249304815437499</v>
      </c>
      <c r="AA222">
        <f>INDEX(script.out!O:O,results.txt!$M222)</f>
        <v>19.5</v>
      </c>
      <c r="AB222">
        <f>INDEX(script.out!P:P,results.txt!$M222)</f>
        <v>5572.54</v>
      </c>
      <c r="AC222" t="str">
        <f>INDEX(script.out!Q:Q,results.txt!$M222)</f>
        <v>}</v>
      </c>
      <c r="AD222">
        <f t="shared" si="3"/>
        <v>1</v>
      </c>
    </row>
    <row r="223" spans="1:30" x14ac:dyDescent="0.25">
      <c r="A223" s="12" t="s">
        <v>2</v>
      </c>
      <c r="B223" s="12">
        <v>-3</v>
      </c>
      <c r="C223" s="12">
        <v>1.0081800000000001</v>
      </c>
      <c r="D223" s="12">
        <v>4.9511399999999997E-2</v>
      </c>
      <c r="E223" s="12">
        <v>0.61997999999999998</v>
      </c>
      <c r="F223" s="12">
        <v>-3</v>
      </c>
      <c r="G223" s="12">
        <v>24.495899999999999</v>
      </c>
      <c r="H223" s="12">
        <v>49</v>
      </c>
      <c r="I223" s="12">
        <v>202.34899999999999</v>
      </c>
      <c r="J223" s="12" t="s">
        <v>3</v>
      </c>
      <c r="K223" s="12">
        <v>1</v>
      </c>
      <c r="M223">
        <f>MATCH(C223,script.out!B:B,0)</f>
        <v>882</v>
      </c>
      <c r="N223">
        <f>INDEX(script.out!B:B,results.txt!$M223)</f>
        <v>1.0081800000000001</v>
      </c>
      <c r="O223">
        <f>INDEX(script.out!C:C,results.txt!$M223)</f>
        <v>4.9511399999999997E-2</v>
      </c>
      <c r="P223">
        <f>INDEX(script.out!D:D,results.txt!$M223)</f>
        <v>0.61997999999999998</v>
      </c>
      <c r="Q223">
        <f>INDEX(script.out!E:E,results.txt!$M223)</f>
        <v>24.495888546750301</v>
      </c>
      <c r="R223">
        <f>INDEX(script.out!F:F,results.txt!$M223)</f>
        <v>49</v>
      </c>
      <c r="S223">
        <f>INDEX(script.out!G:G,results.txt!$M223)</f>
        <v>202.348676374554</v>
      </c>
      <c r="T223" t="str">
        <f>INDEX(script.out!H:H,results.txt!$M223)</f>
        <v>{</v>
      </c>
      <c r="U223">
        <f>INDEX(script.out!I:I,results.txt!$M223)</f>
        <v>1.1065400000000001</v>
      </c>
      <c r="V223">
        <f>INDEX(script.out!J:J,results.txt!$M223)</f>
        <v>124.7557</v>
      </c>
      <c r="W223">
        <f>INDEX(script.out!K:K,results.txt!$M223)</f>
        <v>375.78820000000002</v>
      </c>
      <c r="X223" t="str">
        <f>INDEX(script.out!L:L,results.txt!$M223)</f>
        <v>}</v>
      </c>
      <c r="Y223" t="str">
        <f>INDEX(script.out!M:M,results.txt!$M223)</f>
        <v>{</v>
      </c>
      <c r="Z223">
        <f>INDEX(script.out!N:N,results.txt!$M223)</f>
        <v>14.949332131384001</v>
      </c>
      <c r="AA223">
        <f>INDEX(script.out!O:O,results.txt!$M223)</f>
        <v>15</v>
      </c>
      <c r="AB223">
        <f>INDEX(script.out!P:P,results.txt!$M223)</f>
        <v>2107.9</v>
      </c>
      <c r="AC223" t="str">
        <f>INDEX(script.out!Q:Q,results.txt!$M223)</f>
        <v>}</v>
      </c>
      <c r="AD223">
        <f t="shared" si="3"/>
        <v>1</v>
      </c>
    </row>
    <row r="224" spans="1:30" x14ac:dyDescent="0.25">
      <c r="A224" s="12" t="s">
        <v>2</v>
      </c>
      <c r="B224" s="12">
        <v>-3</v>
      </c>
      <c r="C224" s="12">
        <v>0.98914899999999994</v>
      </c>
      <c r="D224" s="12">
        <v>2.4464900000000001E-2</v>
      </c>
      <c r="E224" s="12">
        <v>0.56068099999999998</v>
      </c>
      <c r="F224" s="12">
        <v>-3</v>
      </c>
      <c r="G224" s="12">
        <v>11.8934</v>
      </c>
      <c r="H224" s="12">
        <v>64</v>
      </c>
      <c r="I224" s="12">
        <v>230.33799999999999</v>
      </c>
      <c r="J224" s="12" t="s">
        <v>3</v>
      </c>
      <c r="K224" s="12">
        <v>1</v>
      </c>
      <c r="M224">
        <f>MATCH(C224,script.out!B:B,0)</f>
        <v>883</v>
      </c>
      <c r="N224">
        <f>INDEX(script.out!B:B,results.txt!$M224)</f>
        <v>0.98914899999999994</v>
      </c>
      <c r="O224">
        <f>INDEX(script.out!C:C,results.txt!$M224)</f>
        <v>2.4464900000000001E-2</v>
      </c>
      <c r="P224">
        <f>INDEX(script.out!D:D,results.txt!$M224)</f>
        <v>0.56068099999999998</v>
      </c>
      <c r="Q224">
        <f>INDEX(script.out!E:E,results.txt!$M224)</f>
        <v>11.8934315306588</v>
      </c>
      <c r="R224">
        <f>INDEX(script.out!F:F,results.txt!$M224)</f>
        <v>64</v>
      </c>
      <c r="S224">
        <f>INDEX(script.out!G:G,results.txt!$M224)</f>
        <v>230.337586741227</v>
      </c>
      <c r="T224" t="str">
        <f>INDEX(script.out!H:H,results.txt!$M224)</f>
        <v>{</v>
      </c>
      <c r="U224">
        <f>INDEX(script.out!I:I,results.txt!$M224)</f>
        <v>1.0913189999999999</v>
      </c>
      <c r="V224">
        <f>INDEX(script.out!J:J,results.txt!$M224)</f>
        <v>112.23245</v>
      </c>
      <c r="W224">
        <f>INDEX(script.out!K:K,results.txt!$M224)</f>
        <v>340.80178999999998</v>
      </c>
      <c r="X224" t="str">
        <f>INDEX(script.out!L:L,results.txt!$M224)</f>
        <v>}</v>
      </c>
      <c r="Y224" t="str">
        <f>INDEX(script.out!M:M,results.txt!$M224)</f>
        <v>{</v>
      </c>
      <c r="Z224">
        <f>INDEX(script.out!N:N,results.txt!$M224)</f>
        <v>13.448685478651001</v>
      </c>
      <c r="AA224">
        <f>INDEX(script.out!O:O,results.txt!$M224)</f>
        <v>16</v>
      </c>
      <c r="AB224">
        <f>INDEX(script.out!P:P,results.txt!$M224)</f>
        <v>1760.44</v>
      </c>
      <c r="AC224" t="str">
        <f>INDEX(script.out!Q:Q,results.txt!$M224)</f>
        <v>}</v>
      </c>
      <c r="AD224">
        <f t="shared" si="3"/>
        <v>1</v>
      </c>
    </row>
    <row r="225" spans="1:30" x14ac:dyDescent="0.25">
      <c r="A225" s="12" t="s">
        <v>2</v>
      </c>
      <c r="B225" s="12">
        <v>-3</v>
      </c>
      <c r="C225" s="12">
        <v>0.95498400000000006</v>
      </c>
      <c r="D225" s="12">
        <v>0.11122</v>
      </c>
      <c r="E225" s="12">
        <v>0.58611599999999997</v>
      </c>
      <c r="F225" s="12">
        <v>-3</v>
      </c>
      <c r="G225" s="12">
        <v>74.763099999999994</v>
      </c>
      <c r="H225" s="12">
        <v>42.25</v>
      </c>
      <c r="I225" s="12">
        <v>108.673</v>
      </c>
      <c r="J225" s="12" t="s">
        <v>3</v>
      </c>
      <c r="K225" s="12">
        <v>0</v>
      </c>
      <c r="M225">
        <f>MATCH(C225,script.out!B:B,0)</f>
        <v>884</v>
      </c>
      <c r="N225">
        <f>INDEX(script.out!B:B,results.txt!$M225)</f>
        <v>0.95498400000000006</v>
      </c>
      <c r="O225">
        <f>INDEX(script.out!C:C,results.txt!$M225)</f>
        <v>0.11122</v>
      </c>
      <c r="P225">
        <f>INDEX(script.out!D:D,results.txt!$M225)</f>
        <v>0.58611599999999997</v>
      </c>
      <c r="Q225">
        <f>INDEX(script.out!E:E,results.txt!$M225)</f>
        <v>74.763128409948393</v>
      </c>
      <c r="R225">
        <f>INDEX(script.out!F:F,results.txt!$M225)</f>
        <v>42.25</v>
      </c>
      <c r="S225">
        <f>INDEX(script.out!G:G,results.txt!$M225)</f>
        <v>108.672913492963</v>
      </c>
      <c r="T225" t="str">
        <f>INDEX(script.out!H:H,results.txt!$M225)</f>
        <v>{</v>
      </c>
      <c r="U225">
        <f>INDEX(script.out!I:I,results.txt!$M225)</f>
        <v>1.063987</v>
      </c>
      <c r="V225">
        <f>INDEX(script.out!J:J,results.txt!$M225)</f>
        <v>155.61000000000001</v>
      </c>
      <c r="W225">
        <f>INDEX(script.out!K:K,results.txt!$M225)</f>
        <v>355.80844000000002</v>
      </c>
      <c r="X225" t="str">
        <f>INDEX(script.out!L:L,results.txt!$M225)</f>
        <v>}</v>
      </c>
      <c r="Y225" t="str">
        <f>INDEX(script.out!M:M,results.txt!$M225)</f>
        <v>{</v>
      </c>
      <c r="Z225">
        <f>INDEX(script.out!N:N,results.txt!$M225)</f>
        <v>18.646567435112502</v>
      </c>
      <c r="AA225">
        <f>INDEX(script.out!O:O,results.txt!$M225)</f>
        <v>14.5</v>
      </c>
      <c r="AB225">
        <f>INDEX(script.out!P:P,results.txt!$M225)</f>
        <v>3495.01</v>
      </c>
      <c r="AC225" t="str">
        <f>INDEX(script.out!Q:Q,results.txt!$M225)</f>
        <v>}</v>
      </c>
      <c r="AD225">
        <f t="shared" si="3"/>
        <v>1</v>
      </c>
    </row>
    <row r="226" spans="1:30" x14ac:dyDescent="0.25">
      <c r="A226" s="12" t="s">
        <v>2</v>
      </c>
      <c r="B226" s="12">
        <v>-3</v>
      </c>
      <c r="C226" s="12">
        <v>0.17203599999999999</v>
      </c>
      <c r="D226" s="12">
        <v>-4.1477199999999997E-3</v>
      </c>
      <c r="E226" s="12">
        <v>0.15218499999999999</v>
      </c>
      <c r="F226" s="12">
        <v>-3</v>
      </c>
      <c r="G226" s="12">
        <v>3.00806</v>
      </c>
      <c r="H226" s="12">
        <v>132.25</v>
      </c>
      <c r="I226" s="12">
        <v>41.820799999999998</v>
      </c>
      <c r="J226" s="12" t="s">
        <v>3</v>
      </c>
      <c r="K226" s="12">
        <v>1</v>
      </c>
      <c r="M226">
        <f>MATCH(C226,script.out!B:B,0)</f>
        <v>885</v>
      </c>
      <c r="N226">
        <f>INDEX(script.out!B:B,results.txt!$M226)</f>
        <v>0.17203599999999999</v>
      </c>
      <c r="O226">
        <f>INDEX(script.out!C:C,results.txt!$M226)</f>
        <v>-4.1477199999999997E-3</v>
      </c>
      <c r="P226">
        <f>INDEX(script.out!D:D,results.txt!$M226)</f>
        <v>0.15218499999999999</v>
      </c>
      <c r="Q226">
        <f>INDEX(script.out!E:E,results.txt!$M226)</f>
        <v>3.0080628692707401</v>
      </c>
      <c r="R226">
        <f>INDEX(script.out!F:F,results.txt!$M226)</f>
        <v>132.25</v>
      </c>
      <c r="S226">
        <f>INDEX(script.out!G:G,results.txt!$M226)</f>
        <v>41.820848762619597</v>
      </c>
      <c r="T226" t="str">
        <f>INDEX(script.out!H:H,results.txt!$M226)</f>
        <v>{</v>
      </c>
      <c r="U226">
        <f>INDEX(script.out!I:I,results.txt!$M226)</f>
        <v>0.43762800000000002</v>
      </c>
      <c r="V226">
        <f>INDEX(script.out!J:J,results.txt!$M226)</f>
        <v>97.926140000000004</v>
      </c>
      <c r="W226">
        <f>INDEX(script.out!K:K,results.txt!$M226)</f>
        <v>99.789150000000006</v>
      </c>
      <c r="X226" t="str">
        <f>INDEX(script.out!L:L,results.txt!$M226)</f>
        <v>}</v>
      </c>
      <c r="Y226" t="str">
        <f>INDEX(script.out!M:M,results.txt!$M226)</f>
        <v>{</v>
      </c>
      <c r="Z226">
        <f>INDEX(script.out!N:N,results.txt!$M226)</f>
        <v>11.7343767956446</v>
      </c>
      <c r="AA226">
        <f>INDEX(script.out!O:O,results.txt!$M226)</f>
        <v>19.5</v>
      </c>
      <c r="AB226">
        <f>INDEX(script.out!P:P,results.txt!$M226)</f>
        <v>4939.58</v>
      </c>
      <c r="AC226" t="str">
        <f>INDEX(script.out!Q:Q,results.txt!$M226)</f>
        <v>}</v>
      </c>
      <c r="AD226">
        <f t="shared" si="3"/>
        <v>1</v>
      </c>
    </row>
    <row r="227" spans="1:30" x14ac:dyDescent="0.25">
      <c r="A227" s="12" t="s">
        <v>2</v>
      </c>
      <c r="B227" s="12">
        <v>-3</v>
      </c>
      <c r="C227" s="12">
        <v>1.0273099999999999</v>
      </c>
      <c r="D227" s="12">
        <v>-7.5617599999999993E-2</v>
      </c>
      <c r="E227" s="12">
        <v>0.72494499999999995</v>
      </c>
      <c r="F227" s="12">
        <v>-3</v>
      </c>
      <c r="G227" s="12">
        <v>6.49078</v>
      </c>
      <c r="H227" s="12">
        <v>132.25</v>
      </c>
      <c r="I227" s="12">
        <v>343.44799999999998</v>
      </c>
      <c r="J227" s="12" t="s">
        <v>3</v>
      </c>
      <c r="K227" s="12">
        <v>1</v>
      </c>
      <c r="M227">
        <f>MATCH(C227,script.out!B:B,0)</f>
        <v>886</v>
      </c>
      <c r="N227">
        <f>INDEX(script.out!B:B,results.txt!$M227)</f>
        <v>1.0273099999999999</v>
      </c>
      <c r="O227">
        <f>INDEX(script.out!C:C,results.txt!$M227)</f>
        <v>-7.5617599999999993E-2</v>
      </c>
      <c r="P227">
        <f>INDEX(script.out!D:D,results.txt!$M227)</f>
        <v>0.72494499999999995</v>
      </c>
      <c r="Q227">
        <f>INDEX(script.out!E:E,results.txt!$M227)</f>
        <v>6.4907752352977104</v>
      </c>
      <c r="R227">
        <f>INDEX(script.out!F:F,results.txt!$M227)</f>
        <v>132.25</v>
      </c>
      <c r="S227">
        <f>INDEX(script.out!G:G,results.txt!$M227)</f>
        <v>343.44822500356503</v>
      </c>
      <c r="T227" t="str">
        <f>INDEX(script.out!H:H,results.txt!$M227)</f>
        <v>{</v>
      </c>
      <c r="U227">
        <f>INDEX(script.out!I:I,results.txt!$M227)</f>
        <v>1.1218399999999999</v>
      </c>
      <c r="V227">
        <f>INDEX(script.out!J:J,results.txt!$M227)</f>
        <v>62.191200000000002</v>
      </c>
      <c r="W227">
        <f>INDEX(script.out!K:K,results.txt!$M227)</f>
        <v>437.71755000000002</v>
      </c>
      <c r="X227" t="str">
        <f>INDEX(script.out!L:L,results.txt!$M227)</f>
        <v>}</v>
      </c>
      <c r="Y227" t="str">
        <f>INDEX(script.out!M:M,results.txt!$M227)</f>
        <v>{</v>
      </c>
      <c r="Z227">
        <f>INDEX(script.out!N:N,results.txt!$M227)</f>
        <v>7.4523000107356197</v>
      </c>
      <c r="AA227">
        <f>INDEX(script.out!O:O,results.txt!$M227)</f>
        <v>19.5</v>
      </c>
      <c r="AB227">
        <f>INDEX(script.out!P:P,results.txt!$M227)</f>
        <v>535.69000000000005</v>
      </c>
      <c r="AC227" t="str">
        <f>INDEX(script.out!Q:Q,results.txt!$M227)</f>
        <v>}</v>
      </c>
      <c r="AD227">
        <f t="shared" si="3"/>
        <v>1</v>
      </c>
    </row>
    <row r="228" spans="1:30" x14ac:dyDescent="0.25">
      <c r="A228" s="12" t="s">
        <v>2</v>
      </c>
      <c r="B228" s="12">
        <v>-3</v>
      </c>
      <c r="C228" s="12">
        <v>1.135</v>
      </c>
      <c r="D228" s="12">
        <v>0.25669500000000001</v>
      </c>
      <c r="E228" s="12">
        <v>0.56784999999999997</v>
      </c>
      <c r="F228" s="12">
        <v>-3</v>
      </c>
      <c r="G228" s="12">
        <v>301.46100000000001</v>
      </c>
      <c r="H228" s="12">
        <v>30.25</v>
      </c>
      <c r="I228" s="12">
        <v>46.412700000000001</v>
      </c>
      <c r="J228" s="12" t="s">
        <v>3</v>
      </c>
      <c r="K228" s="12">
        <v>1</v>
      </c>
      <c r="M228">
        <f>MATCH(C228,script.out!B:B,0)</f>
        <v>887</v>
      </c>
      <c r="N228">
        <f>INDEX(script.out!B:B,results.txt!$M228)</f>
        <v>1.135</v>
      </c>
      <c r="O228">
        <f>INDEX(script.out!C:C,results.txt!$M228)</f>
        <v>0.25669500000000001</v>
      </c>
      <c r="P228">
        <f>INDEX(script.out!D:D,results.txt!$M228)</f>
        <v>0.56784999999999997</v>
      </c>
      <c r="Q228">
        <f>INDEX(script.out!E:E,results.txt!$M228)</f>
        <v>301.46051952616301</v>
      </c>
      <c r="R228">
        <f>INDEX(script.out!F:F,results.txt!$M228)</f>
        <v>30.25</v>
      </c>
      <c r="S228">
        <f>INDEX(script.out!G:G,results.txt!$M228)</f>
        <v>46.412675975980399</v>
      </c>
      <c r="T228" t="str">
        <f>INDEX(script.out!H:H,results.txt!$M228)</f>
        <v>{</v>
      </c>
      <c r="U228">
        <f>INDEX(script.out!I:I,results.txt!$M228)</f>
        <v>1.208</v>
      </c>
      <c r="V228">
        <f>INDEX(script.out!J:J,results.txt!$M228)</f>
        <v>228.3475</v>
      </c>
      <c r="W228">
        <f>INDEX(script.out!K:K,results.txt!$M228)</f>
        <v>345.03149999999999</v>
      </c>
      <c r="X228" t="str">
        <f>INDEX(script.out!L:L,results.txt!$M228)</f>
        <v>}</v>
      </c>
      <c r="Y228" t="str">
        <f>INDEX(script.out!M:M,results.txt!$M228)</f>
        <v>{</v>
      </c>
      <c r="Z228">
        <f>INDEX(script.out!N:N,results.txt!$M228)</f>
        <v>27.3626184524732</v>
      </c>
      <c r="AA228">
        <f>INDEX(script.out!O:O,results.txt!$M228)</f>
        <v>13.5</v>
      </c>
      <c r="AB228">
        <f>INDEX(script.out!P:P,results.txt!$M228)</f>
        <v>4813.37</v>
      </c>
      <c r="AC228" t="str">
        <f>INDEX(script.out!Q:Q,results.txt!$M228)</f>
        <v>}</v>
      </c>
      <c r="AD228">
        <f t="shared" si="3"/>
        <v>1</v>
      </c>
    </row>
    <row r="229" spans="1:30" x14ac:dyDescent="0.25">
      <c r="A229" s="12" t="s">
        <v>2</v>
      </c>
      <c r="B229" s="12">
        <v>-3</v>
      </c>
      <c r="C229" s="12">
        <v>0.94360100000000002</v>
      </c>
      <c r="D229" s="12">
        <v>0.325762</v>
      </c>
      <c r="E229" s="12">
        <v>0.68273899999999998</v>
      </c>
      <c r="F229" s="12">
        <v>-3</v>
      </c>
      <c r="G229" s="12">
        <v>462.28100000000001</v>
      </c>
      <c r="H229" s="12">
        <v>42.25</v>
      </c>
      <c r="I229" s="12">
        <v>46.2042</v>
      </c>
      <c r="J229" s="12" t="s">
        <v>3</v>
      </c>
      <c r="K229" s="12">
        <v>1</v>
      </c>
      <c r="M229">
        <f>MATCH(C229,script.out!B:B,0)</f>
        <v>888</v>
      </c>
      <c r="N229">
        <f>INDEX(script.out!B:B,results.txt!$M229)</f>
        <v>0.94360100000000002</v>
      </c>
      <c r="O229">
        <f>INDEX(script.out!C:C,results.txt!$M229)</f>
        <v>0.325762</v>
      </c>
      <c r="P229">
        <f>INDEX(script.out!D:D,results.txt!$M229)</f>
        <v>0.68273899999999998</v>
      </c>
      <c r="Q229">
        <f>INDEX(script.out!E:E,results.txt!$M229)</f>
        <v>462.28130724636702</v>
      </c>
      <c r="R229">
        <f>INDEX(script.out!F:F,results.txt!$M229)</f>
        <v>42.25</v>
      </c>
      <c r="S229">
        <f>INDEX(script.out!G:G,results.txt!$M229)</f>
        <v>46.2042370546068</v>
      </c>
      <c r="T229" t="str">
        <f>INDEX(script.out!H:H,results.txt!$M229)</f>
        <v>{</v>
      </c>
      <c r="U229">
        <f>INDEX(script.out!I:I,results.txt!$M229)</f>
        <v>1.05488</v>
      </c>
      <c r="V229">
        <f>INDEX(script.out!J:J,results.txt!$M229)</f>
        <v>262.88099999999997</v>
      </c>
      <c r="W229">
        <f>INDEX(script.out!K:K,results.txt!$M229)</f>
        <v>412.81601000000001</v>
      </c>
      <c r="X229" t="str">
        <f>INDEX(script.out!L:L,results.txt!$M229)</f>
        <v>}</v>
      </c>
      <c r="Y229" t="str">
        <f>INDEX(script.out!M:M,results.txt!$M229)</f>
        <v>{</v>
      </c>
      <c r="Z229">
        <f>INDEX(script.out!N:N,results.txt!$M229)</f>
        <v>31.5007280631695</v>
      </c>
      <c r="AA229">
        <f>INDEX(script.out!O:O,results.txt!$M229)</f>
        <v>14.5</v>
      </c>
      <c r="AB229">
        <f>INDEX(script.out!P:P,results.txt!$M229)</f>
        <v>4818.96</v>
      </c>
      <c r="AC229" t="str">
        <f>INDEX(script.out!Q:Q,results.txt!$M229)</f>
        <v>}</v>
      </c>
      <c r="AD229">
        <f t="shared" si="3"/>
        <v>1</v>
      </c>
    </row>
    <row r="230" spans="1:30" x14ac:dyDescent="0.25">
      <c r="A230" s="12" t="s">
        <v>2</v>
      </c>
      <c r="B230" s="12">
        <v>-3</v>
      </c>
      <c r="C230" s="12">
        <v>0.80746099999999998</v>
      </c>
      <c r="D230" s="12">
        <v>0.19195100000000001</v>
      </c>
      <c r="E230" s="12">
        <v>0.45455699999999999</v>
      </c>
      <c r="F230" s="12">
        <v>-3</v>
      </c>
      <c r="G230" s="12">
        <v>181.80500000000001</v>
      </c>
      <c r="H230" s="12">
        <v>42.25</v>
      </c>
      <c r="I230" s="12">
        <v>1.9673700000000001</v>
      </c>
      <c r="J230" s="12" t="s">
        <v>3</v>
      </c>
      <c r="K230" s="12">
        <v>0</v>
      </c>
      <c r="M230">
        <f>MATCH(C230,script.out!B:B,0)</f>
        <v>889</v>
      </c>
      <c r="N230">
        <f>INDEX(script.out!B:B,results.txt!$M230)</f>
        <v>0.80746099999999998</v>
      </c>
      <c r="O230">
        <f>INDEX(script.out!C:C,results.txt!$M230)</f>
        <v>0.19195100000000001</v>
      </c>
      <c r="P230">
        <f>INDEX(script.out!D:D,results.txt!$M230)</f>
        <v>0.45455699999999999</v>
      </c>
      <c r="Q230">
        <f>INDEX(script.out!E:E,results.txt!$M230)</f>
        <v>181.805281987466</v>
      </c>
      <c r="R230">
        <f>INDEX(script.out!F:F,results.txt!$M230)</f>
        <v>42.25</v>
      </c>
      <c r="S230">
        <f>INDEX(script.out!G:G,results.txt!$M230)</f>
        <v>1.96737130118221</v>
      </c>
      <c r="T230" t="str">
        <f>INDEX(script.out!H:H,results.txt!$M230)</f>
        <v>{</v>
      </c>
      <c r="U230">
        <f>INDEX(script.out!I:I,results.txt!$M230)</f>
        <v>0.94596800000000003</v>
      </c>
      <c r="V230">
        <f>INDEX(script.out!J:J,results.txt!$M230)</f>
        <v>195.97550000000001</v>
      </c>
      <c r="W230">
        <f>INDEX(script.out!K:K,results.txt!$M230)</f>
        <v>278.18862999999999</v>
      </c>
      <c r="X230" t="str">
        <f>INDEX(script.out!L:L,results.txt!$M230)</f>
        <v>}</v>
      </c>
      <c r="Y230" t="str">
        <f>INDEX(script.out!M:M,results.txt!$M230)</f>
        <v>{</v>
      </c>
      <c r="Z230">
        <f>INDEX(script.out!N:N,results.txt!$M230)</f>
        <v>23.4835189022549</v>
      </c>
      <c r="AA230">
        <f>INDEX(script.out!O:O,results.txt!$M230)</f>
        <v>14.5</v>
      </c>
      <c r="AB230">
        <f>INDEX(script.out!P:P,results.txt!$M230)</f>
        <v>6788.04</v>
      </c>
      <c r="AC230" t="str">
        <f>INDEX(script.out!Q:Q,results.txt!$M230)</f>
        <v>}</v>
      </c>
      <c r="AD230">
        <f t="shared" si="3"/>
        <v>1</v>
      </c>
    </row>
    <row r="231" spans="1:30" x14ac:dyDescent="0.25">
      <c r="A231" s="12" t="s">
        <v>2</v>
      </c>
      <c r="B231" s="12">
        <v>-3</v>
      </c>
      <c r="C231" s="12">
        <v>1.03599</v>
      </c>
      <c r="D231" s="12">
        <v>1.8685899999999998E-2</v>
      </c>
      <c r="E231" s="12">
        <v>0.66836899999999999</v>
      </c>
      <c r="F231" s="12">
        <v>-3</v>
      </c>
      <c r="G231" s="12">
        <v>9.6251300000000004</v>
      </c>
      <c r="H231" s="12">
        <v>64</v>
      </c>
      <c r="I231" s="12">
        <v>255.893</v>
      </c>
      <c r="J231" s="12" t="s">
        <v>3</v>
      </c>
      <c r="K231" s="12">
        <v>1</v>
      </c>
      <c r="M231">
        <f>MATCH(C231,script.out!B:B,0)</f>
        <v>890</v>
      </c>
      <c r="N231">
        <f>INDEX(script.out!B:B,results.txt!$M231)</f>
        <v>1.03599</v>
      </c>
      <c r="O231">
        <f>INDEX(script.out!C:C,results.txt!$M231)</f>
        <v>1.8685899999999998E-2</v>
      </c>
      <c r="P231">
        <f>INDEX(script.out!D:D,results.txt!$M231)</f>
        <v>0.66836899999999999</v>
      </c>
      <c r="Q231">
        <f>INDEX(script.out!E:E,results.txt!$M231)</f>
        <v>9.6251340464733097</v>
      </c>
      <c r="R231">
        <f>INDEX(script.out!F:F,results.txt!$M231)</f>
        <v>64</v>
      </c>
      <c r="S231">
        <f>INDEX(script.out!G:G,results.txt!$M231)</f>
        <v>255.89305226796699</v>
      </c>
      <c r="T231" t="str">
        <f>INDEX(script.out!H:H,results.txt!$M231)</f>
        <v>{</v>
      </c>
      <c r="U231">
        <f>INDEX(script.out!I:I,results.txt!$M231)</f>
        <v>1.12879</v>
      </c>
      <c r="V231">
        <f>INDEX(script.out!J:J,results.txt!$M231)</f>
        <v>109.34295</v>
      </c>
      <c r="W231">
        <f>INDEX(script.out!K:K,results.txt!$M231)</f>
        <v>404.33771000000002</v>
      </c>
      <c r="X231" t="str">
        <f>INDEX(script.out!L:L,results.txt!$M231)</f>
        <v>}</v>
      </c>
      <c r="Y231" t="str">
        <f>INDEX(script.out!M:M,results.txt!$M231)</f>
        <v>{</v>
      </c>
      <c r="Z231">
        <f>INDEX(script.out!N:N,results.txt!$M231)</f>
        <v>13.1024400149677</v>
      </c>
      <c r="AA231">
        <f>INDEX(script.out!O:O,results.txt!$M231)</f>
        <v>16</v>
      </c>
      <c r="AB231">
        <f>INDEX(script.out!P:P,results.txt!$M231)</f>
        <v>1461.22</v>
      </c>
      <c r="AC231" t="str">
        <f>INDEX(script.out!Q:Q,results.txt!$M231)</f>
        <v>}</v>
      </c>
      <c r="AD231">
        <f t="shared" si="3"/>
        <v>1</v>
      </c>
    </row>
    <row r="232" spans="1:30" x14ac:dyDescent="0.25">
      <c r="A232" s="12" t="s">
        <v>2</v>
      </c>
      <c r="B232" s="12">
        <v>-3</v>
      </c>
      <c r="C232" s="12">
        <v>0.87509099999999995</v>
      </c>
      <c r="D232" s="12">
        <v>-1.9753000000000001E-3</v>
      </c>
      <c r="E232" s="12">
        <v>0.70521699999999998</v>
      </c>
      <c r="F232" s="12">
        <v>-3</v>
      </c>
      <c r="G232" s="12">
        <v>3.4764900000000001</v>
      </c>
      <c r="H232" s="12">
        <v>81</v>
      </c>
      <c r="I232" s="12">
        <v>263.36200000000002</v>
      </c>
      <c r="J232" s="12" t="s">
        <v>3</v>
      </c>
      <c r="K232" s="12">
        <v>0</v>
      </c>
      <c r="M232">
        <f>MATCH(C232,script.out!B:B,0)</f>
        <v>891</v>
      </c>
      <c r="N232">
        <f>INDEX(script.out!B:B,results.txt!$M232)</f>
        <v>0.87509099999999995</v>
      </c>
      <c r="O232">
        <f>INDEX(script.out!C:C,results.txt!$M232)</f>
        <v>-1.9753000000000001E-3</v>
      </c>
      <c r="P232">
        <f>INDEX(script.out!D:D,results.txt!$M232)</f>
        <v>0.70521699999999998</v>
      </c>
      <c r="Q232">
        <f>INDEX(script.out!E:E,results.txt!$M232)</f>
        <v>3.4764948361621699</v>
      </c>
      <c r="R232">
        <f>INDEX(script.out!F:F,results.txt!$M232)</f>
        <v>81</v>
      </c>
      <c r="S232">
        <f>INDEX(script.out!G:G,results.txt!$M232)</f>
        <v>263.36221147982701</v>
      </c>
      <c r="T232" t="str">
        <f>INDEX(script.out!H:H,results.txt!$M232)</f>
        <v>{</v>
      </c>
      <c r="U232">
        <f>INDEX(script.out!I:I,results.txt!$M232)</f>
        <v>1.0000720000000001</v>
      </c>
      <c r="V232">
        <f>INDEX(script.out!J:J,results.txt!$M232)</f>
        <v>99.012349999999998</v>
      </c>
      <c r="W232">
        <f>INDEX(script.out!K:K,results.txt!$M232)</f>
        <v>426.07803000000001</v>
      </c>
      <c r="X232" t="str">
        <f>INDEX(script.out!L:L,results.txt!$M232)</f>
        <v>}</v>
      </c>
      <c r="Y232" t="str">
        <f>INDEX(script.out!M:M,results.txt!$M232)</f>
        <v>{</v>
      </c>
      <c r="Z232">
        <f>INDEX(script.out!N:N,results.txt!$M232)</f>
        <v>11.8645360914077</v>
      </c>
      <c r="AA232">
        <f>INDEX(script.out!O:O,results.txt!$M232)</f>
        <v>17</v>
      </c>
      <c r="AB232">
        <f>INDEX(script.out!P:P,results.txt!$M232)</f>
        <v>1376.62</v>
      </c>
      <c r="AC232" t="str">
        <f>INDEX(script.out!Q:Q,results.txt!$M232)</f>
        <v>}</v>
      </c>
      <c r="AD232">
        <f t="shared" si="3"/>
        <v>1</v>
      </c>
    </row>
    <row r="233" spans="1:30" x14ac:dyDescent="0.25">
      <c r="A233" s="12" t="s">
        <v>2</v>
      </c>
      <c r="B233" s="12">
        <v>-3</v>
      </c>
      <c r="C233" s="12">
        <v>1.0394000000000001</v>
      </c>
      <c r="D233" s="12">
        <v>7.0502899999999993E-2</v>
      </c>
      <c r="E233" s="12">
        <v>0.60957899999999998</v>
      </c>
      <c r="F233" s="12">
        <v>-3</v>
      </c>
      <c r="G233" s="12">
        <v>38.527200000000001</v>
      </c>
      <c r="H233" s="12">
        <v>49</v>
      </c>
      <c r="I233" s="12">
        <v>186.542</v>
      </c>
      <c r="J233" s="12" t="s">
        <v>3</v>
      </c>
      <c r="K233" s="12">
        <v>0</v>
      </c>
      <c r="M233">
        <f>MATCH(C233,script.out!B:B,0)</f>
        <v>892</v>
      </c>
      <c r="N233">
        <f>INDEX(script.out!B:B,results.txt!$M233)</f>
        <v>1.0394000000000001</v>
      </c>
      <c r="O233">
        <f>INDEX(script.out!C:C,results.txt!$M233)</f>
        <v>7.0502899999999993E-2</v>
      </c>
      <c r="P233">
        <f>INDEX(script.out!D:D,results.txt!$M233)</f>
        <v>0.60957899999999998</v>
      </c>
      <c r="Q233">
        <f>INDEX(script.out!E:E,results.txt!$M233)</f>
        <v>38.527169152926497</v>
      </c>
      <c r="R233">
        <f>INDEX(script.out!F:F,results.txt!$M233)</f>
        <v>49</v>
      </c>
      <c r="S233">
        <f>INDEX(script.out!G:G,results.txt!$M233)</f>
        <v>186.54171238431201</v>
      </c>
      <c r="T233" t="str">
        <f>INDEX(script.out!H:H,results.txt!$M233)</f>
        <v>{</v>
      </c>
      <c r="U233">
        <f>INDEX(script.out!I:I,results.txt!$M233)</f>
        <v>1.1315</v>
      </c>
      <c r="V233">
        <f>INDEX(script.out!J:J,results.txt!$M233)</f>
        <v>135.25145000000001</v>
      </c>
      <c r="W233">
        <f>INDEX(script.out!K:K,results.txt!$M233)</f>
        <v>369.65161000000001</v>
      </c>
      <c r="X233" t="str">
        <f>INDEX(script.out!L:L,results.txt!$M233)</f>
        <v>}</v>
      </c>
      <c r="Y233" t="str">
        <f>INDEX(script.out!M:M,results.txt!$M233)</f>
        <v>{</v>
      </c>
      <c r="Z233">
        <f>INDEX(script.out!N:N,results.txt!$M233)</f>
        <v>16.2070257896134</v>
      </c>
      <c r="AA233">
        <f>INDEX(script.out!O:O,results.txt!$M233)</f>
        <v>15</v>
      </c>
      <c r="AB233">
        <f>INDEX(script.out!P:P,results.txt!$M233)</f>
        <v>2314.8200000000002</v>
      </c>
      <c r="AC233" t="str">
        <f>INDEX(script.out!Q:Q,results.txt!$M233)</f>
        <v>}</v>
      </c>
      <c r="AD233">
        <f t="shared" si="3"/>
        <v>1</v>
      </c>
    </row>
    <row r="234" spans="1:30" x14ac:dyDescent="0.25">
      <c r="A234" s="12" t="s">
        <v>2</v>
      </c>
      <c r="B234" s="12">
        <v>-3</v>
      </c>
      <c r="C234" s="12">
        <v>0.59742700000000004</v>
      </c>
      <c r="D234" s="12">
        <v>3.19761E-2</v>
      </c>
      <c r="E234" s="12">
        <v>0.27335300000000001</v>
      </c>
      <c r="F234" s="12">
        <v>-3</v>
      </c>
      <c r="G234" s="12">
        <v>15.2</v>
      </c>
      <c r="H234" s="12">
        <v>100</v>
      </c>
      <c r="I234" s="12">
        <v>56.339199999999998</v>
      </c>
      <c r="J234" s="12" t="s">
        <v>3</v>
      </c>
      <c r="K234" s="12">
        <v>1</v>
      </c>
      <c r="M234">
        <f>MATCH(C234,script.out!B:B,0)</f>
        <v>893</v>
      </c>
      <c r="N234">
        <f>INDEX(script.out!B:B,results.txt!$M234)</f>
        <v>0.59742700000000004</v>
      </c>
      <c r="O234">
        <f>INDEX(script.out!C:C,results.txt!$M234)</f>
        <v>3.19761E-2</v>
      </c>
      <c r="P234">
        <f>INDEX(script.out!D:D,results.txt!$M234)</f>
        <v>0.27335300000000001</v>
      </c>
      <c r="Q234">
        <f>INDEX(script.out!E:E,results.txt!$M234)</f>
        <v>15.199976388422099</v>
      </c>
      <c r="R234">
        <f>INDEX(script.out!F:F,results.txt!$M234)</f>
        <v>100</v>
      </c>
      <c r="S234">
        <f>INDEX(script.out!G:G,results.txt!$M234)</f>
        <v>56.339213427659899</v>
      </c>
      <c r="T234" t="str">
        <f>INDEX(script.out!H:H,results.txt!$M234)</f>
        <v>{</v>
      </c>
      <c r="U234">
        <f>INDEX(script.out!I:I,results.txt!$M234)</f>
        <v>0.77794099999999999</v>
      </c>
      <c r="V234">
        <f>INDEX(script.out!J:J,results.txt!$M234)</f>
        <v>115.98805</v>
      </c>
      <c r="W234">
        <f>INDEX(script.out!K:K,results.txt!$M234)</f>
        <v>171.27826999999999</v>
      </c>
      <c r="X234" t="str">
        <f>INDEX(script.out!L:L,results.txt!$M234)</f>
        <v>}</v>
      </c>
      <c r="Y234" t="str">
        <f>INDEX(script.out!M:M,results.txt!$M234)</f>
        <v>{</v>
      </c>
      <c r="Z234">
        <f>INDEX(script.out!N:N,results.txt!$M234)</f>
        <v>13.8987147098014</v>
      </c>
      <c r="AA234">
        <f>INDEX(script.out!O:O,results.txt!$M234)</f>
        <v>18</v>
      </c>
      <c r="AB234">
        <f>INDEX(script.out!P:P,results.txt!$M234)</f>
        <v>4560.33</v>
      </c>
      <c r="AC234" t="str">
        <f>INDEX(script.out!Q:Q,results.txt!$M234)</f>
        <v>}</v>
      </c>
      <c r="AD234">
        <f t="shared" si="3"/>
        <v>1</v>
      </c>
    </row>
    <row r="235" spans="1:30" x14ac:dyDescent="0.25">
      <c r="A235" s="12" t="s">
        <v>2</v>
      </c>
      <c r="B235" s="12">
        <v>-3</v>
      </c>
      <c r="C235" s="12">
        <v>1.03172</v>
      </c>
      <c r="D235" s="12">
        <v>2.5538499999999999E-2</v>
      </c>
      <c r="E235" s="12">
        <v>0.59453999999999996</v>
      </c>
      <c r="F235" s="12">
        <v>-3</v>
      </c>
      <c r="G235" s="12">
        <v>12.341200000000001</v>
      </c>
      <c r="H235" s="12">
        <v>64</v>
      </c>
      <c r="I235" s="12">
        <v>237.94499999999999</v>
      </c>
      <c r="J235" s="12" t="s">
        <v>3</v>
      </c>
      <c r="K235" s="12">
        <v>1</v>
      </c>
      <c r="M235">
        <f>MATCH(C235,script.out!B:B,0)</f>
        <v>894</v>
      </c>
      <c r="N235">
        <f>INDEX(script.out!B:B,results.txt!$M235)</f>
        <v>1.03172</v>
      </c>
      <c r="O235">
        <f>INDEX(script.out!C:C,results.txt!$M235)</f>
        <v>2.5538499999999999E-2</v>
      </c>
      <c r="P235">
        <f>INDEX(script.out!D:D,results.txt!$M235)</f>
        <v>0.59453999999999996</v>
      </c>
      <c r="Q235">
        <f>INDEX(script.out!E:E,results.txt!$M235)</f>
        <v>12.341236489247599</v>
      </c>
      <c r="R235">
        <f>INDEX(script.out!F:F,results.txt!$M235)</f>
        <v>64</v>
      </c>
      <c r="S235">
        <f>INDEX(script.out!G:G,results.txt!$M235)</f>
        <v>237.945416325764</v>
      </c>
      <c r="T235" t="str">
        <f>INDEX(script.out!H:H,results.txt!$M235)</f>
        <v>{</v>
      </c>
      <c r="U235">
        <f>INDEX(script.out!I:I,results.txt!$M235)</f>
        <v>1.12537</v>
      </c>
      <c r="V235">
        <f>INDEX(script.out!J:J,results.txt!$M235)</f>
        <v>112.76925</v>
      </c>
      <c r="W235">
        <f>INDEX(script.out!K:K,results.txt!$M235)</f>
        <v>360.77859999999998</v>
      </c>
      <c r="X235" t="str">
        <f>INDEX(script.out!L:L,results.txt!$M235)</f>
        <v>}</v>
      </c>
      <c r="Y235" t="str">
        <f>INDEX(script.out!M:M,results.txt!$M235)</f>
        <v>{</v>
      </c>
      <c r="Z235">
        <f>INDEX(script.out!N:N,results.txt!$M235)</f>
        <v>13.513009605629801</v>
      </c>
      <c r="AA235">
        <f>INDEX(script.out!O:O,results.txt!$M235)</f>
        <v>16</v>
      </c>
      <c r="AB235">
        <f>INDEX(script.out!P:P,results.txt!$M235)</f>
        <v>1669.7</v>
      </c>
      <c r="AC235" t="str">
        <f>INDEX(script.out!Q:Q,results.txt!$M235)</f>
        <v>}</v>
      </c>
      <c r="AD235">
        <f t="shared" si="3"/>
        <v>1</v>
      </c>
    </row>
    <row r="236" spans="1:30" x14ac:dyDescent="0.25">
      <c r="A236" s="12" t="s">
        <v>2</v>
      </c>
      <c r="B236" s="12">
        <v>-3</v>
      </c>
      <c r="C236" s="12">
        <v>0.21126300000000001</v>
      </c>
      <c r="D236" s="12">
        <v>-6.0484200000000002E-2</v>
      </c>
      <c r="E236" s="12">
        <v>0.196382</v>
      </c>
      <c r="F236" s="12">
        <v>-3</v>
      </c>
      <c r="G236" s="12">
        <v>2.69285</v>
      </c>
      <c r="H236" s="12">
        <v>156.25</v>
      </c>
      <c r="I236" s="12">
        <v>131.845</v>
      </c>
      <c r="J236" s="12" t="s">
        <v>3</v>
      </c>
      <c r="K236" s="12">
        <v>1</v>
      </c>
      <c r="M236">
        <f>MATCH(C236,script.out!B:B,0)</f>
        <v>895</v>
      </c>
      <c r="N236">
        <f>INDEX(script.out!B:B,results.txt!$M236)</f>
        <v>0.21126300000000001</v>
      </c>
      <c r="O236">
        <f>INDEX(script.out!C:C,results.txt!$M236)</f>
        <v>-6.0484200000000002E-2</v>
      </c>
      <c r="P236">
        <f>INDEX(script.out!D:D,results.txt!$M236)</f>
        <v>0.196382</v>
      </c>
      <c r="Q236">
        <f>INDEX(script.out!E:E,results.txt!$M236)</f>
        <v>2.6928515466174798</v>
      </c>
      <c r="R236">
        <f>INDEX(script.out!F:F,results.txt!$M236)</f>
        <v>156.25</v>
      </c>
      <c r="S236">
        <f>INDEX(script.out!G:G,results.txt!$M236)</f>
        <v>131.84513225670801</v>
      </c>
      <c r="T236" t="str">
        <f>INDEX(script.out!H:H,results.txt!$M236)</f>
        <v>{</v>
      </c>
      <c r="U236">
        <f>INDEX(script.out!I:I,results.txt!$M236)</f>
        <v>0.46900999999999998</v>
      </c>
      <c r="V236">
        <f>INDEX(script.out!J:J,results.txt!$M236)</f>
        <v>69.757900000000006</v>
      </c>
      <c r="W236">
        <f>INDEX(script.out!K:K,results.txt!$M236)</f>
        <v>125.86538</v>
      </c>
      <c r="X236" t="str">
        <f>INDEX(script.out!L:L,results.txt!$M236)</f>
        <v>}</v>
      </c>
      <c r="Y236" t="str">
        <f>INDEX(script.out!M:M,results.txt!$M236)</f>
        <v>{</v>
      </c>
      <c r="Z236">
        <f>INDEX(script.out!N:N,results.txt!$M236)</f>
        <v>8.35900897424224</v>
      </c>
      <c r="AA236">
        <f>INDEX(script.out!O:O,results.txt!$M236)</f>
        <v>20.5</v>
      </c>
      <c r="AB236">
        <f>INDEX(script.out!P:P,results.txt!$M236)</f>
        <v>3108.93</v>
      </c>
      <c r="AC236" t="str">
        <f>INDEX(script.out!Q:Q,results.txt!$M236)</f>
        <v>}</v>
      </c>
      <c r="AD236">
        <f t="shared" si="3"/>
        <v>1</v>
      </c>
    </row>
    <row r="237" spans="1:30" x14ac:dyDescent="0.25">
      <c r="A237" s="12" t="s">
        <v>2</v>
      </c>
      <c r="B237" s="12">
        <v>-3</v>
      </c>
      <c r="C237" s="12">
        <v>1.02312</v>
      </c>
      <c r="D237" s="12">
        <v>-8.36658E-4</v>
      </c>
      <c r="E237" s="12">
        <v>0.66092499999999998</v>
      </c>
      <c r="F237" s="12">
        <v>-3</v>
      </c>
      <c r="G237" s="12">
        <v>3.7355499999999999</v>
      </c>
      <c r="H237" s="12">
        <v>64</v>
      </c>
      <c r="I237" s="12">
        <v>263.12200000000001</v>
      </c>
      <c r="J237" s="12" t="s">
        <v>3</v>
      </c>
      <c r="K237" s="12">
        <v>0</v>
      </c>
      <c r="M237">
        <f>MATCH(C237,script.out!B:B,0)</f>
        <v>896</v>
      </c>
      <c r="N237">
        <f>INDEX(script.out!B:B,results.txt!$M237)</f>
        <v>1.02312</v>
      </c>
      <c r="O237">
        <f>INDEX(script.out!C:C,results.txt!$M237)</f>
        <v>-8.36658E-4</v>
      </c>
      <c r="P237">
        <f>INDEX(script.out!D:D,results.txt!$M237)</f>
        <v>0.66092499999999998</v>
      </c>
      <c r="Q237">
        <f>INDEX(script.out!E:E,results.txt!$M237)</f>
        <v>3.7355502876008999</v>
      </c>
      <c r="R237">
        <f>INDEX(script.out!F:F,results.txt!$M237)</f>
        <v>64</v>
      </c>
      <c r="S237">
        <f>INDEX(script.out!G:G,results.txt!$M237)</f>
        <v>263.12217423456502</v>
      </c>
      <c r="T237" t="str">
        <f>INDEX(script.out!H:H,results.txt!$M237)</f>
        <v>{</v>
      </c>
      <c r="U237">
        <f>INDEX(script.out!I:I,results.txt!$M237)</f>
        <v>1.11849</v>
      </c>
      <c r="V237">
        <f>INDEX(script.out!J:J,results.txt!$M237)</f>
        <v>99.581671</v>
      </c>
      <c r="W237">
        <f>INDEX(script.out!K:K,results.txt!$M237)</f>
        <v>399.94574999999998</v>
      </c>
      <c r="X237" t="str">
        <f>INDEX(script.out!L:L,results.txt!$M237)</f>
        <v>}</v>
      </c>
      <c r="Y237" t="str">
        <f>INDEX(script.out!M:M,results.txt!$M237)</f>
        <v>{</v>
      </c>
      <c r="Z237">
        <f>INDEX(script.out!N:N,results.txt!$M237)</f>
        <v>11.932757172435499</v>
      </c>
      <c r="AA237">
        <f>INDEX(script.out!O:O,results.txt!$M237)</f>
        <v>16</v>
      </c>
      <c r="AB237">
        <f>INDEX(script.out!P:P,results.txt!$M237)</f>
        <v>1379.32</v>
      </c>
      <c r="AC237" t="str">
        <f>INDEX(script.out!Q:Q,results.txt!$M237)</f>
        <v>}</v>
      </c>
      <c r="AD237">
        <f t="shared" si="3"/>
        <v>1</v>
      </c>
    </row>
    <row r="238" spans="1:30" x14ac:dyDescent="0.25">
      <c r="A238" s="12" t="s">
        <v>2</v>
      </c>
      <c r="B238" s="12">
        <v>-3</v>
      </c>
      <c r="C238" s="12">
        <v>1.0448599999999999</v>
      </c>
      <c r="D238" s="12">
        <v>4.4613800000000002E-2</v>
      </c>
      <c r="E238" s="12">
        <v>0.57506999999999997</v>
      </c>
      <c r="F238" s="12">
        <v>-3</v>
      </c>
      <c r="G238" s="12">
        <v>21.677399999999999</v>
      </c>
      <c r="H238" s="12">
        <v>49</v>
      </c>
      <c r="I238" s="12">
        <v>191.77500000000001</v>
      </c>
      <c r="J238" s="12" t="s">
        <v>3</v>
      </c>
      <c r="K238" s="12">
        <v>0</v>
      </c>
      <c r="M238">
        <f>MATCH(C238,script.out!B:B,0)</f>
        <v>897</v>
      </c>
      <c r="N238">
        <f>INDEX(script.out!B:B,results.txt!$M238)</f>
        <v>1.0448599999999999</v>
      </c>
      <c r="O238">
        <f>INDEX(script.out!C:C,results.txt!$M238)</f>
        <v>4.4613800000000002E-2</v>
      </c>
      <c r="P238">
        <f>INDEX(script.out!D:D,results.txt!$M238)</f>
        <v>0.57506999999999997</v>
      </c>
      <c r="Q238">
        <f>INDEX(script.out!E:E,results.txt!$M238)</f>
        <v>21.677360505791299</v>
      </c>
      <c r="R238">
        <f>INDEX(script.out!F:F,results.txt!$M238)</f>
        <v>49</v>
      </c>
      <c r="S238">
        <f>INDEX(script.out!G:G,results.txt!$M238)</f>
        <v>191.775450830549</v>
      </c>
      <c r="T238" t="str">
        <f>INDEX(script.out!H:H,results.txt!$M238)</f>
        <v>{</v>
      </c>
      <c r="U238">
        <f>INDEX(script.out!I:I,results.txt!$M238)</f>
        <v>1.13588</v>
      </c>
      <c r="V238">
        <f>INDEX(script.out!J:J,results.txt!$M238)</f>
        <v>122.3069</v>
      </c>
      <c r="W238">
        <f>INDEX(script.out!K:K,results.txt!$M238)</f>
        <v>349.29129999999998</v>
      </c>
      <c r="X238" t="str">
        <f>INDEX(script.out!L:L,results.txt!$M238)</f>
        <v>}</v>
      </c>
      <c r="Y238" t="str">
        <f>INDEX(script.out!M:M,results.txt!$M238)</f>
        <v>{</v>
      </c>
      <c r="Z238">
        <f>INDEX(script.out!N:N,results.txt!$M238)</f>
        <v>14.655895242141</v>
      </c>
      <c r="AA238">
        <f>INDEX(script.out!O:O,results.txt!$M238)</f>
        <v>15</v>
      </c>
      <c r="AB238">
        <f>INDEX(script.out!P:P,results.txt!$M238)</f>
        <v>2245.37</v>
      </c>
      <c r="AC238" t="str">
        <f>INDEX(script.out!Q:Q,results.txt!$M238)</f>
        <v>}</v>
      </c>
      <c r="AD238">
        <f t="shared" si="3"/>
        <v>1</v>
      </c>
    </row>
    <row r="239" spans="1:30" x14ac:dyDescent="0.25">
      <c r="A239" s="12" t="s">
        <v>2</v>
      </c>
      <c r="B239" s="12">
        <v>-3</v>
      </c>
      <c r="C239" s="12">
        <v>0.931226</v>
      </c>
      <c r="D239" s="12">
        <v>0.319384</v>
      </c>
      <c r="E239" s="12">
        <v>0.57763399999999998</v>
      </c>
      <c r="F239" s="12">
        <v>-3</v>
      </c>
      <c r="G239" s="12">
        <v>445.995</v>
      </c>
      <c r="H239" s="12">
        <v>42.25</v>
      </c>
      <c r="I239" s="12">
        <v>26.607500000000002</v>
      </c>
      <c r="J239" s="12" t="s">
        <v>3</v>
      </c>
      <c r="K239" s="12">
        <v>1</v>
      </c>
      <c r="M239">
        <f>MATCH(C239,script.out!B:B,0)</f>
        <v>898</v>
      </c>
      <c r="N239">
        <f>INDEX(script.out!B:B,results.txt!$M239)</f>
        <v>0.931226</v>
      </c>
      <c r="O239">
        <f>INDEX(script.out!C:C,results.txt!$M239)</f>
        <v>0.319384</v>
      </c>
      <c r="P239">
        <f>INDEX(script.out!D:D,results.txt!$M239)</f>
        <v>0.57763399999999998</v>
      </c>
      <c r="Q239">
        <f>INDEX(script.out!E:E,results.txt!$M239)</f>
        <v>445.99500657060298</v>
      </c>
      <c r="R239">
        <f>INDEX(script.out!F:F,results.txt!$M239)</f>
        <v>42.25</v>
      </c>
      <c r="S239">
        <f>INDEX(script.out!G:G,results.txt!$M239)</f>
        <v>26.6075077320322</v>
      </c>
      <c r="T239" t="str">
        <f>INDEX(script.out!H:H,results.txt!$M239)</f>
        <v>{</v>
      </c>
      <c r="U239">
        <f>INDEX(script.out!I:I,results.txt!$M239)</f>
        <v>1.04498</v>
      </c>
      <c r="V239">
        <f>INDEX(script.out!J:J,results.txt!$M239)</f>
        <v>259.69200000000001</v>
      </c>
      <c r="W239">
        <f>INDEX(script.out!K:K,results.txt!$M239)</f>
        <v>350.80405999999999</v>
      </c>
      <c r="X239" t="str">
        <f>INDEX(script.out!L:L,results.txt!$M239)</f>
        <v>}</v>
      </c>
      <c r="Y239" t="str">
        <f>INDEX(script.out!M:M,results.txt!$M239)</f>
        <v>{</v>
      </c>
      <c r="Z239">
        <f>INDEX(script.out!N:N,results.txt!$M239)</f>
        <v>31.1185938587445</v>
      </c>
      <c r="AA239">
        <f>INDEX(script.out!O:O,results.txt!$M239)</f>
        <v>14.5</v>
      </c>
      <c r="AB239">
        <f>INDEX(script.out!P:P,results.txt!$M239)</f>
        <v>5417.24</v>
      </c>
      <c r="AC239" t="str">
        <f>INDEX(script.out!Q:Q,results.txt!$M239)</f>
        <v>}</v>
      </c>
      <c r="AD239">
        <f t="shared" si="3"/>
        <v>1</v>
      </c>
    </row>
    <row r="240" spans="1:30" x14ac:dyDescent="0.25">
      <c r="A240" s="12" t="s">
        <v>2</v>
      </c>
      <c r="B240" s="12">
        <v>-3</v>
      </c>
      <c r="C240" s="12">
        <v>1.1583600000000001</v>
      </c>
      <c r="D240" s="12">
        <v>2.2320300000000001E-2</v>
      </c>
      <c r="E240" s="12">
        <v>0.67574400000000001</v>
      </c>
      <c r="F240" s="12">
        <v>-3</v>
      </c>
      <c r="G240" s="12">
        <v>11.0237</v>
      </c>
      <c r="H240" s="12">
        <v>49</v>
      </c>
      <c r="I240" s="12">
        <v>262.98099999999999</v>
      </c>
      <c r="J240" s="12" t="s">
        <v>3</v>
      </c>
      <c r="K240" s="12">
        <v>1</v>
      </c>
      <c r="M240">
        <f>MATCH(C240,script.out!B:B,0)</f>
        <v>899</v>
      </c>
      <c r="N240">
        <f>INDEX(script.out!B:B,results.txt!$M240)</f>
        <v>1.1583600000000001</v>
      </c>
      <c r="O240">
        <f>INDEX(script.out!C:C,results.txt!$M240)</f>
        <v>2.2320300000000001E-2</v>
      </c>
      <c r="P240">
        <f>INDEX(script.out!D:D,results.txt!$M240)</f>
        <v>0.67574400000000001</v>
      </c>
      <c r="Q240">
        <f>INDEX(script.out!E:E,results.txt!$M240)</f>
        <v>11.0236815718527</v>
      </c>
      <c r="R240">
        <f>INDEX(script.out!F:F,results.txt!$M240)</f>
        <v>49</v>
      </c>
      <c r="S240">
        <f>INDEX(script.out!G:G,results.txt!$M240)</f>
        <v>262.980870167761</v>
      </c>
      <c r="T240" t="str">
        <f>INDEX(script.out!H:H,results.txt!$M240)</f>
        <v>{</v>
      </c>
      <c r="U240">
        <f>INDEX(script.out!I:I,results.txt!$M240)</f>
        <v>1.22668</v>
      </c>
      <c r="V240">
        <f>INDEX(script.out!J:J,results.txt!$M240)</f>
        <v>111.16015</v>
      </c>
      <c r="W240">
        <f>INDEX(script.out!K:K,results.txt!$M240)</f>
        <v>408.68896000000001</v>
      </c>
      <c r="X240" t="str">
        <f>INDEX(script.out!L:L,results.txt!$M240)</f>
        <v>}</v>
      </c>
      <c r="Y240" t="str">
        <f>INDEX(script.out!M:M,results.txt!$M240)</f>
        <v>{</v>
      </c>
      <c r="Z240">
        <f>INDEX(script.out!N:N,results.txt!$M240)</f>
        <v>13.320193002199201</v>
      </c>
      <c r="AA240">
        <f>INDEX(script.out!O:O,results.txt!$M240)</f>
        <v>15</v>
      </c>
      <c r="AB240">
        <f>INDEX(script.out!P:P,results.txt!$M240)</f>
        <v>1380.91</v>
      </c>
      <c r="AC240" t="str">
        <f>INDEX(script.out!Q:Q,results.txt!$M240)</f>
        <v>}</v>
      </c>
      <c r="AD240">
        <f t="shared" si="3"/>
        <v>1</v>
      </c>
    </row>
    <row r="241" spans="1:30" x14ac:dyDescent="0.25">
      <c r="A241" s="12" t="s">
        <v>2</v>
      </c>
      <c r="B241" s="12">
        <v>-3</v>
      </c>
      <c r="C241" s="12">
        <v>0.96236600000000005</v>
      </c>
      <c r="D241" s="12">
        <v>0.37607299999999999</v>
      </c>
      <c r="E241" s="12">
        <v>0.62033099999999997</v>
      </c>
      <c r="F241" s="12">
        <v>-3</v>
      </c>
      <c r="G241" s="12">
        <v>600.98900000000003</v>
      </c>
      <c r="H241" s="12">
        <v>30.25</v>
      </c>
      <c r="I241" s="13">
        <v>3.3694899999999998E-6</v>
      </c>
      <c r="J241" s="12" t="s">
        <v>3</v>
      </c>
      <c r="K241" s="12">
        <v>0</v>
      </c>
      <c r="M241">
        <f>MATCH(C241,script.out!B:B,0)</f>
        <v>900</v>
      </c>
      <c r="N241">
        <f>INDEX(script.out!B:B,results.txt!$M241)</f>
        <v>0.96236600000000005</v>
      </c>
      <c r="O241">
        <f>INDEX(script.out!C:C,results.txt!$M241)</f>
        <v>0.37607299999999999</v>
      </c>
      <c r="P241">
        <f>INDEX(script.out!D:D,results.txt!$M241)</f>
        <v>0.62033099999999997</v>
      </c>
      <c r="Q241">
        <f>INDEX(script.out!E:E,results.txt!$M241)</f>
        <v>600.98928044220099</v>
      </c>
      <c r="R241">
        <f>INDEX(script.out!F:F,results.txt!$M241)</f>
        <v>30.25</v>
      </c>
      <c r="S241">
        <f>INDEX(script.out!G:G,results.txt!$M241)</f>
        <v>3.3694877087633702E-6</v>
      </c>
      <c r="T241" t="str">
        <f>INDEX(script.out!H:H,results.txt!$M241)</f>
        <v>{</v>
      </c>
      <c r="U241">
        <f>INDEX(script.out!I:I,results.txt!$M241)</f>
        <v>1.0698920000000001</v>
      </c>
      <c r="V241">
        <f>INDEX(script.out!J:J,results.txt!$M241)</f>
        <v>288.03649999999999</v>
      </c>
      <c r="W241">
        <f>INDEX(script.out!K:K,results.txt!$M241)</f>
        <v>375.99529000000001</v>
      </c>
      <c r="X241" t="str">
        <f>INDEX(script.out!L:L,results.txt!$M241)</f>
        <v>}</v>
      </c>
      <c r="Y241" t="str">
        <f>INDEX(script.out!M:M,results.txt!$M241)</f>
        <v>{</v>
      </c>
      <c r="Z241">
        <f>INDEX(script.out!N:N,results.txt!$M241)</f>
        <v>34.515082713346096</v>
      </c>
      <c r="AA241">
        <f>INDEX(script.out!O:O,results.txt!$M241)</f>
        <v>13.5</v>
      </c>
      <c r="AB241">
        <f>INDEX(script.out!P:P,results.txt!$M241)</f>
        <v>7299.33</v>
      </c>
      <c r="AC241" t="str">
        <f>INDEX(script.out!Q:Q,results.txt!$M241)</f>
        <v>}</v>
      </c>
      <c r="AD241">
        <f t="shared" si="3"/>
        <v>1</v>
      </c>
    </row>
    <row r="242" spans="1:30" x14ac:dyDescent="0.25">
      <c r="A242" s="12" t="s">
        <v>2</v>
      </c>
      <c r="B242" s="12">
        <v>-3</v>
      </c>
      <c r="C242" s="12">
        <v>0.98332799999999998</v>
      </c>
      <c r="D242" s="12">
        <v>6.7680199999999996E-3</v>
      </c>
      <c r="E242" s="12">
        <v>0.57731600000000005</v>
      </c>
      <c r="F242" s="12">
        <v>-3</v>
      </c>
      <c r="G242" s="12">
        <v>5.7043900000000001</v>
      </c>
      <c r="H242" s="12">
        <v>72.25</v>
      </c>
      <c r="I242" s="12">
        <v>240.023</v>
      </c>
      <c r="J242" s="12" t="s">
        <v>3</v>
      </c>
      <c r="K242" s="12">
        <v>0</v>
      </c>
      <c r="M242">
        <f>MATCH(C242,script.out!B:B,0)</f>
        <v>901</v>
      </c>
      <c r="N242">
        <f>INDEX(script.out!B:B,results.txt!$M242)</f>
        <v>0.98332799999999998</v>
      </c>
      <c r="O242">
        <f>INDEX(script.out!C:C,results.txt!$M242)</f>
        <v>6.7680199999999996E-3</v>
      </c>
      <c r="P242">
        <f>INDEX(script.out!D:D,results.txt!$M242)</f>
        <v>0.57731600000000005</v>
      </c>
      <c r="Q242">
        <f>INDEX(script.out!E:E,results.txt!$M242)</f>
        <v>5.7043928641264197</v>
      </c>
      <c r="R242">
        <f>INDEX(script.out!F:F,results.txt!$M242)</f>
        <v>72.25</v>
      </c>
      <c r="S242">
        <f>INDEX(script.out!G:G,results.txt!$M242)</f>
        <v>240.02328638693899</v>
      </c>
      <c r="T242" t="str">
        <f>INDEX(script.out!H:H,results.txt!$M242)</f>
        <v>{</v>
      </c>
      <c r="U242">
        <f>INDEX(script.out!I:I,results.txt!$M242)</f>
        <v>1.086662</v>
      </c>
      <c r="V242">
        <f>INDEX(script.out!J:J,results.txt!$M242)</f>
        <v>103.38401</v>
      </c>
      <c r="W242">
        <f>INDEX(script.out!K:K,results.txt!$M242)</f>
        <v>350.61644000000001</v>
      </c>
      <c r="X242" t="str">
        <f>INDEX(script.out!L:L,results.txt!$M242)</f>
        <v>}</v>
      </c>
      <c r="Y242" t="str">
        <f>INDEX(script.out!M:M,results.txt!$M242)</f>
        <v>{</v>
      </c>
      <c r="Z242">
        <f>INDEX(script.out!N:N,results.txt!$M242)</f>
        <v>12.388387084232001</v>
      </c>
      <c r="AA242">
        <f>INDEX(script.out!O:O,results.txt!$M242)</f>
        <v>16.5</v>
      </c>
      <c r="AB242">
        <f>INDEX(script.out!P:P,results.txt!$M242)</f>
        <v>1645.17</v>
      </c>
      <c r="AC242" t="str">
        <f>INDEX(script.out!Q:Q,results.txt!$M242)</f>
        <v>}</v>
      </c>
      <c r="AD242">
        <f t="shared" si="3"/>
        <v>1</v>
      </c>
    </row>
    <row r="243" spans="1:30" x14ac:dyDescent="0.25">
      <c r="A243" s="12" t="s">
        <v>2</v>
      </c>
      <c r="B243" s="12">
        <v>-3</v>
      </c>
      <c r="C243" s="12">
        <v>1.00725</v>
      </c>
      <c r="D243" s="12">
        <v>7.9275300000000007E-2</v>
      </c>
      <c r="E243" s="12">
        <v>0.53861199999999998</v>
      </c>
      <c r="F243" s="12">
        <v>-3</v>
      </c>
      <c r="G243" s="12">
        <v>45.328200000000002</v>
      </c>
      <c r="H243" s="12">
        <v>49</v>
      </c>
      <c r="I243" s="12">
        <v>158.298</v>
      </c>
      <c r="J243" s="12" t="s">
        <v>3</v>
      </c>
      <c r="K243" s="12">
        <v>0</v>
      </c>
      <c r="M243">
        <f>MATCH(C243,script.out!B:B,0)</f>
        <v>902</v>
      </c>
      <c r="N243">
        <f>INDEX(script.out!B:B,results.txt!$M243)</f>
        <v>1.00725</v>
      </c>
      <c r="O243">
        <f>INDEX(script.out!C:C,results.txt!$M243)</f>
        <v>7.9275300000000007E-2</v>
      </c>
      <c r="P243">
        <f>INDEX(script.out!D:D,results.txt!$M243)</f>
        <v>0.53861199999999998</v>
      </c>
      <c r="Q243">
        <f>INDEX(script.out!E:E,results.txt!$M243)</f>
        <v>45.328159863880998</v>
      </c>
      <c r="R243">
        <f>INDEX(script.out!F:F,results.txt!$M243)</f>
        <v>49</v>
      </c>
      <c r="S243">
        <f>INDEX(script.out!G:G,results.txt!$M243)</f>
        <v>158.29845101219701</v>
      </c>
      <c r="T243" t="str">
        <f>INDEX(script.out!H:H,results.txt!$M243)</f>
        <v>{</v>
      </c>
      <c r="U243">
        <f>INDEX(script.out!I:I,results.txt!$M243)</f>
        <v>1.1057999999999999</v>
      </c>
      <c r="V243">
        <f>INDEX(script.out!J:J,results.txt!$M243)</f>
        <v>139.63765000000001</v>
      </c>
      <c r="W243">
        <f>INDEX(script.out!K:K,results.txt!$M243)</f>
        <v>327.78107999999997</v>
      </c>
      <c r="X243" t="str">
        <f>INDEX(script.out!L:L,results.txt!$M243)</f>
        <v>}</v>
      </c>
      <c r="Y243" t="str">
        <f>INDEX(script.out!M:M,results.txt!$M243)</f>
        <v>{</v>
      </c>
      <c r="Z243">
        <f>INDEX(script.out!N:N,results.txt!$M243)</f>
        <v>16.7326190939248</v>
      </c>
      <c r="AA243">
        <f>INDEX(script.out!O:O,results.txt!$M243)</f>
        <v>15</v>
      </c>
      <c r="AB243">
        <f>INDEX(script.out!P:P,results.txt!$M243)</f>
        <v>2707.69</v>
      </c>
      <c r="AC243" t="str">
        <f>INDEX(script.out!Q:Q,results.txt!$M243)</f>
        <v>}</v>
      </c>
      <c r="AD243">
        <f t="shared" si="3"/>
        <v>1</v>
      </c>
    </row>
    <row r="244" spans="1:30" x14ac:dyDescent="0.25">
      <c r="A244" s="12" t="s">
        <v>2</v>
      </c>
      <c r="B244" s="12">
        <v>-3</v>
      </c>
      <c r="C244" s="12">
        <v>3.0988000000000002E-2</v>
      </c>
      <c r="D244" s="12">
        <v>8.30901E-2</v>
      </c>
      <c r="E244" s="12">
        <v>9.5490400000000003E-2</v>
      </c>
      <c r="F244" s="12">
        <v>-3</v>
      </c>
      <c r="G244" s="12">
        <v>48.457999999999998</v>
      </c>
      <c r="H244" s="12">
        <v>72.25</v>
      </c>
      <c r="I244" s="12">
        <v>2.2495099999999999</v>
      </c>
      <c r="J244" s="12" t="s">
        <v>3</v>
      </c>
      <c r="K244" s="12">
        <v>0</v>
      </c>
      <c r="M244">
        <f>MATCH(C244,script.out!B:B,0)</f>
        <v>903</v>
      </c>
      <c r="N244">
        <f>INDEX(script.out!B:B,results.txt!$M244)</f>
        <v>3.0988000000000002E-2</v>
      </c>
      <c r="O244">
        <f>INDEX(script.out!C:C,results.txt!$M244)</f>
        <v>8.30901E-2</v>
      </c>
      <c r="P244">
        <f>INDEX(script.out!D:D,results.txt!$M244)</f>
        <v>9.5490400000000003E-2</v>
      </c>
      <c r="Q244">
        <f>INDEX(script.out!E:E,results.txt!$M244)</f>
        <v>48.458035951111498</v>
      </c>
      <c r="R244">
        <f>INDEX(script.out!F:F,results.txt!$M244)</f>
        <v>72.25</v>
      </c>
      <c r="S244">
        <f>INDEX(script.out!G:G,results.txt!$M244)</f>
        <v>2.2495068763370201</v>
      </c>
      <c r="T244" t="str">
        <f>INDEX(script.out!H:H,results.txt!$M244)</f>
        <v>{</v>
      </c>
      <c r="U244">
        <f>INDEX(script.out!I:I,results.txt!$M244)</f>
        <v>0.32479000000000002</v>
      </c>
      <c r="V244">
        <f>INDEX(script.out!J:J,results.txt!$M244)</f>
        <v>141.54505</v>
      </c>
      <c r="W244">
        <f>INDEX(script.out!K:K,results.txt!$M244)</f>
        <v>66.339336000000003</v>
      </c>
      <c r="X244" t="str">
        <f>INDEX(script.out!L:L,results.txt!$M244)</f>
        <v>}</v>
      </c>
      <c r="Y244" t="str">
        <f>INDEX(script.out!M:M,results.txt!$M244)</f>
        <v>{</v>
      </c>
      <c r="Z244">
        <f>INDEX(script.out!N:N,results.txt!$M244)</f>
        <v>16.9611806434764</v>
      </c>
      <c r="AA244">
        <f>INDEX(script.out!O:O,results.txt!$M244)</f>
        <v>16.5</v>
      </c>
      <c r="AB244">
        <f>INDEX(script.out!P:P,results.txt!$M244)</f>
        <v>7847.44</v>
      </c>
      <c r="AC244" t="str">
        <f>INDEX(script.out!Q:Q,results.txt!$M244)</f>
        <v>}</v>
      </c>
      <c r="AD244">
        <f t="shared" si="3"/>
        <v>1</v>
      </c>
    </row>
    <row r="245" spans="1:30" x14ac:dyDescent="0.25">
      <c r="A245" s="12" t="s">
        <v>2</v>
      </c>
      <c r="B245" s="12">
        <v>-3</v>
      </c>
      <c r="C245" s="12">
        <v>1.2294400000000001</v>
      </c>
      <c r="D245" s="12">
        <v>0.69001100000000004</v>
      </c>
      <c r="E245" s="12">
        <v>0.88799700000000004</v>
      </c>
      <c r="F245" s="12">
        <v>-3</v>
      </c>
      <c r="G245" s="12">
        <v>1877.01</v>
      </c>
      <c r="H245" s="12">
        <v>20.25</v>
      </c>
      <c r="I245" s="12">
        <v>2.9089399999999999</v>
      </c>
      <c r="J245" s="12" t="s">
        <v>3</v>
      </c>
      <c r="K245" s="12">
        <v>0</v>
      </c>
      <c r="M245">
        <f>MATCH(C245,script.out!B:B,0)</f>
        <v>904</v>
      </c>
      <c r="N245">
        <f>INDEX(script.out!B:B,results.txt!$M245)</f>
        <v>1.2294400000000001</v>
      </c>
      <c r="O245">
        <f>INDEX(script.out!C:C,results.txt!$M245)</f>
        <v>0.69001100000000004</v>
      </c>
      <c r="P245">
        <f>INDEX(script.out!D:D,results.txt!$M245)</f>
        <v>0.88799700000000004</v>
      </c>
      <c r="Q245">
        <f>INDEX(script.out!E:E,results.txt!$M245)</f>
        <v>1877.01208851148</v>
      </c>
      <c r="R245">
        <f>INDEX(script.out!F:F,results.txt!$M245)</f>
        <v>20.25</v>
      </c>
      <c r="S245">
        <f>INDEX(script.out!G:G,results.txt!$M245)</f>
        <v>2.9089405209232502</v>
      </c>
      <c r="T245" t="str">
        <f>INDEX(script.out!H:H,results.txt!$M245)</f>
        <v>{</v>
      </c>
      <c r="U245">
        <f>INDEX(script.out!I:I,results.txt!$M245)</f>
        <v>1.28355</v>
      </c>
      <c r="V245">
        <f>INDEX(script.out!J:J,results.txt!$M245)</f>
        <v>445.00549999999998</v>
      </c>
      <c r="W245">
        <f>INDEX(script.out!K:K,results.txt!$M245)</f>
        <v>533.91822999999999</v>
      </c>
      <c r="X245" t="str">
        <f>INDEX(script.out!L:L,results.txt!$M245)</f>
        <v>}</v>
      </c>
      <c r="Y245" t="str">
        <f>INDEX(script.out!M:M,results.txt!$M245)</f>
        <v>{</v>
      </c>
      <c r="Z245">
        <f>INDEX(script.out!N:N,results.txt!$M245)</f>
        <v>53.324497556365003</v>
      </c>
      <c r="AA245">
        <f>INDEX(script.out!O:O,results.txt!$M245)</f>
        <v>12.5</v>
      </c>
      <c r="AB245">
        <f>INDEX(script.out!P:P,results.txt!$M245)</f>
        <v>7922.53</v>
      </c>
      <c r="AC245" t="str">
        <f>INDEX(script.out!Q:Q,results.txt!$M245)</f>
        <v>}</v>
      </c>
      <c r="AD245">
        <f t="shared" si="3"/>
        <v>1</v>
      </c>
    </row>
    <row r="246" spans="1:30" x14ac:dyDescent="0.25">
      <c r="A246" s="12" t="s">
        <v>2</v>
      </c>
      <c r="B246" s="12">
        <v>-3</v>
      </c>
      <c r="C246" s="12">
        <v>0.54430599999999996</v>
      </c>
      <c r="D246" s="12">
        <v>-2.3185000000000001E-2</v>
      </c>
      <c r="E246" s="12">
        <v>8.7140400000000007E-2</v>
      </c>
      <c r="F246" s="12">
        <v>-3</v>
      </c>
      <c r="G246" s="12">
        <v>0.35256199999999999</v>
      </c>
      <c r="H246" s="12">
        <v>144</v>
      </c>
      <c r="I246" s="12">
        <v>4.4353499999999997</v>
      </c>
      <c r="J246" s="12" t="s">
        <v>3</v>
      </c>
      <c r="K246" s="12">
        <v>0</v>
      </c>
      <c r="M246">
        <f>MATCH(C246,script.out!B:B,0)</f>
        <v>905</v>
      </c>
      <c r="N246">
        <f>INDEX(script.out!B:B,results.txt!$M246)</f>
        <v>0.54430599999999996</v>
      </c>
      <c r="O246">
        <f>INDEX(script.out!C:C,results.txt!$M246)</f>
        <v>-2.3185000000000001E-2</v>
      </c>
      <c r="P246">
        <f>INDEX(script.out!D:D,results.txt!$M246)</f>
        <v>8.7140400000000007E-2</v>
      </c>
      <c r="Q246">
        <f>INDEX(script.out!E:E,results.txt!$M246)</f>
        <v>0.35256175074437801</v>
      </c>
      <c r="R246">
        <f>INDEX(script.out!F:F,results.txt!$M246)</f>
        <v>144</v>
      </c>
      <c r="S246">
        <f>INDEX(script.out!G:G,results.txt!$M246)</f>
        <v>4.4353513980108801</v>
      </c>
      <c r="T246" t="str">
        <f>INDEX(script.out!H:H,results.txt!$M246)</f>
        <v>{</v>
      </c>
      <c r="U246">
        <f>INDEX(script.out!I:I,results.txt!$M246)</f>
        <v>0.73544399999999999</v>
      </c>
      <c r="V246">
        <f>INDEX(script.out!J:J,results.txt!$M246)</f>
        <v>88.407499999999999</v>
      </c>
      <c r="W246">
        <f>INDEX(script.out!K:K,results.txt!$M246)</f>
        <v>61.412835999999999</v>
      </c>
      <c r="X246" t="str">
        <f>INDEX(script.out!L:L,results.txt!$M246)</f>
        <v>}</v>
      </c>
      <c r="Y246" t="str">
        <f>INDEX(script.out!M:M,results.txt!$M246)</f>
        <v>{</v>
      </c>
      <c r="Z246">
        <f>INDEX(script.out!N:N,results.txt!$M246)</f>
        <v>10.5937691055826</v>
      </c>
      <c r="AA246">
        <f>INDEX(script.out!O:O,results.txt!$M246)</f>
        <v>20</v>
      </c>
      <c r="AB246">
        <f>INDEX(script.out!P:P,results.txt!$M246)</f>
        <v>8068.7</v>
      </c>
      <c r="AC246" t="str">
        <f>INDEX(script.out!Q:Q,results.txt!$M246)</f>
        <v>}</v>
      </c>
      <c r="AD246">
        <f t="shared" si="3"/>
        <v>1</v>
      </c>
    </row>
    <row r="247" spans="1:30" x14ac:dyDescent="0.25">
      <c r="A247" s="12" t="s">
        <v>2</v>
      </c>
      <c r="B247" s="12">
        <v>-3</v>
      </c>
      <c r="C247" s="12">
        <v>0.96012399999999998</v>
      </c>
      <c r="D247" s="12">
        <v>9.2527100000000001E-2</v>
      </c>
      <c r="E247" s="12">
        <v>0.59766399999999997</v>
      </c>
      <c r="F247" s="12">
        <v>-3</v>
      </c>
      <c r="G247" s="12">
        <v>56.6496</v>
      </c>
      <c r="H247" s="12">
        <v>56.25</v>
      </c>
      <c r="I247" s="12">
        <v>161.10300000000001</v>
      </c>
      <c r="J247" s="12" t="s">
        <v>3</v>
      </c>
      <c r="K247" s="12">
        <v>1</v>
      </c>
      <c r="M247">
        <f>MATCH(C247,script.out!B:B,0)</f>
        <v>906</v>
      </c>
      <c r="N247">
        <f>INDEX(script.out!B:B,results.txt!$M247)</f>
        <v>0.96012399999999998</v>
      </c>
      <c r="O247">
        <f>INDEX(script.out!C:C,results.txt!$M247)</f>
        <v>9.2527100000000001E-2</v>
      </c>
      <c r="P247">
        <f>INDEX(script.out!D:D,results.txt!$M247)</f>
        <v>0.59766399999999997</v>
      </c>
      <c r="Q247">
        <f>INDEX(script.out!E:E,results.txt!$M247)</f>
        <v>56.649603314045599</v>
      </c>
      <c r="R247">
        <f>INDEX(script.out!F:F,results.txt!$M247)</f>
        <v>56.25</v>
      </c>
      <c r="S247">
        <f>INDEX(script.out!G:G,results.txt!$M247)</f>
        <v>161.10285979433201</v>
      </c>
      <c r="T247" t="str">
        <f>INDEX(script.out!H:H,results.txt!$M247)</f>
        <v>{</v>
      </c>
      <c r="U247">
        <f>INDEX(script.out!I:I,results.txt!$M247)</f>
        <v>1.0680989999999999</v>
      </c>
      <c r="V247">
        <f>INDEX(script.out!J:J,results.txt!$M247)</f>
        <v>146.26355000000001</v>
      </c>
      <c r="W247">
        <f>INDEX(script.out!K:K,results.txt!$M247)</f>
        <v>362.62175999999999</v>
      </c>
      <c r="X247" t="str">
        <f>INDEX(script.out!L:L,results.txt!$M247)</f>
        <v>}</v>
      </c>
      <c r="Y247" t="str">
        <f>INDEX(script.out!M:M,results.txt!$M247)</f>
        <v>{</v>
      </c>
      <c r="Z247">
        <f>INDEX(script.out!N:N,results.txt!$M247)</f>
        <v>17.526593074827701</v>
      </c>
      <c r="AA247">
        <f>INDEX(script.out!O:O,results.txt!$M247)</f>
        <v>15.5</v>
      </c>
      <c r="AB247">
        <f>INDEX(script.out!P:P,results.txt!$M247)</f>
        <v>2667.19</v>
      </c>
      <c r="AC247" t="str">
        <f>INDEX(script.out!Q:Q,results.txt!$M247)</f>
        <v>}</v>
      </c>
      <c r="AD247">
        <f t="shared" si="3"/>
        <v>1</v>
      </c>
    </row>
    <row r="248" spans="1:30" x14ac:dyDescent="0.25">
      <c r="A248" s="12" t="s">
        <v>2</v>
      </c>
      <c r="B248" s="12">
        <v>-3</v>
      </c>
      <c r="C248" s="12">
        <v>0.96688600000000002</v>
      </c>
      <c r="D248" s="12">
        <v>0.14307500000000001</v>
      </c>
      <c r="E248" s="12">
        <v>0.62257799999999996</v>
      </c>
      <c r="F248" s="12">
        <v>-3</v>
      </c>
      <c r="G248" s="12">
        <v>111.411</v>
      </c>
      <c r="H248" s="12">
        <v>42.25</v>
      </c>
      <c r="I248" s="12">
        <v>101.663</v>
      </c>
      <c r="J248" s="12" t="s">
        <v>3</v>
      </c>
      <c r="K248" s="12">
        <v>1</v>
      </c>
      <c r="M248">
        <f>MATCH(C248,script.out!B:B,0)</f>
        <v>907</v>
      </c>
      <c r="N248">
        <f>INDEX(script.out!B:B,results.txt!$M248)</f>
        <v>0.96688600000000002</v>
      </c>
      <c r="O248">
        <f>INDEX(script.out!C:C,results.txt!$M248)</f>
        <v>0.14307500000000001</v>
      </c>
      <c r="P248">
        <f>INDEX(script.out!D:D,results.txt!$M248)</f>
        <v>0.62257799999999996</v>
      </c>
      <c r="Q248">
        <f>INDEX(script.out!E:E,results.txt!$M248)</f>
        <v>111.411011079175</v>
      </c>
      <c r="R248">
        <f>INDEX(script.out!F:F,results.txt!$M248)</f>
        <v>42.25</v>
      </c>
      <c r="S248">
        <f>INDEX(script.out!G:G,results.txt!$M248)</f>
        <v>101.66329782623301</v>
      </c>
      <c r="T248" t="str">
        <f>INDEX(script.out!H:H,results.txt!$M248)</f>
        <v>{</v>
      </c>
      <c r="U248">
        <f>INDEX(script.out!I:I,results.txt!$M248)</f>
        <v>1.0735079999999999</v>
      </c>
      <c r="V248">
        <f>INDEX(script.out!J:J,results.txt!$M248)</f>
        <v>171.53749999999999</v>
      </c>
      <c r="W248">
        <f>INDEX(script.out!K:K,results.txt!$M248)</f>
        <v>377.32101999999998</v>
      </c>
      <c r="X248" t="str">
        <f>INDEX(script.out!L:L,results.txt!$M248)</f>
        <v>}</v>
      </c>
      <c r="Y248" t="str">
        <f>INDEX(script.out!M:M,results.txt!$M248)</f>
        <v>{</v>
      </c>
      <c r="Z248">
        <f>INDEX(script.out!N:N,results.txt!$M248)</f>
        <v>20.5551414523527</v>
      </c>
      <c r="AA248">
        <f>INDEX(script.out!O:O,results.txt!$M248)</f>
        <v>14.5</v>
      </c>
      <c r="AB248">
        <f>INDEX(script.out!P:P,results.txt!$M248)</f>
        <v>3619.77</v>
      </c>
      <c r="AC248" t="str">
        <f>INDEX(script.out!Q:Q,results.txt!$M248)</f>
        <v>}</v>
      </c>
      <c r="AD248">
        <f t="shared" si="3"/>
        <v>1</v>
      </c>
    </row>
    <row r="249" spans="1:30" x14ac:dyDescent="0.25">
      <c r="A249" s="12" t="s">
        <v>2</v>
      </c>
      <c r="B249" s="12">
        <v>-3</v>
      </c>
      <c r="C249" s="12">
        <v>0.126725</v>
      </c>
      <c r="D249" s="12">
        <v>-5.3133899999999998E-2</v>
      </c>
      <c r="E249" s="12">
        <v>0.202872</v>
      </c>
      <c r="F249" s="12">
        <v>-3</v>
      </c>
      <c r="G249" s="12">
        <v>1.4414499999999999</v>
      </c>
      <c r="H249" s="12">
        <v>144</v>
      </c>
      <c r="I249" s="12">
        <v>158.328</v>
      </c>
      <c r="J249" s="12" t="s">
        <v>3</v>
      </c>
      <c r="K249" s="12">
        <v>1</v>
      </c>
      <c r="M249">
        <f>MATCH(C249,script.out!B:B,0)</f>
        <v>908</v>
      </c>
      <c r="N249">
        <f>INDEX(script.out!B:B,results.txt!$M249)</f>
        <v>0.126725</v>
      </c>
      <c r="O249">
        <f>INDEX(script.out!C:C,results.txt!$M249)</f>
        <v>-5.3133899999999998E-2</v>
      </c>
      <c r="P249">
        <f>INDEX(script.out!D:D,results.txt!$M249)</f>
        <v>0.202872</v>
      </c>
      <c r="Q249">
        <f>INDEX(script.out!E:E,results.txt!$M249)</f>
        <v>1.44144522395805</v>
      </c>
      <c r="R249">
        <f>INDEX(script.out!F:F,results.txt!$M249)</f>
        <v>144</v>
      </c>
      <c r="S249">
        <f>INDEX(script.out!G:G,results.txt!$M249)</f>
        <v>158.32809688571899</v>
      </c>
      <c r="T249" t="str">
        <f>INDEX(script.out!H:H,results.txt!$M249)</f>
        <v>{</v>
      </c>
      <c r="U249">
        <f>INDEX(script.out!I:I,results.txt!$M249)</f>
        <v>0.40138000000000001</v>
      </c>
      <c r="V249">
        <f>INDEX(script.out!J:J,results.txt!$M249)</f>
        <v>73.433049999999994</v>
      </c>
      <c r="W249">
        <f>INDEX(script.out!K:K,results.txt!$M249)</f>
        <v>129.69448</v>
      </c>
      <c r="X249" t="str">
        <f>INDEX(script.out!L:L,results.txt!$M249)</f>
        <v>}</v>
      </c>
      <c r="Y249" t="str">
        <f>INDEX(script.out!M:M,results.txt!$M249)</f>
        <v>{</v>
      </c>
      <c r="Z249">
        <f>INDEX(script.out!N:N,results.txt!$M249)</f>
        <v>8.7993979743653306</v>
      </c>
      <c r="AA249">
        <f>INDEX(script.out!O:O,results.txt!$M249)</f>
        <v>20</v>
      </c>
      <c r="AB249">
        <f>INDEX(script.out!P:P,results.txt!$M249)</f>
        <v>2707.26</v>
      </c>
      <c r="AC249" t="str">
        <f>INDEX(script.out!Q:Q,results.txt!$M249)</f>
        <v>}</v>
      </c>
      <c r="AD249">
        <f t="shared" si="3"/>
        <v>1</v>
      </c>
    </row>
    <row r="250" spans="1:30" x14ac:dyDescent="0.25">
      <c r="A250" s="12" t="s">
        <v>2</v>
      </c>
      <c r="B250" s="12">
        <v>-3</v>
      </c>
      <c r="C250" s="12">
        <v>0.93054300000000001</v>
      </c>
      <c r="D250" s="12">
        <v>0.16476299999999999</v>
      </c>
      <c r="E250" s="12">
        <v>0.32097799999999999</v>
      </c>
      <c r="F250" s="12">
        <v>-3</v>
      </c>
      <c r="G250" s="12">
        <v>140.53100000000001</v>
      </c>
      <c r="H250" s="12">
        <v>42.25</v>
      </c>
      <c r="I250" s="12">
        <v>3.80464</v>
      </c>
      <c r="J250" s="12" t="s">
        <v>3</v>
      </c>
      <c r="K250" s="12">
        <v>0</v>
      </c>
      <c r="M250">
        <f>MATCH(C250,script.out!B:B,0)</f>
        <v>909</v>
      </c>
      <c r="N250">
        <f>INDEX(script.out!B:B,results.txt!$M250)</f>
        <v>0.93054300000000001</v>
      </c>
      <c r="O250">
        <f>INDEX(script.out!C:C,results.txt!$M250)</f>
        <v>0.16476299999999999</v>
      </c>
      <c r="P250">
        <f>INDEX(script.out!D:D,results.txt!$M250)</f>
        <v>0.32097799999999999</v>
      </c>
      <c r="Q250">
        <f>INDEX(script.out!E:E,results.txt!$M250)</f>
        <v>140.53072337844901</v>
      </c>
      <c r="R250">
        <f>INDEX(script.out!F:F,results.txt!$M250)</f>
        <v>42.25</v>
      </c>
      <c r="S250">
        <f>INDEX(script.out!G:G,results.txt!$M250)</f>
        <v>3.8046372865453102</v>
      </c>
      <c r="T250" t="str">
        <f>INDEX(script.out!H:H,results.txt!$M250)</f>
        <v>{</v>
      </c>
      <c r="U250">
        <f>INDEX(script.out!I:I,results.txt!$M250)</f>
        <v>1.0444340000000001</v>
      </c>
      <c r="V250">
        <f>INDEX(script.out!J:J,results.txt!$M250)</f>
        <v>182.38149999999999</v>
      </c>
      <c r="W250">
        <f>INDEX(script.out!K:K,results.txt!$M250)</f>
        <v>199.37701999999999</v>
      </c>
      <c r="X250" t="str">
        <f>INDEX(script.out!L:L,results.txt!$M250)</f>
        <v>}</v>
      </c>
      <c r="Y250" t="str">
        <f>INDEX(script.out!M:M,results.txt!$M250)</f>
        <v>{</v>
      </c>
      <c r="Z250">
        <f>INDEX(script.out!N:N,results.txt!$M250)</f>
        <v>21.8545655077885</v>
      </c>
      <c r="AA250">
        <f>INDEX(script.out!O:O,results.txt!$M250)</f>
        <v>14.5</v>
      </c>
      <c r="AB250">
        <f>INDEX(script.out!P:P,results.txt!$M250)</f>
        <v>6588.05</v>
      </c>
      <c r="AC250" t="str">
        <f>INDEX(script.out!Q:Q,results.txt!$M250)</f>
        <v>}</v>
      </c>
      <c r="AD250">
        <f t="shared" si="3"/>
        <v>1</v>
      </c>
    </row>
    <row r="251" spans="1:30" x14ac:dyDescent="0.25">
      <c r="A251" s="12" t="s">
        <v>2</v>
      </c>
      <c r="B251" s="12">
        <v>-3</v>
      </c>
      <c r="C251" s="12">
        <v>1.04057</v>
      </c>
      <c r="D251" s="12">
        <v>1.7361700000000001E-2</v>
      </c>
      <c r="E251" s="12">
        <v>0.59651399999999999</v>
      </c>
      <c r="F251" s="12">
        <v>-3</v>
      </c>
      <c r="G251" s="12">
        <v>9.1391399999999994</v>
      </c>
      <c r="H251" s="12">
        <v>64</v>
      </c>
      <c r="I251" s="12">
        <v>242.643</v>
      </c>
      <c r="J251" s="12" t="s">
        <v>3</v>
      </c>
      <c r="K251" s="12">
        <v>0</v>
      </c>
      <c r="M251">
        <f>MATCH(C251,script.out!B:B,0)</f>
        <v>910</v>
      </c>
      <c r="N251">
        <f>INDEX(script.out!B:B,results.txt!$M251)</f>
        <v>1.04057</v>
      </c>
      <c r="O251">
        <f>INDEX(script.out!C:C,results.txt!$M251)</f>
        <v>1.7361700000000001E-2</v>
      </c>
      <c r="P251">
        <f>INDEX(script.out!D:D,results.txt!$M251)</f>
        <v>0.59651399999999999</v>
      </c>
      <c r="Q251">
        <f>INDEX(script.out!E:E,results.txt!$M251)</f>
        <v>9.1391416696726004</v>
      </c>
      <c r="R251">
        <f>INDEX(script.out!F:F,results.txt!$M251)</f>
        <v>64</v>
      </c>
      <c r="S251">
        <f>INDEX(script.out!G:G,results.txt!$M251)</f>
        <v>242.64250223306399</v>
      </c>
      <c r="T251" t="str">
        <f>INDEX(script.out!H:H,results.txt!$M251)</f>
        <v>{</v>
      </c>
      <c r="U251">
        <f>INDEX(script.out!I:I,results.txt!$M251)</f>
        <v>1.13245</v>
      </c>
      <c r="V251">
        <f>INDEX(script.out!J:J,results.txt!$M251)</f>
        <v>108.68085000000001</v>
      </c>
      <c r="W251">
        <f>INDEX(script.out!K:K,results.txt!$M251)</f>
        <v>361.94326000000001</v>
      </c>
      <c r="X251" t="str">
        <f>INDEX(script.out!L:L,results.txt!$M251)</f>
        <v>}</v>
      </c>
      <c r="Y251" t="str">
        <f>INDEX(script.out!M:M,results.txt!$M251)</f>
        <v>{</v>
      </c>
      <c r="Z251">
        <f>INDEX(script.out!N:N,results.txt!$M251)</f>
        <v>13.0231013330142</v>
      </c>
      <c r="AA251">
        <f>INDEX(script.out!O:O,results.txt!$M251)</f>
        <v>16</v>
      </c>
      <c r="AB251">
        <f>INDEX(script.out!P:P,results.txt!$M251)</f>
        <v>1614.4</v>
      </c>
      <c r="AC251" t="str">
        <f>INDEX(script.out!Q:Q,results.txt!$M251)</f>
        <v>}</v>
      </c>
      <c r="AD251">
        <f t="shared" si="3"/>
        <v>1</v>
      </c>
    </row>
    <row r="252" spans="1:30" x14ac:dyDescent="0.25">
      <c r="A252" s="12" t="s">
        <v>2</v>
      </c>
      <c r="B252" s="12">
        <v>-3</v>
      </c>
      <c r="C252" s="12">
        <v>0.21502099999999999</v>
      </c>
      <c r="D252" s="12">
        <v>4.65116E-2</v>
      </c>
      <c r="E252" s="12">
        <v>0.10506600000000001</v>
      </c>
      <c r="F252" s="12">
        <v>-3</v>
      </c>
      <c r="G252" s="12">
        <v>22.749099999999999</v>
      </c>
      <c r="H252" s="12">
        <v>110.25</v>
      </c>
      <c r="I252" s="12">
        <v>23.760999999999999</v>
      </c>
      <c r="J252" s="12" t="s">
        <v>3</v>
      </c>
      <c r="K252" s="12">
        <v>1</v>
      </c>
      <c r="M252">
        <f>MATCH(C252,script.out!B:B,0)</f>
        <v>911</v>
      </c>
      <c r="N252">
        <f>INDEX(script.out!B:B,results.txt!$M252)</f>
        <v>0.21502099999999999</v>
      </c>
      <c r="O252">
        <f>INDEX(script.out!C:C,results.txt!$M252)</f>
        <v>4.65116E-2</v>
      </c>
      <c r="P252">
        <f>INDEX(script.out!D:D,results.txt!$M252)</f>
        <v>0.10506600000000001</v>
      </c>
      <c r="Q252">
        <f>INDEX(script.out!E:E,results.txt!$M252)</f>
        <v>22.749092157991999</v>
      </c>
      <c r="R252">
        <f>INDEX(script.out!F:F,results.txt!$M252)</f>
        <v>110.25</v>
      </c>
      <c r="S252">
        <f>INDEX(script.out!G:G,results.txt!$M252)</f>
        <v>23.760950572340001</v>
      </c>
      <c r="T252" t="str">
        <f>INDEX(script.out!H:H,results.txt!$M252)</f>
        <v>{</v>
      </c>
      <c r="U252">
        <f>INDEX(script.out!I:I,results.txt!$M252)</f>
        <v>0.47201599999999999</v>
      </c>
      <c r="V252">
        <f>INDEX(script.out!J:J,results.txt!$M252)</f>
        <v>123.25579999999999</v>
      </c>
      <c r="W252">
        <f>INDEX(script.out!K:K,results.txt!$M252)</f>
        <v>71.988939999999999</v>
      </c>
      <c r="X252" t="str">
        <f>INDEX(script.out!L:L,results.txt!$M252)</f>
        <v>}</v>
      </c>
      <c r="Y252" t="str">
        <f>INDEX(script.out!M:M,results.txt!$M252)</f>
        <v>{</v>
      </c>
      <c r="Z252">
        <f>INDEX(script.out!N:N,results.txt!$M252)</f>
        <v>14.7696008384341</v>
      </c>
      <c r="AA252">
        <f>INDEX(script.out!O:O,results.txt!$M252)</f>
        <v>18.5</v>
      </c>
      <c r="AB252">
        <f>INDEX(script.out!P:P,results.txt!$M252)</f>
        <v>9079.2000000000007</v>
      </c>
      <c r="AC252" t="str">
        <f>INDEX(script.out!Q:Q,results.txt!$M252)</f>
        <v>}</v>
      </c>
      <c r="AD252">
        <f t="shared" si="3"/>
        <v>1</v>
      </c>
    </row>
    <row r="253" spans="1:30" x14ac:dyDescent="0.25">
      <c r="A253" s="12" t="s">
        <v>2</v>
      </c>
      <c r="B253" s="12">
        <v>-3</v>
      </c>
      <c r="C253" s="12">
        <v>0.82083099999999998</v>
      </c>
      <c r="D253" s="12">
        <v>8.4416699999999997E-2</v>
      </c>
      <c r="E253" s="12">
        <v>0.65950600000000004</v>
      </c>
      <c r="F253" s="12">
        <v>-3</v>
      </c>
      <c r="G253" s="12">
        <v>49.570900000000002</v>
      </c>
      <c r="H253" s="12">
        <v>64</v>
      </c>
      <c r="I253" s="12">
        <v>180.018</v>
      </c>
      <c r="J253" s="12" t="s">
        <v>3</v>
      </c>
      <c r="K253" s="12">
        <v>1</v>
      </c>
      <c r="M253">
        <f>MATCH(C253,script.out!B:B,0)</f>
        <v>912</v>
      </c>
      <c r="N253">
        <f>INDEX(script.out!B:B,results.txt!$M253)</f>
        <v>0.82083099999999998</v>
      </c>
      <c r="O253">
        <f>INDEX(script.out!C:C,results.txt!$M253)</f>
        <v>8.4416699999999997E-2</v>
      </c>
      <c r="P253">
        <f>INDEX(script.out!D:D,results.txt!$M253)</f>
        <v>0.65950600000000004</v>
      </c>
      <c r="Q253">
        <f>INDEX(script.out!E:E,results.txt!$M253)</f>
        <v>49.570937170041603</v>
      </c>
      <c r="R253">
        <f>INDEX(script.out!F:F,results.txt!$M253)</f>
        <v>64</v>
      </c>
      <c r="S253">
        <f>INDEX(script.out!G:G,results.txt!$M253)</f>
        <v>180.018462132482</v>
      </c>
      <c r="T253" t="str">
        <f>INDEX(script.out!H:H,results.txt!$M253)</f>
        <v>{</v>
      </c>
      <c r="U253">
        <f>INDEX(script.out!I:I,results.txt!$M253)</f>
        <v>0.95666399999999996</v>
      </c>
      <c r="V253">
        <f>INDEX(script.out!J:J,results.txt!$M253)</f>
        <v>142.20835</v>
      </c>
      <c r="W253">
        <f>INDEX(script.out!K:K,results.txt!$M253)</f>
        <v>399.10854</v>
      </c>
      <c r="X253" t="str">
        <f>INDEX(script.out!L:L,results.txt!$M253)</f>
        <v>}</v>
      </c>
      <c r="Y253" t="str">
        <f>INDEX(script.out!M:M,results.txt!$M253)</f>
        <v>{</v>
      </c>
      <c r="Z253">
        <f>INDEX(script.out!N:N,results.txt!$M253)</f>
        <v>17.040663120050599</v>
      </c>
      <c r="AA253">
        <f>INDEX(script.out!O:O,results.txt!$M253)</f>
        <v>16</v>
      </c>
      <c r="AB253">
        <f>INDEX(script.out!P:P,results.txt!$M253)</f>
        <v>2402.7600000000002</v>
      </c>
      <c r="AC253" t="str">
        <f>INDEX(script.out!Q:Q,results.txt!$M253)</f>
        <v>}</v>
      </c>
      <c r="AD253">
        <f t="shared" si="3"/>
        <v>1</v>
      </c>
    </row>
    <row r="254" spans="1:30" x14ac:dyDescent="0.25">
      <c r="A254" s="12" t="s">
        <v>2</v>
      </c>
      <c r="B254" s="12">
        <v>-3</v>
      </c>
      <c r="C254" s="12">
        <v>1.1651899999999999</v>
      </c>
      <c r="D254" s="12">
        <v>-2.8292100000000001E-2</v>
      </c>
      <c r="E254" s="12">
        <v>0.60011700000000001</v>
      </c>
      <c r="F254" s="12">
        <v>-3</v>
      </c>
      <c r="G254" s="12">
        <v>8.2817399999999999E-2</v>
      </c>
      <c r="H254" s="12">
        <v>72.25</v>
      </c>
      <c r="I254" s="12">
        <v>287.10700000000003</v>
      </c>
      <c r="J254" s="12" t="s">
        <v>3</v>
      </c>
      <c r="K254" s="12">
        <v>0</v>
      </c>
      <c r="M254">
        <f>MATCH(C254,script.out!B:B,0)</f>
        <v>913</v>
      </c>
      <c r="N254">
        <f>INDEX(script.out!B:B,results.txt!$M254)</f>
        <v>1.1651899999999999</v>
      </c>
      <c r="O254">
        <f>INDEX(script.out!C:C,results.txt!$M254)</f>
        <v>-2.8292100000000001E-2</v>
      </c>
      <c r="P254">
        <f>INDEX(script.out!D:D,results.txt!$M254)</f>
        <v>0.60011700000000001</v>
      </c>
      <c r="Q254">
        <f>INDEX(script.out!E:E,results.txt!$M254)</f>
        <v>8.2817411420987197E-2</v>
      </c>
      <c r="R254">
        <f>INDEX(script.out!F:F,results.txt!$M254)</f>
        <v>72.25</v>
      </c>
      <c r="S254">
        <f>INDEX(script.out!G:G,results.txt!$M254)</f>
        <v>287.106563554888</v>
      </c>
      <c r="T254" t="str">
        <f>INDEX(script.out!H:H,results.txt!$M254)</f>
        <v>{</v>
      </c>
      <c r="U254">
        <f>INDEX(script.out!I:I,results.txt!$M254)</f>
        <v>1.2321500000000001</v>
      </c>
      <c r="V254">
        <f>INDEX(script.out!J:J,results.txt!$M254)</f>
        <v>85.853949999999998</v>
      </c>
      <c r="W254">
        <f>INDEX(script.out!K:K,results.txt!$M254)</f>
        <v>364.06903</v>
      </c>
      <c r="X254" t="str">
        <f>INDEX(script.out!L:L,results.txt!$M254)</f>
        <v>}</v>
      </c>
      <c r="Y254" t="str">
        <f>INDEX(script.out!M:M,results.txt!$M254)</f>
        <v>{</v>
      </c>
      <c r="Z254">
        <f>INDEX(script.out!N:N,results.txt!$M254)</f>
        <v>10.287780144243801</v>
      </c>
      <c r="AA254">
        <f>INDEX(script.out!O:O,results.txt!$M254)</f>
        <v>16.5</v>
      </c>
      <c r="AB254">
        <f>INDEX(script.out!P:P,results.txt!$M254)</f>
        <v>1115.3599999999999</v>
      </c>
      <c r="AC254" t="str">
        <f>INDEX(script.out!Q:Q,results.txt!$M254)</f>
        <v>}</v>
      </c>
      <c r="AD254">
        <f t="shared" si="3"/>
        <v>1</v>
      </c>
    </row>
    <row r="255" spans="1:30" x14ac:dyDescent="0.25">
      <c r="A255" s="12" t="s">
        <v>2</v>
      </c>
      <c r="B255" s="12">
        <v>-3</v>
      </c>
      <c r="C255" s="12">
        <v>0.94015899999999997</v>
      </c>
      <c r="D255" s="12">
        <v>6.9768999999999998E-2</v>
      </c>
      <c r="E255" s="12">
        <v>0.57314699999999996</v>
      </c>
      <c r="F255" s="12">
        <v>-3</v>
      </c>
      <c r="G255" s="12">
        <v>37.983199999999997</v>
      </c>
      <c r="H255" s="12">
        <v>56.25</v>
      </c>
      <c r="I255" s="12">
        <v>169.119</v>
      </c>
      <c r="J255" s="12" t="s">
        <v>3</v>
      </c>
      <c r="K255" s="12">
        <v>1</v>
      </c>
      <c r="M255">
        <f>MATCH(C255,script.out!B:B,0)</f>
        <v>914</v>
      </c>
      <c r="N255">
        <f>INDEX(script.out!B:B,results.txt!$M255)</f>
        <v>0.94015899999999997</v>
      </c>
      <c r="O255">
        <f>INDEX(script.out!C:C,results.txt!$M255)</f>
        <v>6.9768999999999998E-2</v>
      </c>
      <c r="P255">
        <f>INDEX(script.out!D:D,results.txt!$M255)</f>
        <v>0.57314699999999996</v>
      </c>
      <c r="Q255">
        <f>INDEX(script.out!E:E,results.txt!$M255)</f>
        <v>37.983241915086801</v>
      </c>
      <c r="R255">
        <f>INDEX(script.out!F:F,results.txt!$M255)</f>
        <v>56.25</v>
      </c>
      <c r="S255">
        <f>INDEX(script.out!G:G,results.txt!$M255)</f>
        <v>169.11897983786801</v>
      </c>
      <c r="T255" t="str">
        <f>INDEX(script.out!H:H,results.txt!$M255)</f>
        <v>{</v>
      </c>
      <c r="U255">
        <f>INDEX(script.out!I:I,results.txt!$M255)</f>
        <v>1.052127</v>
      </c>
      <c r="V255">
        <f>INDEX(script.out!J:J,results.txt!$M255)</f>
        <v>134.8845</v>
      </c>
      <c r="W255">
        <f>INDEX(script.out!K:K,results.txt!$M255)</f>
        <v>348.15672999999998</v>
      </c>
      <c r="X255" t="str">
        <f>INDEX(script.out!L:L,results.txt!$M255)</f>
        <v>}</v>
      </c>
      <c r="Y255" t="str">
        <f>INDEX(script.out!M:M,results.txt!$M255)</f>
        <v>{</v>
      </c>
      <c r="Z255">
        <f>INDEX(script.out!N:N,results.txt!$M255)</f>
        <v>16.163054592901702</v>
      </c>
      <c r="AA255">
        <f>INDEX(script.out!O:O,results.txt!$M255)</f>
        <v>15.5</v>
      </c>
      <c r="AB255">
        <f>INDEX(script.out!P:P,results.txt!$M255)</f>
        <v>2553.33</v>
      </c>
      <c r="AC255" t="str">
        <f>INDEX(script.out!Q:Q,results.txt!$M255)</f>
        <v>}</v>
      </c>
      <c r="AD255">
        <f t="shared" si="3"/>
        <v>1</v>
      </c>
    </row>
    <row r="256" spans="1:30" x14ac:dyDescent="0.25">
      <c r="A256" s="12" t="s">
        <v>2</v>
      </c>
      <c r="B256" s="12">
        <v>-3</v>
      </c>
      <c r="C256" s="12">
        <v>0.92340500000000003</v>
      </c>
      <c r="D256" s="12">
        <v>2.9867299999999999E-2</v>
      </c>
      <c r="E256" s="12">
        <v>0.580677</v>
      </c>
      <c r="F256" s="12">
        <v>-3</v>
      </c>
      <c r="G256" s="12">
        <v>14.2308</v>
      </c>
      <c r="H256" s="12">
        <v>72.25</v>
      </c>
      <c r="I256" s="12">
        <v>227.791</v>
      </c>
      <c r="J256" s="12" t="s">
        <v>3</v>
      </c>
      <c r="K256" s="12">
        <v>1</v>
      </c>
      <c r="M256">
        <f>MATCH(C256,script.out!B:B,0)</f>
        <v>915</v>
      </c>
      <c r="N256">
        <f>INDEX(script.out!B:B,results.txt!$M256)</f>
        <v>0.92340500000000003</v>
      </c>
      <c r="O256">
        <f>INDEX(script.out!C:C,results.txt!$M256)</f>
        <v>2.9867299999999999E-2</v>
      </c>
      <c r="P256">
        <f>INDEX(script.out!D:D,results.txt!$M256)</f>
        <v>0.580677</v>
      </c>
      <c r="Q256">
        <f>INDEX(script.out!E:E,results.txt!$M256)</f>
        <v>14.230754063592901</v>
      </c>
      <c r="R256">
        <f>INDEX(script.out!F:F,results.txt!$M256)</f>
        <v>72.25</v>
      </c>
      <c r="S256">
        <f>INDEX(script.out!G:G,results.txt!$M256)</f>
        <v>227.79079243760501</v>
      </c>
      <c r="T256" t="str">
        <f>INDEX(script.out!H:H,results.txt!$M256)</f>
        <v>{</v>
      </c>
      <c r="U256">
        <f>INDEX(script.out!I:I,results.txt!$M256)</f>
        <v>1.038724</v>
      </c>
      <c r="V256">
        <f>INDEX(script.out!J:J,results.txt!$M256)</f>
        <v>114.93365</v>
      </c>
      <c r="W256">
        <f>INDEX(script.out!K:K,results.txt!$M256)</f>
        <v>352.59942999999998</v>
      </c>
      <c r="X256" t="str">
        <f>INDEX(script.out!L:L,results.txt!$M256)</f>
        <v>}</v>
      </c>
      <c r="Y256" t="str">
        <f>INDEX(script.out!M:M,results.txt!$M256)</f>
        <v>{</v>
      </c>
      <c r="Z256">
        <f>INDEX(script.out!N:N,results.txt!$M256)</f>
        <v>13.772367169774499</v>
      </c>
      <c r="AA256">
        <f>INDEX(script.out!O:O,results.txt!$M256)</f>
        <v>16.5</v>
      </c>
      <c r="AB256">
        <f>INDEX(script.out!P:P,results.txt!$M256)</f>
        <v>1791.15</v>
      </c>
      <c r="AC256" t="str">
        <f>INDEX(script.out!Q:Q,results.txt!$M256)</f>
        <v>}</v>
      </c>
      <c r="AD256">
        <f t="shared" si="3"/>
        <v>1</v>
      </c>
    </row>
    <row r="257" spans="1:30" x14ac:dyDescent="0.25">
      <c r="A257" s="12" t="s">
        <v>2</v>
      </c>
      <c r="B257" s="12">
        <v>-3</v>
      </c>
      <c r="C257" s="12">
        <v>0.91875799999999996</v>
      </c>
      <c r="D257" s="12">
        <v>0.327515</v>
      </c>
      <c r="E257" s="12">
        <v>0.54974599999999996</v>
      </c>
      <c r="F257" s="12">
        <v>-3</v>
      </c>
      <c r="G257" s="12">
        <v>466.80900000000003</v>
      </c>
      <c r="H257" s="12">
        <v>42.25</v>
      </c>
      <c r="I257" s="12">
        <v>18.241599999999998</v>
      </c>
      <c r="J257" s="12" t="s">
        <v>3</v>
      </c>
      <c r="K257" s="12">
        <v>1</v>
      </c>
      <c r="M257">
        <f>MATCH(C257,script.out!B:B,0)</f>
        <v>916</v>
      </c>
      <c r="N257">
        <f>INDEX(script.out!B:B,results.txt!$M257)</f>
        <v>0.91875799999999996</v>
      </c>
      <c r="O257">
        <f>INDEX(script.out!C:C,results.txt!$M257)</f>
        <v>0.327515</v>
      </c>
      <c r="P257">
        <f>INDEX(script.out!D:D,results.txt!$M257)</f>
        <v>0.54974599999999996</v>
      </c>
      <c r="Q257">
        <f>INDEX(script.out!E:E,results.txt!$M257)</f>
        <v>466.80878094462798</v>
      </c>
      <c r="R257">
        <f>INDEX(script.out!F:F,results.txt!$M257)</f>
        <v>42.25</v>
      </c>
      <c r="S257">
        <f>INDEX(script.out!G:G,results.txt!$M257)</f>
        <v>18.241558013886198</v>
      </c>
      <c r="T257" t="str">
        <f>INDEX(script.out!H:H,results.txt!$M257)</f>
        <v>{</v>
      </c>
      <c r="U257">
        <f>INDEX(script.out!I:I,results.txt!$M257)</f>
        <v>1.0350060000000001</v>
      </c>
      <c r="V257">
        <f>INDEX(script.out!J:J,results.txt!$M257)</f>
        <v>263.75749999999999</v>
      </c>
      <c r="W257">
        <f>INDEX(script.out!K:K,results.txt!$M257)</f>
        <v>334.35014000000001</v>
      </c>
      <c r="X257" t="str">
        <f>INDEX(script.out!L:L,results.txt!$M257)</f>
        <v>}</v>
      </c>
      <c r="Y257" t="str">
        <f>INDEX(script.out!M:M,results.txt!$M257)</f>
        <v>{</v>
      </c>
      <c r="Z257">
        <f>INDEX(script.out!N:N,results.txt!$M257)</f>
        <v>31.6057580506824</v>
      </c>
      <c r="AA257">
        <f>INDEX(script.out!O:O,results.txt!$M257)</f>
        <v>14.5</v>
      </c>
      <c r="AB257">
        <f>INDEX(script.out!P:P,results.txt!$M257)</f>
        <v>5741.08</v>
      </c>
      <c r="AC257" t="str">
        <f>INDEX(script.out!Q:Q,results.txt!$M257)</f>
        <v>}</v>
      </c>
      <c r="AD257">
        <f t="shared" si="3"/>
        <v>1</v>
      </c>
    </row>
    <row r="258" spans="1:30" x14ac:dyDescent="0.25">
      <c r="A258" s="12" t="s">
        <v>2</v>
      </c>
      <c r="B258" s="12">
        <v>-3</v>
      </c>
      <c r="C258" s="12">
        <v>1.08941</v>
      </c>
      <c r="D258" s="12">
        <v>0.14419599999999999</v>
      </c>
      <c r="E258" s="12">
        <v>0.57810600000000001</v>
      </c>
      <c r="F258" s="12">
        <v>-3</v>
      </c>
      <c r="G258" s="12">
        <v>112.833</v>
      </c>
      <c r="H258" s="12">
        <v>36</v>
      </c>
      <c r="I258" s="12">
        <v>92.677300000000002</v>
      </c>
      <c r="J258" s="12" t="s">
        <v>3</v>
      </c>
      <c r="K258" s="12">
        <v>1</v>
      </c>
      <c r="M258">
        <f>MATCH(C258,script.out!B:B,0)</f>
        <v>917</v>
      </c>
      <c r="N258">
        <f>INDEX(script.out!B:B,results.txt!$M258)</f>
        <v>1.08941</v>
      </c>
      <c r="O258">
        <f>INDEX(script.out!C:C,results.txt!$M258)</f>
        <v>0.14419599999999999</v>
      </c>
      <c r="P258">
        <f>INDEX(script.out!D:D,results.txt!$M258)</f>
        <v>0.57810600000000001</v>
      </c>
      <c r="Q258">
        <f>INDEX(script.out!E:E,results.txt!$M258)</f>
        <v>112.83337462586201</v>
      </c>
      <c r="R258">
        <f>INDEX(script.out!F:F,results.txt!$M258)</f>
        <v>36</v>
      </c>
      <c r="S258">
        <f>INDEX(script.out!G:G,results.txt!$M258)</f>
        <v>92.677282735222306</v>
      </c>
      <c r="T258" t="str">
        <f>INDEX(script.out!H:H,results.txt!$M258)</f>
        <v>{</v>
      </c>
      <c r="U258">
        <f>INDEX(script.out!I:I,results.txt!$M258)</f>
        <v>1.1715199999999999</v>
      </c>
      <c r="V258">
        <f>INDEX(script.out!J:J,results.txt!$M258)</f>
        <v>172.09800000000001</v>
      </c>
      <c r="W258">
        <f>INDEX(script.out!K:K,results.txt!$M258)</f>
        <v>351.08253999999999</v>
      </c>
      <c r="X258" t="str">
        <f>INDEX(script.out!L:L,results.txt!$M258)</f>
        <v>}</v>
      </c>
      <c r="Y258" t="str">
        <f>INDEX(script.out!M:M,results.txt!$M258)</f>
        <v>{</v>
      </c>
      <c r="Z258">
        <f>INDEX(script.out!N:N,results.txt!$M258)</f>
        <v>20.6223055230897</v>
      </c>
      <c r="AA258">
        <f>INDEX(script.out!O:O,results.txt!$M258)</f>
        <v>14</v>
      </c>
      <c r="AB258">
        <f>INDEX(script.out!P:P,results.txt!$M258)</f>
        <v>3786.18</v>
      </c>
      <c r="AC258" t="str">
        <f>INDEX(script.out!Q:Q,results.txt!$M258)</f>
        <v>}</v>
      </c>
      <c r="AD258">
        <f t="shared" si="3"/>
        <v>1</v>
      </c>
    </row>
    <row r="259" spans="1:30" x14ac:dyDescent="0.25">
      <c r="A259" s="12" t="s">
        <v>2</v>
      </c>
      <c r="B259" s="12">
        <v>-3</v>
      </c>
      <c r="C259" s="12">
        <v>1.0889200000000001</v>
      </c>
      <c r="D259" s="12">
        <v>0.17537900000000001</v>
      </c>
      <c r="E259" s="12">
        <v>0.53934199999999999</v>
      </c>
      <c r="F259" s="12">
        <v>-3</v>
      </c>
      <c r="G259" s="12">
        <v>156.01599999999999</v>
      </c>
      <c r="H259" s="12">
        <v>36</v>
      </c>
      <c r="I259" s="12">
        <v>66.450199999999995</v>
      </c>
      <c r="J259" s="12" t="s">
        <v>3</v>
      </c>
      <c r="K259" s="12">
        <v>0</v>
      </c>
      <c r="M259">
        <f>MATCH(C259,script.out!B:B,0)</f>
        <v>918</v>
      </c>
      <c r="N259">
        <f>INDEX(script.out!B:B,results.txt!$M259)</f>
        <v>1.0889200000000001</v>
      </c>
      <c r="O259">
        <f>INDEX(script.out!C:C,results.txt!$M259)</f>
        <v>0.17537900000000001</v>
      </c>
      <c r="P259">
        <f>INDEX(script.out!D:D,results.txt!$M259)</f>
        <v>0.53934199999999999</v>
      </c>
      <c r="Q259">
        <f>INDEX(script.out!E:E,results.txt!$M259)</f>
        <v>156.01551420338899</v>
      </c>
      <c r="R259">
        <f>INDEX(script.out!F:F,results.txt!$M259)</f>
        <v>36</v>
      </c>
      <c r="S259">
        <f>INDEX(script.out!G:G,results.txt!$M259)</f>
        <v>66.450190556577198</v>
      </c>
      <c r="T259" t="str">
        <f>INDEX(script.out!H:H,results.txt!$M259)</f>
        <v>{</v>
      </c>
      <c r="U259">
        <f>INDEX(script.out!I:I,results.txt!$M259)</f>
        <v>1.17113</v>
      </c>
      <c r="V259">
        <f>INDEX(script.out!J:J,results.txt!$M259)</f>
        <v>187.68950000000001</v>
      </c>
      <c r="W259">
        <f>INDEX(script.out!K:K,results.txt!$M259)</f>
        <v>328.21177999999998</v>
      </c>
      <c r="X259" t="str">
        <f>INDEX(script.out!L:L,results.txt!$M259)</f>
        <v>}</v>
      </c>
      <c r="Y259" t="str">
        <f>INDEX(script.out!M:M,results.txt!$M259)</f>
        <v>{</v>
      </c>
      <c r="Z259">
        <f>INDEX(script.out!N:N,results.txt!$M259)</f>
        <v>22.490617046542901</v>
      </c>
      <c r="AA259">
        <f>INDEX(script.out!O:O,results.txt!$M259)</f>
        <v>14</v>
      </c>
      <c r="AB259">
        <f>INDEX(script.out!P:P,results.txt!$M259)</f>
        <v>4324.63</v>
      </c>
      <c r="AC259" t="str">
        <f>INDEX(script.out!Q:Q,results.txt!$M259)</f>
        <v>}</v>
      </c>
      <c r="AD259">
        <f t="shared" si="3"/>
        <v>1</v>
      </c>
    </row>
    <row r="260" spans="1:30" x14ac:dyDescent="0.25">
      <c r="A260" s="12" t="s">
        <v>2</v>
      </c>
      <c r="B260" s="12">
        <v>-3</v>
      </c>
      <c r="C260" s="12">
        <v>0.89047299999999996</v>
      </c>
      <c r="D260" s="12">
        <v>0.180869</v>
      </c>
      <c r="E260" s="12">
        <v>0.38324799999999998</v>
      </c>
      <c r="F260" s="12">
        <v>-3</v>
      </c>
      <c r="G260" s="12">
        <v>164.34100000000001</v>
      </c>
      <c r="H260" s="12">
        <v>42.25</v>
      </c>
      <c r="I260" s="12">
        <v>14.9587</v>
      </c>
      <c r="J260" s="12" t="s">
        <v>3</v>
      </c>
      <c r="K260" s="12">
        <v>1</v>
      </c>
      <c r="M260">
        <f>MATCH(C260,script.out!B:B,0)</f>
        <v>919</v>
      </c>
      <c r="N260">
        <f>INDEX(script.out!B:B,results.txt!$M260)</f>
        <v>0.89047299999999996</v>
      </c>
      <c r="O260">
        <f>INDEX(script.out!C:C,results.txt!$M260)</f>
        <v>0.180869</v>
      </c>
      <c r="P260">
        <f>INDEX(script.out!D:D,results.txt!$M260)</f>
        <v>0.38324799999999998</v>
      </c>
      <c r="Q260">
        <f>INDEX(script.out!E:E,results.txt!$M260)</f>
        <v>164.340791472456</v>
      </c>
      <c r="R260">
        <f>INDEX(script.out!F:F,results.txt!$M260)</f>
        <v>42.25</v>
      </c>
      <c r="S260">
        <f>INDEX(script.out!G:G,results.txt!$M260)</f>
        <v>14.958668839181801</v>
      </c>
      <c r="T260" t="str">
        <f>INDEX(script.out!H:H,results.txt!$M260)</f>
        <v>{</v>
      </c>
      <c r="U260">
        <f>INDEX(script.out!I:I,results.txt!$M260)</f>
        <v>1.012378</v>
      </c>
      <c r="V260">
        <f>INDEX(script.out!J:J,results.txt!$M260)</f>
        <v>190.43450000000001</v>
      </c>
      <c r="W260">
        <f>INDEX(script.out!K:K,results.txt!$M260)</f>
        <v>236.11632</v>
      </c>
      <c r="X260" t="str">
        <f>INDEX(script.out!L:L,results.txt!$M260)</f>
        <v>}</v>
      </c>
      <c r="Y260" t="str">
        <f>INDEX(script.out!M:M,results.txt!$M260)</f>
        <v>{</v>
      </c>
      <c r="Z260">
        <f>INDEX(script.out!N:N,results.txt!$M260)</f>
        <v>22.819547241320802</v>
      </c>
      <c r="AA260">
        <f>INDEX(script.out!O:O,results.txt!$M260)</f>
        <v>14.5</v>
      </c>
      <c r="AB260">
        <f>INDEX(script.out!P:P,results.txt!$M260)</f>
        <v>5888.31</v>
      </c>
      <c r="AC260" t="str">
        <f>INDEX(script.out!Q:Q,results.txt!$M260)</f>
        <v>}</v>
      </c>
      <c r="AD260">
        <f t="shared" ref="AD260:AD323" si="4">IF(A260="all",1)+IF(A260="nonDominatedFront",2)</f>
        <v>1</v>
      </c>
    </row>
    <row r="261" spans="1:30" x14ac:dyDescent="0.25">
      <c r="A261" s="12" t="s">
        <v>2</v>
      </c>
      <c r="B261" s="12">
        <v>-3</v>
      </c>
      <c r="C261" s="12">
        <v>0.58919299999999997</v>
      </c>
      <c r="D261" s="12">
        <v>-5.1326200000000002E-2</v>
      </c>
      <c r="E261" s="12">
        <v>0.12551000000000001</v>
      </c>
      <c r="F261" s="12">
        <v>-3</v>
      </c>
      <c r="G261" s="12">
        <v>1.1931099999999999</v>
      </c>
      <c r="H261" s="12">
        <v>144</v>
      </c>
      <c r="I261" s="12">
        <v>26.5092</v>
      </c>
      <c r="J261" s="12" t="s">
        <v>3</v>
      </c>
      <c r="K261" s="12">
        <v>1</v>
      </c>
      <c r="M261">
        <f>MATCH(C261,script.out!B:B,0)</f>
        <v>920</v>
      </c>
      <c r="N261">
        <f>INDEX(script.out!B:B,results.txt!$M261)</f>
        <v>0.58919299999999997</v>
      </c>
      <c r="O261">
        <f>INDEX(script.out!C:C,results.txt!$M261)</f>
        <v>-5.1326200000000002E-2</v>
      </c>
      <c r="P261">
        <f>INDEX(script.out!D:D,results.txt!$M261)</f>
        <v>0.12551000000000001</v>
      </c>
      <c r="Q261">
        <f>INDEX(script.out!E:E,results.txt!$M261)</f>
        <v>1.1931077532843499</v>
      </c>
      <c r="R261">
        <f>INDEX(script.out!F:F,results.txt!$M261)</f>
        <v>144</v>
      </c>
      <c r="S261">
        <f>INDEX(script.out!G:G,results.txt!$M261)</f>
        <v>26.509238644398501</v>
      </c>
      <c r="T261" t="str">
        <f>INDEX(script.out!H:H,results.txt!$M261)</f>
        <v>{</v>
      </c>
      <c r="U261">
        <f>INDEX(script.out!I:I,results.txt!$M261)</f>
        <v>0.77135399999999998</v>
      </c>
      <c r="V261">
        <f>INDEX(script.out!J:J,results.txt!$M261)</f>
        <v>74.3369</v>
      </c>
      <c r="W261">
        <f>INDEX(script.out!K:K,results.txt!$M261)</f>
        <v>84.050899999999999</v>
      </c>
      <c r="X261" t="str">
        <f>INDEX(script.out!L:L,results.txt!$M261)</f>
        <v>}</v>
      </c>
      <c r="Y261" t="str">
        <f>INDEX(script.out!M:M,results.txt!$M261)</f>
        <v>{</v>
      </c>
      <c r="Z261">
        <f>INDEX(script.out!N:N,results.txt!$M261)</f>
        <v>8.9077052809409096</v>
      </c>
      <c r="AA261">
        <f>INDEX(script.out!O:O,results.txt!$M261)</f>
        <v>20</v>
      </c>
      <c r="AB261">
        <f>INDEX(script.out!P:P,results.txt!$M261)</f>
        <v>5420.72</v>
      </c>
      <c r="AC261" t="str">
        <f>INDEX(script.out!Q:Q,results.txt!$M261)</f>
        <v>}</v>
      </c>
      <c r="AD261">
        <f t="shared" si="4"/>
        <v>1</v>
      </c>
    </row>
    <row r="262" spans="1:30" x14ac:dyDescent="0.25">
      <c r="A262" s="12" t="s">
        <v>2</v>
      </c>
      <c r="B262" s="12">
        <v>-3</v>
      </c>
      <c r="C262" s="12">
        <v>1.03054</v>
      </c>
      <c r="D262" s="12">
        <v>1.22057E-2</v>
      </c>
      <c r="E262" s="12">
        <v>0.62687000000000004</v>
      </c>
      <c r="F262" s="12">
        <v>-3</v>
      </c>
      <c r="G262" s="12">
        <v>7.3667899999999999</v>
      </c>
      <c r="H262" s="12">
        <v>64</v>
      </c>
      <c r="I262" s="12">
        <v>251.80500000000001</v>
      </c>
      <c r="J262" s="12" t="s">
        <v>3</v>
      </c>
      <c r="K262" s="12">
        <v>0</v>
      </c>
      <c r="M262">
        <f>MATCH(C262,script.out!B:B,0)</f>
        <v>921</v>
      </c>
      <c r="N262">
        <f>INDEX(script.out!B:B,results.txt!$M262)</f>
        <v>1.03054</v>
      </c>
      <c r="O262">
        <f>INDEX(script.out!C:C,results.txt!$M262)</f>
        <v>1.22057E-2</v>
      </c>
      <c r="P262">
        <f>INDEX(script.out!D:D,results.txt!$M262)</f>
        <v>0.62687000000000004</v>
      </c>
      <c r="Q262">
        <f>INDEX(script.out!E:E,results.txt!$M262)</f>
        <v>7.3667869488110798</v>
      </c>
      <c r="R262">
        <f>INDEX(script.out!F:F,results.txt!$M262)</f>
        <v>64</v>
      </c>
      <c r="S262">
        <f>INDEX(script.out!G:G,results.txt!$M262)</f>
        <v>251.80472735972899</v>
      </c>
      <c r="T262" t="str">
        <f>INDEX(script.out!H:H,results.txt!$M262)</f>
        <v>{</v>
      </c>
      <c r="U262">
        <f>INDEX(script.out!I:I,results.txt!$M262)</f>
        <v>1.12443</v>
      </c>
      <c r="V262">
        <f>INDEX(script.out!J:J,results.txt!$M262)</f>
        <v>106.10285</v>
      </c>
      <c r="W262">
        <f>INDEX(script.out!K:K,results.txt!$M262)</f>
        <v>379.85329999999999</v>
      </c>
      <c r="X262" t="str">
        <f>INDEX(script.out!L:L,results.txt!$M262)</f>
        <v>}</v>
      </c>
      <c r="Y262" t="str">
        <f>INDEX(script.out!M:M,results.txt!$M262)</f>
        <v>{</v>
      </c>
      <c r="Z262">
        <f>INDEX(script.out!N:N,results.txt!$M262)</f>
        <v>12.714182556279299</v>
      </c>
      <c r="AA262">
        <f>INDEX(script.out!O:O,results.txt!$M262)</f>
        <v>16</v>
      </c>
      <c r="AB262">
        <f>INDEX(script.out!P:P,results.txt!$M262)</f>
        <v>1508.05</v>
      </c>
      <c r="AC262" t="str">
        <f>INDEX(script.out!Q:Q,results.txt!$M262)</f>
        <v>}</v>
      </c>
      <c r="AD262">
        <f t="shared" si="4"/>
        <v>1</v>
      </c>
    </row>
    <row r="263" spans="1:30" x14ac:dyDescent="0.25">
      <c r="A263" s="12" t="s">
        <v>2</v>
      </c>
      <c r="B263" s="12">
        <v>-3</v>
      </c>
      <c r="C263" s="12">
        <v>0.97362800000000005</v>
      </c>
      <c r="D263" s="12">
        <v>-5.2491200000000002E-2</v>
      </c>
      <c r="E263" s="12">
        <v>0.743834</v>
      </c>
      <c r="F263" s="12">
        <v>-3</v>
      </c>
      <c r="G263" s="12">
        <v>1.35046</v>
      </c>
      <c r="H263" s="12">
        <v>110.25</v>
      </c>
      <c r="I263" s="12">
        <v>320.87099999999998</v>
      </c>
      <c r="J263" s="12" t="s">
        <v>3</v>
      </c>
      <c r="K263" s="12">
        <v>1</v>
      </c>
      <c r="M263">
        <f>MATCH(C263,script.out!B:B,0)</f>
        <v>922</v>
      </c>
      <c r="N263">
        <f>INDEX(script.out!B:B,results.txt!$M263)</f>
        <v>0.97362800000000005</v>
      </c>
      <c r="O263">
        <f>INDEX(script.out!C:C,results.txt!$M263)</f>
        <v>-5.2491200000000002E-2</v>
      </c>
      <c r="P263">
        <f>INDEX(script.out!D:D,results.txt!$M263)</f>
        <v>0.743834</v>
      </c>
      <c r="Q263">
        <f>INDEX(script.out!E:E,results.txt!$M263)</f>
        <v>1.3504648459869399</v>
      </c>
      <c r="R263">
        <f>INDEX(script.out!F:F,results.txt!$M263)</f>
        <v>110.25</v>
      </c>
      <c r="S263">
        <f>INDEX(script.out!G:G,results.txt!$M263)</f>
        <v>320.87085765290999</v>
      </c>
      <c r="T263" t="str">
        <f>INDEX(script.out!H:H,results.txt!$M263)</f>
        <v>{</v>
      </c>
      <c r="U263">
        <f>INDEX(script.out!I:I,results.txt!$M263)</f>
        <v>1.078902</v>
      </c>
      <c r="V263">
        <f>INDEX(script.out!J:J,results.txt!$M263)</f>
        <v>73.754400000000004</v>
      </c>
      <c r="W263">
        <f>INDEX(script.out!K:K,results.txt!$M263)</f>
        <v>448.86205999999999</v>
      </c>
      <c r="X263" t="str">
        <f>INDEX(script.out!L:L,results.txt!$M263)</f>
        <v>}</v>
      </c>
      <c r="Y263" t="str">
        <f>INDEX(script.out!M:M,results.txt!$M263)</f>
        <v>{</v>
      </c>
      <c r="Z263">
        <f>INDEX(script.out!N:N,results.txt!$M263)</f>
        <v>8.8379049754916892</v>
      </c>
      <c r="AA263">
        <f>INDEX(script.out!O:O,results.txt!$M263)</f>
        <v>18.5</v>
      </c>
      <c r="AB263">
        <f>INDEX(script.out!P:P,results.txt!$M263)</f>
        <v>761.803</v>
      </c>
      <c r="AC263" t="str">
        <f>INDEX(script.out!Q:Q,results.txt!$M263)</f>
        <v>}</v>
      </c>
      <c r="AD263">
        <f t="shared" si="4"/>
        <v>1</v>
      </c>
    </row>
    <row r="264" spans="1:30" x14ac:dyDescent="0.25">
      <c r="A264" s="12" t="s">
        <v>2</v>
      </c>
      <c r="B264" s="12">
        <v>-3</v>
      </c>
      <c r="C264" s="12">
        <v>1.15981</v>
      </c>
      <c r="D264" s="12">
        <v>0.24931400000000001</v>
      </c>
      <c r="E264" s="12">
        <v>0.50706200000000001</v>
      </c>
      <c r="F264" s="12">
        <v>-3</v>
      </c>
      <c r="G264" s="12">
        <v>286.3</v>
      </c>
      <c r="H264" s="12">
        <v>30.25</v>
      </c>
      <c r="I264" s="12">
        <v>33.745899999999999</v>
      </c>
      <c r="J264" s="12" t="s">
        <v>3</v>
      </c>
      <c r="K264" s="12">
        <v>0</v>
      </c>
      <c r="M264">
        <f>MATCH(C264,script.out!B:B,0)</f>
        <v>923</v>
      </c>
      <c r="N264">
        <f>INDEX(script.out!B:B,results.txt!$M264)</f>
        <v>1.15981</v>
      </c>
      <c r="O264">
        <f>INDEX(script.out!C:C,results.txt!$M264)</f>
        <v>0.24931400000000001</v>
      </c>
      <c r="P264">
        <f>INDEX(script.out!D:D,results.txt!$M264)</f>
        <v>0.50706200000000001</v>
      </c>
      <c r="Q264">
        <f>INDEX(script.out!E:E,results.txt!$M264)</f>
        <v>286.299600442241</v>
      </c>
      <c r="R264">
        <f>INDEX(script.out!F:F,results.txt!$M264)</f>
        <v>30.25</v>
      </c>
      <c r="S264">
        <f>INDEX(script.out!G:G,results.txt!$M264)</f>
        <v>33.745913371364203</v>
      </c>
      <c r="T264" t="str">
        <f>INDEX(script.out!H:H,results.txt!$M264)</f>
        <v>{</v>
      </c>
      <c r="U264">
        <f>INDEX(script.out!I:I,results.txt!$M264)</f>
        <v>1.22784</v>
      </c>
      <c r="V264">
        <f>INDEX(script.out!J:J,results.txt!$M264)</f>
        <v>224.65700000000001</v>
      </c>
      <c r="W264">
        <f>INDEX(script.out!K:K,results.txt!$M264)</f>
        <v>309.16658000000001</v>
      </c>
      <c r="X264" t="str">
        <f>INDEX(script.out!L:L,results.txt!$M264)</f>
        <v>}</v>
      </c>
      <c r="Y264" t="str">
        <f>INDEX(script.out!M:M,results.txt!$M264)</f>
        <v>{</v>
      </c>
      <c r="Z264">
        <f>INDEX(script.out!N:N,results.txt!$M264)</f>
        <v>26.920390079493998</v>
      </c>
      <c r="AA264">
        <f>INDEX(script.out!O:O,results.txt!$M264)</f>
        <v>13.5</v>
      </c>
      <c r="AB264">
        <f>INDEX(script.out!P:P,results.txt!$M264)</f>
        <v>5179.67</v>
      </c>
      <c r="AC264" t="str">
        <f>INDEX(script.out!Q:Q,results.txt!$M264)</f>
        <v>}</v>
      </c>
      <c r="AD264">
        <f t="shared" si="4"/>
        <v>1</v>
      </c>
    </row>
    <row r="265" spans="1:30" x14ac:dyDescent="0.25">
      <c r="A265" s="12" t="s">
        <v>4</v>
      </c>
      <c r="B265" s="12">
        <v>-3</v>
      </c>
      <c r="C265" s="12">
        <v>1.06053</v>
      </c>
      <c r="D265" s="12">
        <v>0.101386</v>
      </c>
      <c r="E265" s="12">
        <v>0.88423499999999999</v>
      </c>
      <c r="F265" s="12">
        <v>-3</v>
      </c>
      <c r="G265" s="12">
        <v>64.921199999999999</v>
      </c>
      <c r="H265" s="12">
        <v>36</v>
      </c>
      <c r="I265" s="12">
        <v>190.482</v>
      </c>
      <c r="J265" s="12" t="s">
        <v>3</v>
      </c>
      <c r="K265" s="12">
        <v>0</v>
      </c>
      <c r="M265" t="e">
        <f>MATCH(C265,script.out!B:B,0)</f>
        <v>#N/A</v>
      </c>
      <c r="N265" t="e">
        <f>INDEX(script.out!B:B,results.txt!$M265)</f>
        <v>#N/A</v>
      </c>
      <c r="O265" t="e">
        <f>INDEX(script.out!C:C,results.txt!$M265)</f>
        <v>#N/A</v>
      </c>
      <c r="P265" t="e">
        <f>INDEX(script.out!D:D,results.txt!$M265)</f>
        <v>#N/A</v>
      </c>
      <c r="Q265" t="e">
        <f>INDEX(script.out!E:E,results.txt!$M265)</f>
        <v>#N/A</v>
      </c>
      <c r="R265" t="e">
        <f>INDEX(script.out!F:F,results.txt!$M265)</f>
        <v>#N/A</v>
      </c>
      <c r="S265" t="e">
        <f>INDEX(script.out!G:G,results.txt!$M265)</f>
        <v>#N/A</v>
      </c>
      <c r="T265" t="e">
        <f>INDEX(script.out!H:H,results.txt!$M265)</f>
        <v>#N/A</v>
      </c>
      <c r="U265" t="e">
        <f>INDEX(script.out!I:I,results.txt!$M265)</f>
        <v>#N/A</v>
      </c>
      <c r="V265" t="e">
        <f>INDEX(script.out!J:J,results.txt!$M265)</f>
        <v>#N/A</v>
      </c>
      <c r="W265" t="e">
        <f>INDEX(script.out!K:K,results.txt!$M265)</f>
        <v>#N/A</v>
      </c>
      <c r="X265" t="e">
        <f>INDEX(script.out!L:L,results.txt!$M265)</f>
        <v>#N/A</v>
      </c>
      <c r="Y265" t="e">
        <f>INDEX(script.out!M:M,results.txt!$M265)</f>
        <v>#N/A</v>
      </c>
      <c r="Z265" t="e">
        <f>INDEX(script.out!N:N,results.txt!$M265)</f>
        <v>#N/A</v>
      </c>
      <c r="AA265" t="e">
        <f>INDEX(script.out!O:O,results.txt!$M265)</f>
        <v>#N/A</v>
      </c>
      <c r="AB265" t="e">
        <f>INDEX(script.out!P:P,results.txt!$M265)</f>
        <v>#N/A</v>
      </c>
      <c r="AC265" t="e">
        <f>INDEX(script.out!Q:Q,results.txt!$M265)</f>
        <v>#N/A</v>
      </c>
      <c r="AD265">
        <f t="shared" si="4"/>
        <v>0</v>
      </c>
    </row>
    <row r="266" spans="1:30" x14ac:dyDescent="0.25">
      <c r="A266" s="12" t="s">
        <v>4</v>
      </c>
      <c r="B266" s="12">
        <v>-3</v>
      </c>
      <c r="C266" s="12">
        <v>0.29924800000000001</v>
      </c>
      <c r="D266" s="12">
        <v>-3.3107200000000003E-2</v>
      </c>
      <c r="E266" s="12">
        <v>0.48025099999999998</v>
      </c>
      <c r="F266" s="12">
        <v>-3</v>
      </c>
      <c r="G266" s="13">
        <v>5.09517E-7</v>
      </c>
      <c r="H266" s="12">
        <v>144</v>
      </c>
      <c r="I266" s="12">
        <v>214.59399999999999</v>
      </c>
      <c r="J266" s="12" t="s">
        <v>3</v>
      </c>
      <c r="K266" s="12">
        <v>0</v>
      </c>
      <c r="M266" t="e">
        <f>MATCH(C266,script.out!B:B,0)</f>
        <v>#N/A</v>
      </c>
      <c r="N266" t="e">
        <f>INDEX(script.out!B:B,results.txt!$M266)</f>
        <v>#N/A</v>
      </c>
      <c r="O266" t="e">
        <f>INDEX(script.out!C:C,results.txt!$M266)</f>
        <v>#N/A</v>
      </c>
      <c r="P266" t="e">
        <f>INDEX(script.out!D:D,results.txt!$M266)</f>
        <v>#N/A</v>
      </c>
      <c r="Q266" t="e">
        <f>INDEX(script.out!E:E,results.txt!$M266)</f>
        <v>#N/A</v>
      </c>
      <c r="R266" t="e">
        <f>INDEX(script.out!F:F,results.txt!$M266)</f>
        <v>#N/A</v>
      </c>
      <c r="S266" t="e">
        <f>INDEX(script.out!G:G,results.txt!$M266)</f>
        <v>#N/A</v>
      </c>
      <c r="T266" t="e">
        <f>INDEX(script.out!H:H,results.txt!$M266)</f>
        <v>#N/A</v>
      </c>
      <c r="U266" t="e">
        <f>INDEX(script.out!I:I,results.txt!$M266)</f>
        <v>#N/A</v>
      </c>
      <c r="V266" t="e">
        <f>INDEX(script.out!J:J,results.txt!$M266)</f>
        <v>#N/A</v>
      </c>
      <c r="W266" t="e">
        <f>INDEX(script.out!K:K,results.txt!$M266)</f>
        <v>#N/A</v>
      </c>
      <c r="X266" t="e">
        <f>INDEX(script.out!L:L,results.txt!$M266)</f>
        <v>#N/A</v>
      </c>
      <c r="Y266" t="e">
        <f>INDEX(script.out!M:M,results.txt!$M266)</f>
        <v>#N/A</v>
      </c>
      <c r="Z266" t="e">
        <f>INDEX(script.out!N:N,results.txt!$M266)</f>
        <v>#N/A</v>
      </c>
      <c r="AA266" t="e">
        <f>INDEX(script.out!O:O,results.txt!$M266)</f>
        <v>#N/A</v>
      </c>
      <c r="AB266" t="e">
        <f>INDEX(script.out!P:P,results.txt!$M266)</f>
        <v>#N/A</v>
      </c>
      <c r="AC266" t="e">
        <f>INDEX(script.out!Q:Q,results.txt!$M266)</f>
        <v>#N/A</v>
      </c>
      <c r="AD266">
        <f t="shared" si="4"/>
        <v>0</v>
      </c>
    </row>
    <row r="267" spans="1:30" x14ac:dyDescent="0.25">
      <c r="A267" s="12" t="s">
        <v>4</v>
      </c>
      <c r="B267" s="12">
        <v>-3</v>
      </c>
      <c r="C267" s="12">
        <v>0.21041199999999999</v>
      </c>
      <c r="D267" s="12">
        <v>9.7856200000000004E-2</v>
      </c>
      <c r="E267" s="12">
        <v>0.18779199999999999</v>
      </c>
      <c r="F267" s="12">
        <v>-3</v>
      </c>
      <c r="G267" s="12">
        <v>61.557899999999997</v>
      </c>
      <c r="H267" s="12">
        <v>90.25</v>
      </c>
      <c r="I267" s="12">
        <v>1.4730599999999999E-4</v>
      </c>
      <c r="J267" s="12" t="s">
        <v>3</v>
      </c>
      <c r="K267" s="12">
        <v>0</v>
      </c>
      <c r="M267" t="e">
        <f>MATCH(C267,script.out!B:B,0)</f>
        <v>#N/A</v>
      </c>
      <c r="N267" t="e">
        <f>INDEX(script.out!B:B,results.txt!$M267)</f>
        <v>#N/A</v>
      </c>
      <c r="O267" t="e">
        <f>INDEX(script.out!C:C,results.txt!$M267)</f>
        <v>#N/A</v>
      </c>
      <c r="P267" t="e">
        <f>INDEX(script.out!D:D,results.txt!$M267)</f>
        <v>#N/A</v>
      </c>
      <c r="Q267" t="e">
        <f>INDEX(script.out!E:E,results.txt!$M267)</f>
        <v>#N/A</v>
      </c>
      <c r="R267" t="e">
        <f>INDEX(script.out!F:F,results.txt!$M267)</f>
        <v>#N/A</v>
      </c>
      <c r="S267" t="e">
        <f>INDEX(script.out!G:G,results.txt!$M267)</f>
        <v>#N/A</v>
      </c>
      <c r="T267" t="e">
        <f>INDEX(script.out!H:H,results.txt!$M267)</f>
        <v>#N/A</v>
      </c>
      <c r="U267" t="e">
        <f>INDEX(script.out!I:I,results.txt!$M267)</f>
        <v>#N/A</v>
      </c>
      <c r="V267" t="e">
        <f>INDEX(script.out!J:J,results.txt!$M267)</f>
        <v>#N/A</v>
      </c>
      <c r="W267" t="e">
        <f>INDEX(script.out!K:K,results.txt!$M267)</f>
        <v>#N/A</v>
      </c>
      <c r="X267" t="e">
        <f>INDEX(script.out!L:L,results.txt!$M267)</f>
        <v>#N/A</v>
      </c>
      <c r="Y267" t="e">
        <f>INDEX(script.out!M:M,results.txt!$M267)</f>
        <v>#N/A</v>
      </c>
      <c r="Z267" t="e">
        <f>INDEX(script.out!N:N,results.txt!$M267)</f>
        <v>#N/A</v>
      </c>
      <c r="AA267" t="e">
        <f>INDEX(script.out!O:O,results.txt!$M267)</f>
        <v>#N/A</v>
      </c>
      <c r="AB267" t="e">
        <f>INDEX(script.out!P:P,results.txt!$M267)</f>
        <v>#N/A</v>
      </c>
      <c r="AC267" t="e">
        <f>INDEX(script.out!Q:Q,results.txt!$M267)</f>
        <v>#N/A</v>
      </c>
      <c r="AD267">
        <f t="shared" si="4"/>
        <v>0</v>
      </c>
    </row>
    <row r="268" spans="1:30" x14ac:dyDescent="0.25">
      <c r="A268" s="12" t="s">
        <v>4</v>
      </c>
      <c r="B268" s="12">
        <v>-3</v>
      </c>
      <c r="C268" s="12">
        <v>0.52426700000000004</v>
      </c>
      <c r="D268" s="12">
        <v>7.5487100000000001E-2</v>
      </c>
      <c r="E268" s="12">
        <v>0.233462</v>
      </c>
      <c r="F268" s="12">
        <v>-3</v>
      </c>
      <c r="G268" s="12">
        <v>42.323500000000003</v>
      </c>
      <c r="H268" s="12">
        <v>81</v>
      </c>
      <c r="I268" s="12">
        <v>2.1263999999999998</v>
      </c>
      <c r="J268" s="12" t="s">
        <v>3</v>
      </c>
      <c r="K268" s="12">
        <v>0</v>
      </c>
      <c r="M268" t="e">
        <f>MATCH(C268,script.out!B:B,0)</f>
        <v>#N/A</v>
      </c>
      <c r="N268" t="e">
        <f>INDEX(script.out!B:B,results.txt!$M268)</f>
        <v>#N/A</v>
      </c>
      <c r="O268" t="e">
        <f>INDEX(script.out!C:C,results.txt!$M268)</f>
        <v>#N/A</v>
      </c>
      <c r="P268" t="e">
        <f>INDEX(script.out!D:D,results.txt!$M268)</f>
        <v>#N/A</v>
      </c>
      <c r="Q268" t="e">
        <f>INDEX(script.out!E:E,results.txt!$M268)</f>
        <v>#N/A</v>
      </c>
      <c r="R268" t="e">
        <f>INDEX(script.out!F:F,results.txt!$M268)</f>
        <v>#N/A</v>
      </c>
      <c r="S268" t="e">
        <f>INDEX(script.out!G:G,results.txt!$M268)</f>
        <v>#N/A</v>
      </c>
      <c r="T268" t="e">
        <f>INDEX(script.out!H:H,results.txt!$M268)</f>
        <v>#N/A</v>
      </c>
      <c r="U268" t="e">
        <f>INDEX(script.out!I:I,results.txt!$M268)</f>
        <v>#N/A</v>
      </c>
      <c r="V268" t="e">
        <f>INDEX(script.out!J:J,results.txt!$M268)</f>
        <v>#N/A</v>
      </c>
      <c r="W268" t="e">
        <f>INDEX(script.out!K:K,results.txt!$M268)</f>
        <v>#N/A</v>
      </c>
      <c r="X268" t="e">
        <f>INDEX(script.out!L:L,results.txt!$M268)</f>
        <v>#N/A</v>
      </c>
      <c r="Y268" t="e">
        <f>INDEX(script.out!M:M,results.txt!$M268)</f>
        <v>#N/A</v>
      </c>
      <c r="Z268" t="e">
        <f>INDEX(script.out!N:N,results.txt!$M268)</f>
        <v>#N/A</v>
      </c>
      <c r="AA268" t="e">
        <f>INDEX(script.out!O:O,results.txt!$M268)</f>
        <v>#N/A</v>
      </c>
      <c r="AB268" t="e">
        <f>INDEX(script.out!P:P,results.txt!$M268)</f>
        <v>#N/A</v>
      </c>
      <c r="AC268" t="e">
        <f>INDEX(script.out!Q:Q,results.txt!$M268)</f>
        <v>#N/A</v>
      </c>
      <c r="AD268">
        <f t="shared" si="4"/>
        <v>0</v>
      </c>
    </row>
    <row r="269" spans="1:30" x14ac:dyDescent="0.25">
      <c r="A269" s="12" t="s">
        <v>4</v>
      </c>
      <c r="B269" s="12">
        <v>-3</v>
      </c>
      <c r="C269" s="12">
        <v>0.27617000000000003</v>
      </c>
      <c r="D269" s="12">
        <v>-3.1364999999999997E-2</v>
      </c>
      <c r="E269" s="12">
        <v>0.428589</v>
      </c>
      <c r="F269" s="12">
        <v>-3</v>
      </c>
      <c r="G269" s="12">
        <v>1.07473E-2</v>
      </c>
      <c r="H269" s="12">
        <v>132.25</v>
      </c>
      <c r="I269" s="12">
        <v>202.4</v>
      </c>
      <c r="J269" s="12" t="s">
        <v>3</v>
      </c>
      <c r="K269" s="12">
        <v>0</v>
      </c>
      <c r="M269" t="e">
        <f>MATCH(C269,script.out!B:B,0)</f>
        <v>#N/A</v>
      </c>
      <c r="N269" t="e">
        <f>INDEX(script.out!B:B,results.txt!$M269)</f>
        <v>#N/A</v>
      </c>
      <c r="O269" t="e">
        <f>INDEX(script.out!C:C,results.txt!$M269)</f>
        <v>#N/A</v>
      </c>
      <c r="P269" t="e">
        <f>INDEX(script.out!D:D,results.txt!$M269)</f>
        <v>#N/A</v>
      </c>
      <c r="Q269" t="e">
        <f>INDEX(script.out!E:E,results.txt!$M269)</f>
        <v>#N/A</v>
      </c>
      <c r="R269" t="e">
        <f>INDEX(script.out!F:F,results.txt!$M269)</f>
        <v>#N/A</v>
      </c>
      <c r="S269" t="e">
        <f>INDEX(script.out!G:G,results.txt!$M269)</f>
        <v>#N/A</v>
      </c>
      <c r="T269" t="e">
        <f>INDEX(script.out!H:H,results.txt!$M269)</f>
        <v>#N/A</v>
      </c>
      <c r="U269" t="e">
        <f>INDEX(script.out!I:I,results.txt!$M269)</f>
        <v>#N/A</v>
      </c>
      <c r="V269" t="e">
        <f>INDEX(script.out!J:J,results.txt!$M269)</f>
        <v>#N/A</v>
      </c>
      <c r="W269" t="e">
        <f>INDEX(script.out!K:K,results.txt!$M269)</f>
        <v>#N/A</v>
      </c>
      <c r="X269" t="e">
        <f>INDEX(script.out!L:L,results.txt!$M269)</f>
        <v>#N/A</v>
      </c>
      <c r="Y269" t="e">
        <f>INDEX(script.out!M:M,results.txt!$M269)</f>
        <v>#N/A</v>
      </c>
      <c r="Z269" t="e">
        <f>INDEX(script.out!N:N,results.txt!$M269)</f>
        <v>#N/A</v>
      </c>
      <c r="AA269" t="e">
        <f>INDEX(script.out!O:O,results.txt!$M269)</f>
        <v>#N/A</v>
      </c>
      <c r="AB269" t="e">
        <f>INDEX(script.out!P:P,results.txt!$M269)</f>
        <v>#N/A</v>
      </c>
      <c r="AC269" t="e">
        <f>INDEX(script.out!Q:Q,results.txt!$M269)</f>
        <v>#N/A</v>
      </c>
      <c r="AD269">
        <f t="shared" si="4"/>
        <v>0</v>
      </c>
    </row>
    <row r="270" spans="1:30" x14ac:dyDescent="0.25">
      <c r="A270" s="12" t="s">
        <v>4</v>
      </c>
      <c r="B270" s="12">
        <v>-3</v>
      </c>
      <c r="C270" s="12">
        <v>0.163518</v>
      </c>
      <c r="D270" s="12">
        <v>-3.15538E-2</v>
      </c>
      <c r="E270" s="12">
        <v>0.166688</v>
      </c>
      <c r="F270" s="12">
        <v>-3</v>
      </c>
      <c r="G270" s="12">
        <v>8.5298600000000002E-3</v>
      </c>
      <c r="H270" s="12">
        <v>144</v>
      </c>
      <c r="I270" s="12">
        <v>85.587299999999999</v>
      </c>
      <c r="J270" s="12" t="s">
        <v>3</v>
      </c>
      <c r="K270" s="12">
        <v>0</v>
      </c>
      <c r="M270" t="e">
        <f>MATCH(C270,script.out!B:B,0)</f>
        <v>#N/A</v>
      </c>
      <c r="N270" t="e">
        <f>INDEX(script.out!B:B,results.txt!$M270)</f>
        <v>#N/A</v>
      </c>
      <c r="O270" t="e">
        <f>INDEX(script.out!C:C,results.txt!$M270)</f>
        <v>#N/A</v>
      </c>
      <c r="P270" t="e">
        <f>INDEX(script.out!D:D,results.txt!$M270)</f>
        <v>#N/A</v>
      </c>
      <c r="Q270" t="e">
        <f>INDEX(script.out!E:E,results.txt!$M270)</f>
        <v>#N/A</v>
      </c>
      <c r="R270" t="e">
        <f>INDEX(script.out!F:F,results.txt!$M270)</f>
        <v>#N/A</v>
      </c>
      <c r="S270" t="e">
        <f>INDEX(script.out!G:G,results.txt!$M270)</f>
        <v>#N/A</v>
      </c>
      <c r="T270" t="e">
        <f>INDEX(script.out!H:H,results.txt!$M270)</f>
        <v>#N/A</v>
      </c>
      <c r="U270" t="e">
        <f>INDEX(script.out!I:I,results.txt!$M270)</f>
        <v>#N/A</v>
      </c>
      <c r="V270" t="e">
        <f>INDEX(script.out!J:J,results.txt!$M270)</f>
        <v>#N/A</v>
      </c>
      <c r="W270" t="e">
        <f>INDEX(script.out!K:K,results.txt!$M270)</f>
        <v>#N/A</v>
      </c>
      <c r="X270" t="e">
        <f>INDEX(script.out!L:L,results.txt!$M270)</f>
        <v>#N/A</v>
      </c>
      <c r="Y270" t="e">
        <f>INDEX(script.out!M:M,results.txt!$M270)</f>
        <v>#N/A</v>
      </c>
      <c r="Z270" t="e">
        <f>INDEX(script.out!N:N,results.txt!$M270)</f>
        <v>#N/A</v>
      </c>
      <c r="AA270" t="e">
        <f>INDEX(script.out!O:O,results.txt!$M270)</f>
        <v>#N/A</v>
      </c>
      <c r="AB270" t="e">
        <f>INDEX(script.out!P:P,results.txt!$M270)</f>
        <v>#N/A</v>
      </c>
      <c r="AC270" t="e">
        <f>INDEX(script.out!Q:Q,results.txt!$M270)</f>
        <v>#N/A</v>
      </c>
      <c r="AD270">
        <f t="shared" si="4"/>
        <v>0</v>
      </c>
    </row>
    <row r="271" spans="1:30" x14ac:dyDescent="0.25">
      <c r="A271" s="12" t="s">
        <v>4</v>
      </c>
      <c r="B271" s="12">
        <v>-3</v>
      </c>
      <c r="C271" s="12">
        <v>0.80062599999999995</v>
      </c>
      <c r="D271" s="12">
        <v>0.204704</v>
      </c>
      <c r="E271" s="12">
        <v>0.44295600000000002</v>
      </c>
      <c r="F271" s="12">
        <v>-3</v>
      </c>
      <c r="G271" s="12">
        <v>202.994</v>
      </c>
      <c r="H271" s="12">
        <v>42.25</v>
      </c>
      <c r="I271" s="12">
        <v>0.201048</v>
      </c>
      <c r="J271" s="12" t="s">
        <v>3</v>
      </c>
      <c r="K271" s="12">
        <v>0</v>
      </c>
      <c r="M271" t="e">
        <f>MATCH(C271,script.out!B:B,0)</f>
        <v>#N/A</v>
      </c>
      <c r="N271" t="e">
        <f>INDEX(script.out!B:B,results.txt!$M271)</f>
        <v>#N/A</v>
      </c>
      <c r="O271" t="e">
        <f>INDEX(script.out!C:C,results.txt!$M271)</f>
        <v>#N/A</v>
      </c>
      <c r="P271" t="e">
        <f>INDEX(script.out!D:D,results.txt!$M271)</f>
        <v>#N/A</v>
      </c>
      <c r="Q271" t="e">
        <f>INDEX(script.out!E:E,results.txt!$M271)</f>
        <v>#N/A</v>
      </c>
      <c r="R271" t="e">
        <f>INDEX(script.out!F:F,results.txt!$M271)</f>
        <v>#N/A</v>
      </c>
      <c r="S271" t="e">
        <f>INDEX(script.out!G:G,results.txt!$M271)</f>
        <v>#N/A</v>
      </c>
      <c r="T271" t="e">
        <f>INDEX(script.out!H:H,results.txt!$M271)</f>
        <v>#N/A</v>
      </c>
      <c r="U271" t="e">
        <f>INDEX(script.out!I:I,results.txt!$M271)</f>
        <v>#N/A</v>
      </c>
      <c r="V271" t="e">
        <f>INDEX(script.out!J:J,results.txt!$M271)</f>
        <v>#N/A</v>
      </c>
      <c r="W271" t="e">
        <f>INDEX(script.out!K:K,results.txt!$M271)</f>
        <v>#N/A</v>
      </c>
      <c r="X271" t="e">
        <f>INDEX(script.out!L:L,results.txt!$M271)</f>
        <v>#N/A</v>
      </c>
      <c r="Y271" t="e">
        <f>INDEX(script.out!M:M,results.txt!$M271)</f>
        <v>#N/A</v>
      </c>
      <c r="Z271" t="e">
        <f>INDEX(script.out!N:N,results.txt!$M271)</f>
        <v>#N/A</v>
      </c>
      <c r="AA271" t="e">
        <f>INDEX(script.out!O:O,results.txt!$M271)</f>
        <v>#N/A</v>
      </c>
      <c r="AB271" t="e">
        <f>INDEX(script.out!P:P,results.txt!$M271)</f>
        <v>#N/A</v>
      </c>
      <c r="AC271" t="e">
        <f>INDEX(script.out!Q:Q,results.txt!$M271)</f>
        <v>#N/A</v>
      </c>
      <c r="AD271">
        <f t="shared" si="4"/>
        <v>0</v>
      </c>
    </row>
    <row r="272" spans="1:30" x14ac:dyDescent="0.25">
      <c r="A272" s="12" t="s">
        <v>4</v>
      </c>
      <c r="B272" s="12">
        <v>-3</v>
      </c>
      <c r="C272" s="12">
        <v>1.0947</v>
      </c>
      <c r="D272" s="12">
        <v>-3.1268799999999999E-2</v>
      </c>
      <c r="E272" s="12">
        <v>0.68372699999999997</v>
      </c>
      <c r="F272" s="12">
        <v>-3</v>
      </c>
      <c r="G272" s="12">
        <v>1.1975599999999999E-2</v>
      </c>
      <c r="H272" s="12">
        <v>72.25</v>
      </c>
      <c r="I272" s="12">
        <v>296.69799999999998</v>
      </c>
      <c r="J272" s="12" t="s">
        <v>3</v>
      </c>
      <c r="K272" s="12">
        <v>0</v>
      </c>
      <c r="M272" t="e">
        <f>MATCH(C272,script.out!B:B,0)</f>
        <v>#N/A</v>
      </c>
      <c r="N272" t="e">
        <f>INDEX(script.out!B:B,results.txt!$M272)</f>
        <v>#N/A</v>
      </c>
      <c r="O272" t="e">
        <f>INDEX(script.out!C:C,results.txt!$M272)</f>
        <v>#N/A</v>
      </c>
      <c r="P272" t="e">
        <f>INDEX(script.out!D:D,results.txt!$M272)</f>
        <v>#N/A</v>
      </c>
      <c r="Q272" t="e">
        <f>INDEX(script.out!E:E,results.txt!$M272)</f>
        <v>#N/A</v>
      </c>
      <c r="R272" t="e">
        <f>INDEX(script.out!F:F,results.txt!$M272)</f>
        <v>#N/A</v>
      </c>
      <c r="S272" t="e">
        <f>INDEX(script.out!G:G,results.txt!$M272)</f>
        <v>#N/A</v>
      </c>
      <c r="T272" t="e">
        <f>INDEX(script.out!H:H,results.txt!$M272)</f>
        <v>#N/A</v>
      </c>
      <c r="U272" t="e">
        <f>INDEX(script.out!I:I,results.txt!$M272)</f>
        <v>#N/A</v>
      </c>
      <c r="V272" t="e">
        <f>INDEX(script.out!J:J,results.txt!$M272)</f>
        <v>#N/A</v>
      </c>
      <c r="W272" t="e">
        <f>INDEX(script.out!K:K,results.txt!$M272)</f>
        <v>#N/A</v>
      </c>
      <c r="X272" t="e">
        <f>INDEX(script.out!L:L,results.txt!$M272)</f>
        <v>#N/A</v>
      </c>
      <c r="Y272" t="e">
        <f>INDEX(script.out!M:M,results.txt!$M272)</f>
        <v>#N/A</v>
      </c>
      <c r="Z272" t="e">
        <f>INDEX(script.out!N:N,results.txt!$M272)</f>
        <v>#N/A</v>
      </c>
      <c r="AA272" t="e">
        <f>INDEX(script.out!O:O,results.txt!$M272)</f>
        <v>#N/A</v>
      </c>
      <c r="AB272" t="e">
        <f>INDEX(script.out!P:P,results.txt!$M272)</f>
        <v>#N/A</v>
      </c>
      <c r="AC272" t="e">
        <f>INDEX(script.out!Q:Q,results.txt!$M272)</f>
        <v>#N/A</v>
      </c>
      <c r="AD272">
        <f t="shared" si="4"/>
        <v>0</v>
      </c>
    </row>
    <row r="273" spans="1:30" x14ac:dyDescent="0.25">
      <c r="A273" s="12" t="s">
        <v>4</v>
      </c>
      <c r="B273" s="12">
        <v>-3</v>
      </c>
      <c r="C273" s="12">
        <v>0.97575800000000001</v>
      </c>
      <c r="D273" s="12">
        <v>9.5766500000000004E-2</v>
      </c>
      <c r="E273" s="12">
        <v>0.71336900000000003</v>
      </c>
      <c r="F273" s="12">
        <v>-3</v>
      </c>
      <c r="G273" s="12">
        <v>59.608899999999998</v>
      </c>
      <c r="H273" s="12">
        <v>42.25</v>
      </c>
      <c r="I273" s="12">
        <v>152.69399999999999</v>
      </c>
      <c r="J273" s="12" t="s">
        <v>3</v>
      </c>
      <c r="K273" s="12">
        <v>0</v>
      </c>
      <c r="M273" t="e">
        <f>MATCH(C273,script.out!B:B,0)</f>
        <v>#N/A</v>
      </c>
      <c r="N273" t="e">
        <f>INDEX(script.out!B:B,results.txt!$M273)</f>
        <v>#N/A</v>
      </c>
      <c r="O273" t="e">
        <f>INDEX(script.out!C:C,results.txt!$M273)</f>
        <v>#N/A</v>
      </c>
      <c r="P273" t="e">
        <f>INDEX(script.out!D:D,results.txt!$M273)</f>
        <v>#N/A</v>
      </c>
      <c r="Q273" t="e">
        <f>INDEX(script.out!E:E,results.txt!$M273)</f>
        <v>#N/A</v>
      </c>
      <c r="R273" t="e">
        <f>INDEX(script.out!F:F,results.txt!$M273)</f>
        <v>#N/A</v>
      </c>
      <c r="S273" t="e">
        <f>INDEX(script.out!G:G,results.txt!$M273)</f>
        <v>#N/A</v>
      </c>
      <c r="T273" t="e">
        <f>INDEX(script.out!H:H,results.txt!$M273)</f>
        <v>#N/A</v>
      </c>
      <c r="U273" t="e">
        <f>INDEX(script.out!I:I,results.txt!$M273)</f>
        <v>#N/A</v>
      </c>
      <c r="V273" t="e">
        <f>INDEX(script.out!J:J,results.txt!$M273)</f>
        <v>#N/A</v>
      </c>
      <c r="W273" t="e">
        <f>INDEX(script.out!K:K,results.txt!$M273)</f>
        <v>#N/A</v>
      </c>
      <c r="X273" t="e">
        <f>INDEX(script.out!L:L,results.txt!$M273)</f>
        <v>#N/A</v>
      </c>
      <c r="Y273" t="e">
        <f>INDEX(script.out!M:M,results.txt!$M273)</f>
        <v>#N/A</v>
      </c>
      <c r="Z273" t="e">
        <f>INDEX(script.out!N:N,results.txt!$M273)</f>
        <v>#N/A</v>
      </c>
      <c r="AA273" t="e">
        <f>INDEX(script.out!O:O,results.txt!$M273)</f>
        <v>#N/A</v>
      </c>
      <c r="AB273" t="e">
        <f>INDEX(script.out!P:P,results.txt!$M273)</f>
        <v>#N/A</v>
      </c>
      <c r="AC273" t="e">
        <f>INDEX(script.out!Q:Q,results.txt!$M273)</f>
        <v>#N/A</v>
      </c>
      <c r="AD273">
        <f t="shared" si="4"/>
        <v>0</v>
      </c>
    </row>
    <row r="274" spans="1:30" x14ac:dyDescent="0.25">
      <c r="A274" s="12" t="s">
        <v>4</v>
      </c>
      <c r="B274" s="12">
        <v>-3</v>
      </c>
      <c r="C274" s="12">
        <v>0.89536700000000002</v>
      </c>
      <c r="D274" s="12">
        <v>0.30930099999999999</v>
      </c>
      <c r="E274" s="12">
        <v>0.56837400000000005</v>
      </c>
      <c r="F274" s="12">
        <v>-3</v>
      </c>
      <c r="G274" s="12">
        <v>420.84399999999999</v>
      </c>
      <c r="H274" s="12">
        <v>36</v>
      </c>
      <c r="I274" s="12">
        <v>0.43206299999999997</v>
      </c>
      <c r="J274" s="12" t="s">
        <v>3</v>
      </c>
      <c r="K274" s="12">
        <v>0</v>
      </c>
      <c r="M274" t="e">
        <f>MATCH(C274,script.out!B:B,0)</f>
        <v>#N/A</v>
      </c>
      <c r="N274" t="e">
        <f>INDEX(script.out!B:B,results.txt!$M274)</f>
        <v>#N/A</v>
      </c>
      <c r="O274" t="e">
        <f>INDEX(script.out!C:C,results.txt!$M274)</f>
        <v>#N/A</v>
      </c>
      <c r="P274" t="e">
        <f>INDEX(script.out!D:D,results.txt!$M274)</f>
        <v>#N/A</v>
      </c>
      <c r="Q274" t="e">
        <f>INDEX(script.out!E:E,results.txt!$M274)</f>
        <v>#N/A</v>
      </c>
      <c r="R274" t="e">
        <f>INDEX(script.out!F:F,results.txt!$M274)</f>
        <v>#N/A</v>
      </c>
      <c r="S274" t="e">
        <f>INDEX(script.out!G:G,results.txt!$M274)</f>
        <v>#N/A</v>
      </c>
      <c r="T274" t="e">
        <f>INDEX(script.out!H:H,results.txt!$M274)</f>
        <v>#N/A</v>
      </c>
      <c r="U274" t="e">
        <f>INDEX(script.out!I:I,results.txt!$M274)</f>
        <v>#N/A</v>
      </c>
      <c r="V274" t="e">
        <f>INDEX(script.out!J:J,results.txt!$M274)</f>
        <v>#N/A</v>
      </c>
      <c r="W274" t="e">
        <f>INDEX(script.out!K:K,results.txt!$M274)</f>
        <v>#N/A</v>
      </c>
      <c r="X274" t="e">
        <f>INDEX(script.out!L:L,results.txt!$M274)</f>
        <v>#N/A</v>
      </c>
      <c r="Y274" t="e">
        <f>INDEX(script.out!M:M,results.txt!$M274)</f>
        <v>#N/A</v>
      </c>
      <c r="Z274" t="e">
        <f>INDEX(script.out!N:N,results.txt!$M274)</f>
        <v>#N/A</v>
      </c>
      <c r="AA274" t="e">
        <f>INDEX(script.out!O:O,results.txt!$M274)</f>
        <v>#N/A</v>
      </c>
      <c r="AB274" t="e">
        <f>INDEX(script.out!P:P,results.txt!$M274)</f>
        <v>#N/A</v>
      </c>
      <c r="AC274" t="e">
        <f>INDEX(script.out!Q:Q,results.txt!$M274)</f>
        <v>#N/A</v>
      </c>
      <c r="AD274">
        <f t="shared" si="4"/>
        <v>0</v>
      </c>
    </row>
    <row r="275" spans="1:30" x14ac:dyDescent="0.25">
      <c r="A275" s="12" t="s">
        <v>4</v>
      </c>
      <c r="B275" s="12">
        <v>-3</v>
      </c>
      <c r="C275" s="12">
        <v>0.27349400000000001</v>
      </c>
      <c r="D275" s="12">
        <v>-2.9712100000000002E-2</v>
      </c>
      <c r="E275" s="12">
        <v>0.42296099999999998</v>
      </c>
      <c r="F275" s="12">
        <v>-3</v>
      </c>
      <c r="G275" s="12">
        <v>4.1088E-2</v>
      </c>
      <c r="H275" s="12">
        <v>132.25</v>
      </c>
      <c r="I275" s="12">
        <v>198.87200000000001</v>
      </c>
      <c r="J275" s="12" t="s">
        <v>3</v>
      </c>
      <c r="K275" s="12">
        <v>0</v>
      </c>
      <c r="M275" t="e">
        <f>MATCH(C275,script.out!B:B,0)</f>
        <v>#N/A</v>
      </c>
      <c r="N275" t="e">
        <f>INDEX(script.out!B:B,results.txt!$M275)</f>
        <v>#N/A</v>
      </c>
      <c r="O275" t="e">
        <f>INDEX(script.out!C:C,results.txt!$M275)</f>
        <v>#N/A</v>
      </c>
      <c r="P275" t="e">
        <f>INDEX(script.out!D:D,results.txt!$M275)</f>
        <v>#N/A</v>
      </c>
      <c r="Q275" t="e">
        <f>INDEX(script.out!E:E,results.txt!$M275)</f>
        <v>#N/A</v>
      </c>
      <c r="R275" t="e">
        <f>INDEX(script.out!F:F,results.txt!$M275)</f>
        <v>#N/A</v>
      </c>
      <c r="S275" t="e">
        <f>INDEX(script.out!G:G,results.txt!$M275)</f>
        <v>#N/A</v>
      </c>
      <c r="T275" t="e">
        <f>INDEX(script.out!H:H,results.txt!$M275)</f>
        <v>#N/A</v>
      </c>
      <c r="U275" t="e">
        <f>INDEX(script.out!I:I,results.txt!$M275)</f>
        <v>#N/A</v>
      </c>
      <c r="V275" t="e">
        <f>INDEX(script.out!J:J,results.txt!$M275)</f>
        <v>#N/A</v>
      </c>
      <c r="W275" t="e">
        <f>INDEX(script.out!K:K,results.txt!$M275)</f>
        <v>#N/A</v>
      </c>
      <c r="X275" t="e">
        <f>INDEX(script.out!L:L,results.txt!$M275)</f>
        <v>#N/A</v>
      </c>
      <c r="Y275" t="e">
        <f>INDEX(script.out!M:M,results.txt!$M275)</f>
        <v>#N/A</v>
      </c>
      <c r="Z275" t="e">
        <f>INDEX(script.out!N:N,results.txt!$M275)</f>
        <v>#N/A</v>
      </c>
      <c r="AA275" t="e">
        <f>INDEX(script.out!O:O,results.txt!$M275)</f>
        <v>#N/A</v>
      </c>
      <c r="AB275" t="e">
        <f>INDEX(script.out!P:P,results.txt!$M275)</f>
        <v>#N/A</v>
      </c>
      <c r="AC275" t="e">
        <f>INDEX(script.out!Q:Q,results.txt!$M275)</f>
        <v>#N/A</v>
      </c>
      <c r="AD275">
        <f t="shared" si="4"/>
        <v>0</v>
      </c>
    </row>
    <row r="276" spans="1:30" x14ac:dyDescent="0.25">
      <c r="A276" s="12" t="s">
        <v>4</v>
      </c>
      <c r="B276" s="12">
        <v>-3</v>
      </c>
      <c r="C276" s="12">
        <v>0.87458899999999995</v>
      </c>
      <c r="D276" s="12">
        <v>-4.8260100000000004E-3</v>
      </c>
      <c r="E276" s="12">
        <v>0.70409100000000002</v>
      </c>
      <c r="F276" s="12">
        <v>-3</v>
      </c>
      <c r="G276" s="12">
        <v>2.8687499999999999</v>
      </c>
      <c r="H276" s="12">
        <v>81</v>
      </c>
      <c r="I276" s="12">
        <v>266.50099999999998</v>
      </c>
      <c r="J276" s="12" t="s">
        <v>3</v>
      </c>
      <c r="K276" s="12">
        <v>0</v>
      </c>
      <c r="M276" t="e">
        <f>MATCH(C276,script.out!B:B,0)</f>
        <v>#N/A</v>
      </c>
      <c r="N276" t="e">
        <f>INDEX(script.out!B:B,results.txt!$M276)</f>
        <v>#N/A</v>
      </c>
      <c r="O276" t="e">
        <f>INDEX(script.out!C:C,results.txt!$M276)</f>
        <v>#N/A</v>
      </c>
      <c r="P276" t="e">
        <f>INDEX(script.out!D:D,results.txt!$M276)</f>
        <v>#N/A</v>
      </c>
      <c r="Q276" t="e">
        <f>INDEX(script.out!E:E,results.txt!$M276)</f>
        <v>#N/A</v>
      </c>
      <c r="R276" t="e">
        <f>INDEX(script.out!F:F,results.txt!$M276)</f>
        <v>#N/A</v>
      </c>
      <c r="S276" t="e">
        <f>INDEX(script.out!G:G,results.txt!$M276)</f>
        <v>#N/A</v>
      </c>
      <c r="T276" t="e">
        <f>INDEX(script.out!H:H,results.txt!$M276)</f>
        <v>#N/A</v>
      </c>
      <c r="U276" t="e">
        <f>INDEX(script.out!I:I,results.txt!$M276)</f>
        <v>#N/A</v>
      </c>
      <c r="V276" t="e">
        <f>INDEX(script.out!J:J,results.txt!$M276)</f>
        <v>#N/A</v>
      </c>
      <c r="W276" t="e">
        <f>INDEX(script.out!K:K,results.txt!$M276)</f>
        <v>#N/A</v>
      </c>
      <c r="X276" t="e">
        <f>INDEX(script.out!L:L,results.txt!$M276)</f>
        <v>#N/A</v>
      </c>
      <c r="Y276" t="e">
        <f>INDEX(script.out!M:M,results.txt!$M276)</f>
        <v>#N/A</v>
      </c>
      <c r="Z276" t="e">
        <f>INDEX(script.out!N:N,results.txt!$M276)</f>
        <v>#N/A</v>
      </c>
      <c r="AA276" t="e">
        <f>INDEX(script.out!O:O,results.txt!$M276)</f>
        <v>#N/A</v>
      </c>
      <c r="AB276" t="e">
        <f>INDEX(script.out!P:P,results.txt!$M276)</f>
        <v>#N/A</v>
      </c>
      <c r="AC276" t="e">
        <f>INDEX(script.out!Q:Q,results.txt!$M276)</f>
        <v>#N/A</v>
      </c>
      <c r="AD276">
        <f t="shared" si="4"/>
        <v>0</v>
      </c>
    </row>
    <row r="277" spans="1:30" x14ac:dyDescent="0.25">
      <c r="A277" s="12" t="s">
        <v>4</v>
      </c>
      <c r="B277" s="12">
        <v>-3</v>
      </c>
      <c r="C277" s="12">
        <v>0.97817200000000004</v>
      </c>
      <c r="D277" s="12">
        <v>0.36422700000000002</v>
      </c>
      <c r="E277" s="12">
        <v>0.60778500000000002</v>
      </c>
      <c r="F277" s="12">
        <v>-3</v>
      </c>
      <c r="G277" s="12">
        <v>566.69399999999996</v>
      </c>
      <c r="H277" s="12">
        <v>30.25</v>
      </c>
      <c r="I277" s="12">
        <v>1.5978100000000001E-3</v>
      </c>
      <c r="J277" s="12" t="s">
        <v>3</v>
      </c>
      <c r="K277" s="12">
        <v>0</v>
      </c>
      <c r="M277">
        <f>MATCH(C277,script.out!B:B,0)</f>
        <v>58</v>
      </c>
      <c r="N277">
        <f>INDEX(script.out!B:B,results.txt!$M277)</f>
        <v>0.97817200000000004</v>
      </c>
      <c r="O277">
        <f>INDEX(script.out!C:C,results.txt!$M277)</f>
        <v>0.36422700000000002</v>
      </c>
      <c r="P277">
        <f>INDEX(script.out!D:D,results.txt!$M277)</f>
        <v>0.60778500000000002</v>
      </c>
      <c r="Q277">
        <f>INDEX(script.out!E:E,results.txt!$M277)</f>
        <v>566.694042616871</v>
      </c>
      <c r="R277">
        <f>INDEX(script.out!F:F,results.txt!$M277)</f>
        <v>30.25</v>
      </c>
      <c r="S277">
        <f>INDEX(script.out!G:G,results.txt!$M277)</f>
        <v>1.5978089697879501E-3</v>
      </c>
      <c r="T277" t="str">
        <f>INDEX(script.out!H:H,results.txt!$M277)</f>
        <v>{</v>
      </c>
      <c r="U277">
        <f>INDEX(script.out!I:I,results.txt!$M277)</f>
        <v>1.0825370000000001</v>
      </c>
      <c r="V277">
        <f>INDEX(script.out!J:J,results.txt!$M277)</f>
        <v>282.11349999999999</v>
      </c>
      <c r="W277">
        <f>INDEX(script.out!K:K,results.txt!$M277)</f>
        <v>368.59314999999998</v>
      </c>
      <c r="X277" t="str">
        <f>INDEX(script.out!L:L,results.txt!$M277)</f>
        <v>}</v>
      </c>
      <c r="Y277" t="str">
        <f>INDEX(script.out!M:M,results.txt!$M277)</f>
        <v>{</v>
      </c>
      <c r="Z277">
        <f>INDEX(script.out!N:N,results.txt!$M277)</f>
        <v>33.805336431499299</v>
      </c>
      <c r="AA277">
        <f>INDEX(script.out!O:O,results.txt!$M277)</f>
        <v>13.5</v>
      </c>
      <c r="AB277">
        <f>INDEX(script.out!P:P,results.txt!$M277)</f>
        <v>7285.41</v>
      </c>
      <c r="AC277" t="str">
        <f>INDEX(script.out!Q:Q,results.txt!$M277)</f>
        <v>}</v>
      </c>
      <c r="AD277">
        <f t="shared" si="4"/>
        <v>0</v>
      </c>
    </row>
    <row r="278" spans="1:30" x14ac:dyDescent="0.25">
      <c r="A278" s="12" t="s">
        <v>4</v>
      </c>
      <c r="B278" s="12">
        <v>-3</v>
      </c>
      <c r="C278" s="12">
        <v>0.81675799999999998</v>
      </c>
      <c r="D278" s="12">
        <v>0.215696</v>
      </c>
      <c r="E278" s="12">
        <v>0.444135</v>
      </c>
      <c r="F278" s="12">
        <v>-3</v>
      </c>
      <c r="G278" s="12">
        <v>222.19399999999999</v>
      </c>
      <c r="H278" s="12">
        <v>42.25</v>
      </c>
      <c r="I278" s="12">
        <v>2.5082300000000002E-3</v>
      </c>
      <c r="J278" s="12" t="s">
        <v>3</v>
      </c>
      <c r="K278" s="12">
        <v>0</v>
      </c>
      <c r="M278">
        <f>MATCH(C278,script.out!B:B,0)</f>
        <v>83</v>
      </c>
      <c r="N278">
        <f>INDEX(script.out!B:B,results.txt!$M278)</f>
        <v>0.81675799999999998</v>
      </c>
      <c r="O278">
        <f>INDEX(script.out!C:C,results.txt!$M278)</f>
        <v>0.215696</v>
      </c>
      <c r="P278">
        <f>INDEX(script.out!D:D,results.txt!$M278)</f>
        <v>0.444135</v>
      </c>
      <c r="Q278">
        <f>INDEX(script.out!E:E,results.txt!$M278)</f>
        <v>222.19440880665701</v>
      </c>
      <c r="R278">
        <f>INDEX(script.out!F:F,results.txt!$M278)</f>
        <v>42.25</v>
      </c>
      <c r="S278">
        <f>INDEX(script.out!G:G,results.txt!$M278)</f>
        <v>2.5082259335710202E-3</v>
      </c>
      <c r="T278" t="str">
        <f>INDEX(script.out!H:H,results.txt!$M278)</f>
        <v>{</v>
      </c>
      <c r="U278">
        <f>INDEX(script.out!I:I,results.txt!$M278)</f>
        <v>0.95340599999999998</v>
      </c>
      <c r="V278">
        <f>INDEX(script.out!J:J,results.txt!$M278)</f>
        <v>207.84800000000001</v>
      </c>
      <c r="W278">
        <f>INDEX(script.out!K:K,results.txt!$M278)</f>
        <v>272.03964999999999</v>
      </c>
      <c r="X278" t="str">
        <f>INDEX(script.out!L:L,results.txt!$M278)</f>
        <v>}</v>
      </c>
      <c r="Y278" t="str">
        <f>INDEX(script.out!M:M,results.txt!$M278)</f>
        <v>{</v>
      </c>
      <c r="Z278">
        <f>INDEX(script.out!N:N,results.txt!$M278)</f>
        <v>24.906186930488101</v>
      </c>
      <c r="AA278">
        <f>INDEX(script.out!O:O,results.txt!$M278)</f>
        <v>14.5</v>
      </c>
      <c r="AB278">
        <f>INDEX(script.out!P:P,results.txt!$M278)</f>
        <v>7281.72</v>
      </c>
      <c r="AC278" t="str">
        <f>INDEX(script.out!Q:Q,results.txt!$M278)</f>
        <v>}</v>
      </c>
      <c r="AD278">
        <f t="shared" si="4"/>
        <v>0</v>
      </c>
    </row>
    <row r="279" spans="1:30" x14ac:dyDescent="0.25">
      <c r="A279" s="12" t="s">
        <v>4</v>
      </c>
      <c r="B279" s="12">
        <v>-3</v>
      </c>
      <c r="C279" s="12">
        <v>0.97564399999999996</v>
      </c>
      <c r="D279" s="12">
        <v>0.30814999999999998</v>
      </c>
      <c r="E279" s="12">
        <v>0.60311199999999998</v>
      </c>
      <c r="F279" s="12">
        <v>-3</v>
      </c>
      <c r="G279" s="12">
        <v>418.01900000000001</v>
      </c>
      <c r="H279" s="12">
        <v>30.25</v>
      </c>
      <c r="I279" s="12">
        <v>3.0168400000000002</v>
      </c>
      <c r="J279" s="12" t="s">
        <v>3</v>
      </c>
      <c r="K279" s="12">
        <v>0</v>
      </c>
      <c r="M279">
        <f>MATCH(C279,script.out!B:B,0)</f>
        <v>114</v>
      </c>
      <c r="N279">
        <f>INDEX(script.out!B:B,results.txt!$M279)</f>
        <v>0.97564399999999996</v>
      </c>
      <c r="O279">
        <f>INDEX(script.out!C:C,results.txt!$M279)</f>
        <v>0.30814999999999998</v>
      </c>
      <c r="P279">
        <f>INDEX(script.out!D:D,results.txt!$M279)</f>
        <v>0.60311199999999998</v>
      </c>
      <c r="Q279">
        <f>INDEX(script.out!E:E,results.txt!$M279)</f>
        <v>418.01909200476098</v>
      </c>
      <c r="R279">
        <f>INDEX(script.out!F:F,results.txt!$M279)</f>
        <v>30.25</v>
      </c>
      <c r="S279">
        <f>INDEX(script.out!G:G,results.txt!$M279)</f>
        <v>3.0168358859072901</v>
      </c>
      <c r="T279" t="str">
        <f>INDEX(script.out!H:H,results.txt!$M279)</f>
        <v>{</v>
      </c>
      <c r="U279">
        <f>INDEX(script.out!I:I,results.txt!$M279)</f>
        <v>1.0805149999999999</v>
      </c>
      <c r="V279">
        <f>INDEX(script.out!J:J,results.txt!$M279)</f>
        <v>254.07499999999999</v>
      </c>
      <c r="W279">
        <f>INDEX(script.out!K:K,results.txt!$M279)</f>
        <v>365.83607999999998</v>
      </c>
      <c r="X279" t="str">
        <f>INDEX(script.out!L:L,results.txt!$M279)</f>
        <v>}</v>
      </c>
      <c r="Y279" t="str">
        <f>INDEX(script.out!M:M,results.txt!$M279)</f>
        <v>{</v>
      </c>
      <c r="Z279">
        <f>INDEX(script.out!N:N,results.txt!$M279)</f>
        <v>30.4455152051681</v>
      </c>
      <c r="AA279">
        <f>INDEX(script.out!O:O,results.txt!$M279)</f>
        <v>13.5</v>
      </c>
      <c r="AB279">
        <f>INDEX(script.out!P:P,results.txt!$M279)</f>
        <v>6666.03</v>
      </c>
      <c r="AC279" t="str">
        <f>INDEX(script.out!Q:Q,results.txt!$M279)</f>
        <v>}</v>
      </c>
      <c r="AD279">
        <f t="shared" si="4"/>
        <v>0</v>
      </c>
    </row>
    <row r="280" spans="1:30" x14ac:dyDescent="0.25">
      <c r="A280" s="12" t="s">
        <v>4</v>
      </c>
      <c r="B280" s="12">
        <v>-3</v>
      </c>
      <c r="C280" s="12">
        <v>0.15789</v>
      </c>
      <c r="D280" s="12">
        <v>6.3966999999999996E-2</v>
      </c>
      <c r="E280" s="12">
        <v>0.136075</v>
      </c>
      <c r="F280" s="12">
        <v>-3</v>
      </c>
      <c r="G280" s="12">
        <v>33.819200000000002</v>
      </c>
      <c r="H280" s="12">
        <v>90.25</v>
      </c>
      <c r="I280" s="12">
        <v>0.11262</v>
      </c>
      <c r="J280" s="12" t="s">
        <v>3</v>
      </c>
      <c r="K280" s="12">
        <v>0</v>
      </c>
      <c r="M280">
        <f>MATCH(C280,script.out!B:B,0)</f>
        <v>163</v>
      </c>
      <c r="N280">
        <f>INDEX(script.out!B:B,results.txt!$M280)</f>
        <v>0.15789</v>
      </c>
      <c r="O280">
        <f>INDEX(script.out!C:C,results.txt!$M280)</f>
        <v>6.3966999999999996E-2</v>
      </c>
      <c r="P280">
        <f>INDEX(script.out!D:D,results.txt!$M280)</f>
        <v>0.136075</v>
      </c>
      <c r="Q280">
        <f>INDEX(script.out!E:E,results.txt!$M280)</f>
        <v>33.819238849037397</v>
      </c>
      <c r="R280">
        <f>INDEX(script.out!F:F,results.txt!$M280)</f>
        <v>90.25</v>
      </c>
      <c r="S280">
        <f>INDEX(script.out!G:G,results.txt!$M280)</f>
        <v>0.112620004503659</v>
      </c>
      <c r="T280" t="str">
        <f>INDEX(script.out!H:H,results.txt!$M280)</f>
        <v>{</v>
      </c>
      <c r="U280">
        <f>INDEX(script.out!I:I,results.txt!$M280)</f>
        <v>0.42631000000000002</v>
      </c>
      <c r="V280">
        <f>INDEX(script.out!J:J,results.txt!$M280)</f>
        <v>131.98349999999999</v>
      </c>
      <c r="W280">
        <f>INDEX(script.out!K:K,results.txt!$M280)</f>
        <v>90.28425</v>
      </c>
      <c r="X280" t="str">
        <f>INDEX(script.out!L:L,results.txt!$M280)</f>
        <v>}</v>
      </c>
      <c r="Y280" t="str">
        <f>INDEX(script.out!M:M,results.txt!$M280)</f>
        <v>{</v>
      </c>
      <c r="Z280">
        <f>INDEX(script.out!N:N,results.txt!$M280)</f>
        <v>15.815431097436999</v>
      </c>
      <c r="AA280">
        <f>INDEX(script.out!O:O,results.txt!$M280)</f>
        <v>17.5</v>
      </c>
      <c r="AB280">
        <f>INDEX(script.out!P:P,results.txt!$M280)</f>
        <v>7177.51</v>
      </c>
      <c r="AC280" t="str">
        <f>INDEX(script.out!Q:Q,results.txt!$M280)</f>
        <v>}</v>
      </c>
      <c r="AD280">
        <f t="shared" si="4"/>
        <v>0</v>
      </c>
    </row>
    <row r="281" spans="1:30" x14ac:dyDescent="0.25">
      <c r="A281" s="12" t="s">
        <v>4</v>
      </c>
      <c r="B281" s="12">
        <v>-3</v>
      </c>
      <c r="C281" s="12">
        <v>0.55693199999999998</v>
      </c>
      <c r="D281" s="12">
        <v>4.9422099999999997E-2</v>
      </c>
      <c r="E281" s="12">
        <v>0.25722699999999998</v>
      </c>
      <c r="F281" s="12">
        <v>-3</v>
      </c>
      <c r="G281" s="12">
        <v>24.443000000000001</v>
      </c>
      <c r="H281" s="12">
        <v>90.25</v>
      </c>
      <c r="I281" s="12">
        <v>17.435099999999998</v>
      </c>
      <c r="J281" s="12" t="s">
        <v>3</v>
      </c>
      <c r="K281" s="12">
        <v>0</v>
      </c>
      <c r="M281">
        <f>MATCH(C281,script.out!B:B,0)</f>
        <v>169</v>
      </c>
      <c r="N281">
        <f>INDEX(script.out!B:B,results.txt!$M281)</f>
        <v>0.55693199999999998</v>
      </c>
      <c r="O281">
        <f>INDEX(script.out!C:C,results.txt!$M281)</f>
        <v>4.9422099999999997E-2</v>
      </c>
      <c r="P281">
        <f>INDEX(script.out!D:D,results.txt!$M281)</f>
        <v>0.25722699999999998</v>
      </c>
      <c r="Q281">
        <f>INDEX(script.out!E:E,results.txt!$M281)</f>
        <v>24.442955773799699</v>
      </c>
      <c r="R281">
        <f>INDEX(script.out!F:F,results.txt!$M281)</f>
        <v>90.25</v>
      </c>
      <c r="S281">
        <f>INDEX(script.out!G:G,results.txt!$M281)</f>
        <v>17.4350862443235</v>
      </c>
      <c r="T281" t="str">
        <f>INDEX(script.out!H:H,results.txt!$M281)</f>
        <v>{</v>
      </c>
      <c r="U281">
        <f>INDEX(script.out!I:I,results.txt!$M281)</f>
        <v>0.74554500000000001</v>
      </c>
      <c r="V281">
        <f>INDEX(script.out!J:J,results.txt!$M281)</f>
        <v>124.71105</v>
      </c>
      <c r="W281">
        <f>INDEX(script.out!K:K,results.txt!$M281)</f>
        <v>161.76392999999999</v>
      </c>
      <c r="X281" t="str">
        <f>INDEX(script.out!L:L,results.txt!$M281)</f>
        <v>}</v>
      </c>
      <c r="Y281" t="str">
        <f>INDEX(script.out!M:M,results.txt!$M281)</f>
        <v>{</v>
      </c>
      <c r="Z281">
        <f>INDEX(script.out!N:N,results.txt!$M281)</f>
        <v>14.9439817732066</v>
      </c>
      <c r="AA281">
        <f>INDEX(script.out!O:O,results.txt!$M281)</f>
        <v>17.5</v>
      </c>
      <c r="AB281">
        <f>INDEX(script.out!P:P,results.txt!$M281)</f>
        <v>5775.93</v>
      </c>
      <c r="AC281" t="str">
        <f>INDEX(script.out!Q:Q,results.txt!$M281)</f>
        <v>}</v>
      </c>
      <c r="AD281">
        <f t="shared" si="4"/>
        <v>0</v>
      </c>
    </row>
    <row r="282" spans="1:30" x14ac:dyDescent="0.25">
      <c r="A282" s="12" t="s">
        <v>4</v>
      </c>
      <c r="B282" s="12">
        <v>-3</v>
      </c>
      <c r="C282" s="12">
        <v>0.88540700000000006</v>
      </c>
      <c r="D282" s="12">
        <v>0.34323300000000001</v>
      </c>
      <c r="E282" s="12">
        <v>0.57381899999999997</v>
      </c>
      <c r="F282" s="12">
        <v>-3</v>
      </c>
      <c r="G282" s="12">
        <v>508.38900000000001</v>
      </c>
      <c r="H282" s="12">
        <v>36</v>
      </c>
      <c r="I282" s="12">
        <v>9.5134200000000002E-2</v>
      </c>
      <c r="J282" s="12" t="s">
        <v>3</v>
      </c>
      <c r="K282" s="12">
        <v>0</v>
      </c>
      <c r="M282">
        <f>MATCH(C282,script.out!B:B,0)</f>
        <v>195</v>
      </c>
      <c r="N282">
        <f>INDEX(script.out!B:B,results.txt!$M282)</f>
        <v>0.88540700000000006</v>
      </c>
      <c r="O282">
        <f>INDEX(script.out!C:C,results.txt!$M282)</f>
        <v>0.34323300000000001</v>
      </c>
      <c r="P282">
        <f>INDEX(script.out!D:D,results.txt!$M282)</f>
        <v>0.57381899999999997</v>
      </c>
      <c r="Q282">
        <f>INDEX(script.out!E:E,results.txt!$M282)</f>
        <v>508.389440008137</v>
      </c>
      <c r="R282">
        <f>INDEX(script.out!F:F,results.txt!$M282)</f>
        <v>36</v>
      </c>
      <c r="S282">
        <f>INDEX(script.out!G:G,results.txt!$M282)</f>
        <v>9.5134219553387106E-2</v>
      </c>
      <c r="T282" t="str">
        <f>INDEX(script.out!H:H,results.txt!$M282)</f>
        <v>{</v>
      </c>
      <c r="U282">
        <f>INDEX(script.out!I:I,results.txt!$M282)</f>
        <v>1.0083249999999999</v>
      </c>
      <c r="V282">
        <f>INDEX(script.out!J:J,results.txt!$M282)</f>
        <v>271.61649999999997</v>
      </c>
      <c r="W282">
        <f>INDEX(script.out!K:K,results.txt!$M282)</f>
        <v>348.55320999999998</v>
      </c>
      <c r="X282" t="str">
        <f>INDEX(script.out!L:L,results.txt!$M282)</f>
        <v>}</v>
      </c>
      <c r="Y282" t="str">
        <f>INDEX(script.out!M:M,results.txt!$M282)</f>
        <v>{</v>
      </c>
      <c r="Z282">
        <f>INDEX(script.out!N:N,results.txt!$M282)</f>
        <v>32.547492987206702</v>
      </c>
      <c r="AA282">
        <f>INDEX(script.out!O:O,results.txt!$M282)</f>
        <v>14</v>
      </c>
      <c r="AB282">
        <f>INDEX(script.out!P:P,results.txt!$M282)</f>
        <v>7412.58</v>
      </c>
      <c r="AC282" t="str">
        <f>INDEX(script.out!Q:Q,results.txt!$M282)</f>
        <v>}</v>
      </c>
      <c r="AD282">
        <f t="shared" si="4"/>
        <v>0</v>
      </c>
    </row>
    <row r="283" spans="1:30" x14ac:dyDescent="0.25">
      <c r="A283" s="12" t="s">
        <v>4</v>
      </c>
      <c r="B283" s="12">
        <v>-3</v>
      </c>
      <c r="C283" s="12">
        <v>0.526084</v>
      </c>
      <c r="D283" s="12">
        <v>7.9363400000000001E-2</v>
      </c>
      <c r="E283" s="12">
        <v>0.23890800000000001</v>
      </c>
      <c r="F283" s="12">
        <v>-3</v>
      </c>
      <c r="G283" s="12">
        <v>45.399299999999997</v>
      </c>
      <c r="H283" s="12">
        <v>81</v>
      </c>
      <c r="I283" s="12">
        <v>1.67266</v>
      </c>
      <c r="J283" s="12" t="s">
        <v>3</v>
      </c>
      <c r="K283" s="12">
        <v>0</v>
      </c>
      <c r="M283">
        <f>MATCH(C283,script.out!B:B,0)</f>
        <v>205</v>
      </c>
      <c r="N283">
        <f>INDEX(script.out!B:B,results.txt!$M283)</f>
        <v>0.526084</v>
      </c>
      <c r="O283">
        <f>INDEX(script.out!C:C,results.txt!$M283)</f>
        <v>7.9363400000000001E-2</v>
      </c>
      <c r="P283">
        <f>INDEX(script.out!D:D,results.txt!$M283)</f>
        <v>0.23890800000000001</v>
      </c>
      <c r="Q283">
        <f>INDEX(script.out!E:E,results.txt!$M283)</f>
        <v>45.399263458869697</v>
      </c>
      <c r="R283">
        <f>INDEX(script.out!F:F,results.txt!$M283)</f>
        <v>81</v>
      </c>
      <c r="S283">
        <f>INDEX(script.out!G:G,results.txt!$M283)</f>
        <v>1.6726638663914399</v>
      </c>
      <c r="T283" t="str">
        <f>INDEX(script.out!H:H,results.txt!$M283)</f>
        <v>{</v>
      </c>
      <c r="U283">
        <f>INDEX(script.out!I:I,results.txt!$M283)</f>
        <v>0.72086700000000004</v>
      </c>
      <c r="V283">
        <f>INDEX(script.out!J:J,results.txt!$M283)</f>
        <v>139.68170000000001</v>
      </c>
      <c r="W283">
        <f>INDEX(script.out!K:K,results.txt!$M283)</f>
        <v>150.95572000000001</v>
      </c>
      <c r="X283" t="str">
        <f>INDEX(script.out!L:L,results.txt!$M283)</f>
        <v>}</v>
      </c>
      <c r="Y283" t="str">
        <f>INDEX(script.out!M:M,results.txt!$M283)</f>
        <v>{</v>
      </c>
      <c r="Z283">
        <f>INDEX(script.out!N:N,results.txt!$M283)</f>
        <v>16.7378975547918</v>
      </c>
      <c r="AA283">
        <f>INDEX(script.out!O:O,results.txt!$M283)</f>
        <v>17</v>
      </c>
      <c r="AB283">
        <f>INDEX(script.out!P:P,results.txt!$M283)</f>
        <v>7772.06</v>
      </c>
      <c r="AC283" t="str">
        <f>INDEX(script.out!Q:Q,results.txt!$M283)</f>
        <v>}</v>
      </c>
      <c r="AD283">
        <f t="shared" si="4"/>
        <v>0</v>
      </c>
    </row>
    <row r="284" spans="1:30" x14ac:dyDescent="0.25">
      <c r="A284" s="12" t="s">
        <v>4</v>
      </c>
      <c r="B284" s="12">
        <v>-3</v>
      </c>
      <c r="C284" s="12">
        <v>0.45910299999999998</v>
      </c>
      <c r="D284" s="12">
        <v>4.5348699999999999E-2</v>
      </c>
      <c r="E284" s="12">
        <v>0.179395</v>
      </c>
      <c r="F284" s="12">
        <v>-3</v>
      </c>
      <c r="G284" s="12">
        <v>22.089300000000001</v>
      </c>
      <c r="H284" s="12">
        <v>110.25</v>
      </c>
      <c r="I284" s="12">
        <v>1.8310199999999999E-2</v>
      </c>
      <c r="J284" s="12" t="s">
        <v>3</v>
      </c>
      <c r="K284" s="12">
        <v>0</v>
      </c>
      <c r="M284">
        <f>MATCH(C284,script.out!B:B,0)</f>
        <v>218</v>
      </c>
      <c r="N284">
        <f>INDEX(script.out!B:B,results.txt!$M284)</f>
        <v>0.45910299999999998</v>
      </c>
      <c r="O284">
        <f>INDEX(script.out!C:C,results.txt!$M284)</f>
        <v>4.5348699999999999E-2</v>
      </c>
      <c r="P284">
        <f>INDEX(script.out!D:D,results.txt!$M284)</f>
        <v>0.179395</v>
      </c>
      <c r="Q284">
        <f>INDEX(script.out!E:E,results.txt!$M284)</f>
        <v>22.089307726237401</v>
      </c>
      <c r="R284">
        <f>INDEX(script.out!F:F,results.txt!$M284)</f>
        <v>110.25</v>
      </c>
      <c r="S284">
        <f>INDEX(script.out!G:G,results.txt!$M284)</f>
        <v>1.8310167761306E-2</v>
      </c>
      <c r="T284" t="str">
        <f>INDEX(script.out!H:H,results.txt!$M284)</f>
        <v>{</v>
      </c>
      <c r="U284">
        <f>INDEX(script.out!I:I,results.txt!$M284)</f>
        <v>0.66728200000000004</v>
      </c>
      <c r="V284">
        <f>INDEX(script.out!J:J,results.txt!$M284)</f>
        <v>122.67435</v>
      </c>
      <c r="W284">
        <f>INDEX(script.out!K:K,results.txt!$M284)</f>
        <v>115.84305000000001</v>
      </c>
      <c r="X284" t="str">
        <f>INDEX(script.out!L:L,results.txt!$M284)</f>
        <v>}</v>
      </c>
      <c r="Y284" t="str">
        <f>INDEX(script.out!M:M,results.txt!$M284)</f>
        <v>{</v>
      </c>
      <c r="Z284">
        <f>INDEX(script.out!N:N,results.txt!$M284)</f>
        <v>14.699926353278</v>
      </c>
      <c r="AA284">
        <f>INDEX(script.out!O:O,results.txt!$M284)</f>
        <v>18.5</v>
      </c>
      <c r="AB284">
        <f>INDEX(script.out!P:P,results.txt!$M284)</f>
        <v>7250.61</v>
      </c>
      <c r="AC284" t="str">
        <f>INDEX(script.out!Q:Q,results.txt!$M284)</f>
        <v>}</v>
      </c>
      <c r="AD284">
        <f t="shared" si="4"/>
        <v>0</v>
      </c>
    </row>
    <row r="285" spans="1:30" x14ac:dyDescent="0.25">
      <c r="A285" s="12" t="s">
        <v>4</v>
      </c>
      <c r="B285" s="12">
        <v>-3</v>
      </c>
      <c r="C285" s="12">
        <v>9.0392100000000003E-2</v>
      </c>
      <c r="D285" s="12">
        <v>4.2994900000000003E-2</v>
      </c>
      <c r="E285" s="12">
        <v>0.19017999999999999</v>
      </c>
      <c r="F285" s="12">
        <v>-3</v>
      </c>
      <c r="G285" s="12">
        <v>20.7836</v>
      </c>
      <c r="H285" s="12">
        <v>90.25</v>
      </c>
      <c r="I285" s="12">
        <v>56.951999999999998</v>
      </c>
      <c r="J285" s="12" t="s">
        <v>3</v>
      </c>
      <c r="K285" s="12">
        <v>0</v>
      </c>
      <c r="M285">
        <f>MATCH(C285,script.out!B:B,0)</f>
        <v>272</v>
      </c>
      <c r="N285">
        <f>INDEX(script.out!B:B,results.txt!$M285)</f>
        <v>9.0392100000000003E-2</v>
      </c>
      <c r="O285">
        <f>INDEX(script.out!C:C,results.txt!$M285)</f>
        <v>4.2994900000000003E-2</v>
      </c>
      <c r="P285">
        <f>INDEX(script.out!D:D,results.txt!$M285)</f>
        <v>0.19017999999999999</v>
      </c>
      <c r="Q285">
        <f>INDEX(script.out!E:E,results.txt!$M285)</f>
        <v>20.7835671954949</v>
      </c>
      <c r="R285">
        <f>INDEX(script.out!F:F,results.txt!$M285)</f>
        <v>90.25</v>
      </c>
      <c r="S285">
        <f>INDEX(script.out!G:G,results.txt!$M285)</f>
        <v>56.952039939200603</v>
      </c>
      <c r="T285" t="str">
        <f>INDEX(script.out!H:H,results.txt!$M285)</f>
        <v>{</v>
      </c>
      <c r="U285">
        <f>INDEX(script.out!I:I,results.txt!$M285)</f>
        <v>0.37231360000000002</v>
      </c>
      <c r="V285">
        <f>INDEX(script.out!J:J,results.txt!$M285)</f>
        <v>121.49745</v>
      </c>
      <c r="W285">
        <f>INDEX(script.out!K:K,results.txt!$M285)</f>
        <v>122.2062</v>
      </c>
      <c r="X285" t="str">
        <f>INDEX(script.out!L:L,results.txt!$M285)</f>
        <v>}</v>
      </c>
      <c r="Y285" t="str">
        <f>INDEX(script.out!M:M,results.txt!$M285)</f>
        <v>{</v>
      </c>
      <c r="Z285">
        <f>INDEX(script.out!N:N,results.txt!$M285)</f>
        <v>14.558899779057899</v>
      </c>
      <c r="AA285">
        <f>INDEX(script.out!O:O,results.txt!$M285)</f>
        <v>17.5</v>
      </c>
      <c r="AB285">
        <f>INDEX(script.out!P:P,results.txt!$M285)</f>
        <v>4545.47</v>
      </c>
      <c r="AC285" t="str">
        <f>INDEX(script.out!Q:Q,results.txt!$M285)</f>
        <v>}</v>
      </c>
      <c r="AD285">
        <f t="shared" si="4"/>
        <v>0</v>
      </c>
    </row>
    <row r="286" spans="1:30" x14ac:dyDescent="0.25">
      <c r="A286" s="12" t="s">
        <v>4</v>
      </c>
      <c r="B286" s="12">
        <v>-3</v>
      </c>
      <c r="C286" s="12">
        <v>1.1128100000000001</v>
      </c>
      <c r="D286" s="12">
        <v>1.16729E-2</v>
      </c>
      <c r="E286" s="12">
        <v>0.65715800000000002</v>
      </c>
      <c r="F286" s="12">
        <v>-3</v>
      </c>
      <c r="G286" s="12">
        <v>7.1945199999999998</v>
      </c>
      <c r="H286" s="12">
        <v>56.25</v>
      </c>
      <c r="I286" s="12">
        <v>257.84500000000003</v>
      </c>
      <c r="J286" s="12" t="s">
        <v>3</v>
      </c>
      <c r="K286" s="12">
        <v>0</v>
      </c>
      <c r="M286">
        <f>MATCH(C286,script.out!B:B,0)</f>
        <v>278</v>
      </c>
      <c r="N286">
        <f>INDEX(script.out!B:B,results.txt!$M286)</f>
        <v>1.1128100000000001</v>
      </c>
      <c r="O286">
        <f>INDEX(script.out!C:C,results.txt!$M286)</f>
        <v>1.16729E-2</v>
      </c>
      <c r="P286">
        <f>INDEX(script.out!D:D,results.txt!$M286)</f>
        <v>0.65715800000000002</v>
      </c>
      <c r="Q286">
        <f>INDEX(script.out!E:E,results.txt!$M286)</f>
        <v>7.1945195149123604</v>
      </c>
      <c r="R286">
        <f>INDEX(script.out!F:F,results.txt!$M286)</f>
        <v>56.25</v>
      </c>
      <c r="S286">
        <f>INDEX(script.out!G:G,results.txt!$M286)</f>
        <v>257.84528594557997</v>
      </c>
      <c r="T286" t="str">
        <f>INDEX(script.out!H:H,results.txt!$M286)</f>
        <v>{</v>
      </c>
      <c r="U286">
        <f>INDEX(script.out!I:I,results.txt!$M286)</f>
        <v>1.19024</v>
      </c>
      <c r="V286">
        <f>INDEX(script.out!J:J,results.txt!$M286)</f>
        <v>105.83645</v>
      </c>
      <c r="W286">
        <f>INDEX(script.out!K:K,results.txt!$M286)</f>
        <v>397.72322000000003</v>
      </c>
      <c r="X286" t="str">
        <f>INDEX(script.out!L:L,results.txt!$M286)</f>
        <v>}</v>
      </c>
      <c r="Y286" t="str">
        <f>INDEX(script.out!M:M,results.txt!$M286)</f>
        <v>{</v>
      </c>
      <c r="Z286">
        <f>INDEX(script.out!N:N,results.txt!$M286)</f>
        <v>12.682260150491</v>
      </c>
      <c r="AA286">
        <f>INDEX(script.out!O:O,results.txt!$M286)</f>
        <v>15.5</v>
      </c>
      <c r="AB286">
        <f>INDEX(script.out!P:P,results.txt!$M286)</f>
        <v>1438.99</v>
      </c>
      <c r="AC286" t="str">
        <f>INDEX(script.out!Q:Q,results.txt!$M286)</f>
        <v>}</v>
      </c>
      <c r="AD286">
        <f t="shared" si="4"/>
        <v>0</v>
      </c>
    </row>
    <row r="287" spans="1:30" x14ac:dyDescent="0.25">
      <c r="A287" s="12" t="s">
        <v>4</v>
      </c>
      <c r="B287" s="12">
        <v>-3</v>
      </c>
      <c r="C287" s="12">
        <v>0.98371500000000001</v>
      </c>
      <c r="D287" s="12">
        <v>0.310859</v>
      </c>
      <c r="E287" s="12">
        <v>0.60073299999999996</v>
      </c>
      <c r="F287" s="12">
        <v>-3</v>
      </c>
      <c r="G287" s="12">
        <v>424.68200000000002</v>
      </c>
      <c r="H287" s="12">
        <v>30.25</v>
      </c>
      <c r="I287" s="12">
        <v>2.37168</v>
      </c>
      <c r="J287" s="12" t="s">
        <v>3</v>
      </c>
      <c r="K287" s="12">
        <v>0</v>
      </c>
      <c r="M287">
        <f>MATCH(C287,script.out!B:B,0)</f>
        <v>284</v>
      </c>
      <c r="N287">
        <f>INDEX(script.out!B:B,results.txt!$M287)</f>
        <v>0.98371500000000001</v>
      </c>
      <c r="O287">
        <f>INDEX(script.out!C:C,results.txt!$M287)</f>
        <v>0.310859</v>
      </c>
      <c r="P287">
        <f>INDEX(script.out!D:D,results.txt!$M287)</f>
        <v>0.60073299999999996</v>
      </c>
      <c r="Q287">
        <f>INDEX(script.out!E:E,results.txt!$M287)</f>
        <v>424.682384595104</v>
      </c>
      <c r="R287">
        <f>INDEX(script.out!F:F,results.txt!$M287)</f>
        <v>30.25</v>
      </c>
      <c r="S287">
        <f>INDEX(script.out!G:G,results.txt!$M287)</f>
        <v>2.3716843843122501</v>
      </c>
      <c r="T287" t="str">
        <f>INDEX(script.out!H:H,results.txt!$M287)</f>
        <v>{</v>
      </c>
      <c r="U287">
        <f>INDEX(script.out!I:I,results.txt!$M287)</f>
        <v>1.086972</v>
      </c>
      <c r="V287">
        <f>INDEX(script.out!J:J,results.txt!$M287)</f>
        <v>255.42949999999999</v>
      </c>
      <c r="W287">
        <f>INDEX(script.out!K:K,results.txt!$M287)</f>
        <v>364.43247000000002</v>
      </c>
      <c r="X287" t="str">
        <f>INDEX(script.out!L:L,results.txt!$M287)</f>
        <v>}</v>
      </c>
      <c r="Y287" t="str">
        <f>INDEX(script.out!M:M,results.txt!$M287)</f>
        <v>{</v>
      </c>
      <c r="Z287">
        <f>INDEX(script.out!N:N,results.txt!$M287)</f>
        <v>30.607823383246998</v>
      </c>
      <c r="AA287">
        <f>INDEX(script.out!O:O,results.txt!$M287)</f>
        <v>13.5</v>
      </c>
      <c r="AB287">
        <f>INDEX(script.out!P:P,results.txt!$M287)</f>
        <v>6737.89</v>
      </c>
      <c r="AC287" t="str">
        <f>INDEX(script.out!Q:Q,results.txt!$M287)</f>
        <v>}</v>
      </c>
      <c r="AD287">
        <f t="shared" si="4"/>
        <v>0</v>
      </c>
    </row>
    <row r="288" spans="1:30" x14ac:dyDescent="0.25">
      <c r="A288" s="12" t="s">
        <v>4</v>
      </c>
      <c r="B288" s="12">
        <v>-3</v>
      </c>
      <c r="C288" s="12">
        <v>1.0400199999999999</v>
      </c>
      <c r="D288" s="12">
        <v>1.41253E-2</v>
      </c>
      <c r="E288" s="12">
        <v>0.622471</v>
      </c>
      <c r="F288" s="12">
        <v>-3</v>
      </c>
      <c r="G288" s="12">
        <v>8.0043399999999991</v>
      </c>
      <c r="H288" s="12">
        <v>64</v>
      </c>
      <c r="I288" s="12">
        <v>248.83099999999999</v>
      </c>
      <c r="J288" s="12" t="s">
        <v>3</v>
      </c>
      <c r="K288" s="12">
        <v>0</v>
      </c>
      <c r="M288">
        <f>MATCH(C288,script.out!B:B,0)</f>
        <v>293</v>
      </c>
      <c r="N288">
        <f>INDEX(script.out!B:B,results.txt!$M288)</f>
        <v>1.0400199999999999</v>
      </c>
      <c r="O288">
        <f>INDEX(script.out!C:C,results.txt!$M288)</f>
        <v>1.41253E-2</v>
      </c>
      <c r="P288">
        <f>INDEX(script.out!D:D,results.txt!$M288)</f>
        <v>0.622471</v>
      </c>
      <c r="Q288">
        <f>INDEX(script.out!E:E,results.txt!$M288)</f>
        <v>8.00434031383997</v>
      </c>
      <c r="R288">
        <f>INDEX(script.out!F:F,results.txt!$M288)</f>
        <v>64</v>
      </c>
      <c r="S288">
        <f>INDEX(script.out!G:G,results.txt!$M288)</f>
        <v>248.831176749859</v>
      </c>
      <c r="T288" t="str">
        <f>INDEX(script.out!H:H,results.txt!$M288)</f>
        <v>{</v>
      </c>
      <c r="U288">
        <f>INDEX(script.out!I:I,results.txt!$M288)</f>
        <v>1.13201</v>
      </c>
      <c r="V288">
        <f>INDEX(script.out!J:J,results.txt!$M288)</f>
        <v>107.06265</v>
      </c>
      <c r="W288">
        <f>INDEX(script.out!K:K,results.txt!$M288)</f>
        <v>377.25788999999997</v>
      </c>
      <c r="X288" t="str">
        <f>INDEX(script.out!L:L,results.txt!$M288)</f>
        <v>}</v>
      </c>
      <c r="Y288" t="str">
        <f>INDEX(script.out!M:M,results.txt!$M288)</f>
        <v>{</v>
      </c>
      <c r="Z288">
        <f>INDEX(script.out!N:N,results.txt!$M288)</f>
        <v>12.829194287043499</v>
      </c>
      <c r="AA288">
        <f>INDEX(script.out!O:O,results.txt!$M288)</f>
        <v>16</v>
      </c>
      <c r="AB288">
        <f>INDEX(script.out!P:P,results.txt!$M288)</f>
        <v>1542.35</v>
      </c>
      <c r="AC288" t="str">
        <f>INDEX(script.out!Q:Q,results.txt!$M288)</f>
        <v>}</v>
      </c>
      <c r="AD288">
        <f t="shared" si="4"/>
        <v>0</v>
      </c>
    </row>
    <row r="289" spans="1:30" x14ac:dyDescent="0.25">
      <c r="A289" s="12" t="s">
        <v>4</v>
      </c>
      <c r="B289" s="12">
        <v>-3</v>
      </c>
      <c r="C289" s="12">
        <v>0.162244</v>
      </c>
      <c r="D289" s="12">
        <v>-3.34326E-2</v>
      </c>
      <c r="E289" s="12">
        <v>0.18544099999999999</v>
      </c>
      <c r="F289" s="12">
        <v>-3</v>
      </c>
      <c r="G289" s="12">
        <v>4.0844200000000002E-4</v>
      </c>
      <c r="H289" s="12">
        <v>144</v>
      </c>
      <c r="I289" s="12">
        <v>103.658</v>
      </c>
      <c r="J289" s="12" t="s">
        <v>3</v>
      </c>
      <c r="K289" s="12">
        <v>0</v>
      </c>
      <c r="M289">
        <f>MATCH(C289,script.out!B:B,0)</f>
        <v>300</v>
      </c>
      <c r="N289">
        <f>INDEX(script.out!B:B,results.txt!$M289)</f>
        <v>0.162244</v>
      </c>
      <c r="O289">
        <f>INDEX(script.out!C:C,results.txt!$M289)</f>
        <v>-3.34326E-2</v>
      </c>
      <c r="P289">
        <f>INDEX(script.out!D:D,results.txt!$M289)</f>
        <v>0.18544099999999999</v>
      </c>
      <c r="Q289">
        <f>INDEX(script.out!E:E,results.txt!$M289)</f>
        <v>4.0844243871109498E-4</v>
      </c>
      <c r="R289">
        <f>INDEX(script.out!F:F,results.txt!$M289)</f>
        <v>144</v>
      </c>
      <c r="S289">
        <f>INDEX(script.out!G:G,results.txt!$M289)</f>
        <v>103.657502889848</v>
      </c>
      <c r="T289" t="str">
        <f>INDEX(script.out!H:H,results.txt!$M289)</f>
        <v>{</v>
      </c>
      <c r="U289">
        <f>INDEX(script.out!I:I,results.txt!$M289)</f>
        <v>0.42979499999999998</v>
      </c>
      <c r="V289">
        <f>INDEX(script.out!J:J,results.txt!$M289)</f>
        <v>83.283699999999996</v>
      </c>
      <c r="W289">
        <f>INDEX(script.out!K:K,results.txt!$M289)</f>
        <v>119.41019</v>
      </c>
      <c r="X289" t="str">
        <f>INDEX(script.out!L:L,results.txt!$M289)</f>
        <v>}</v>
      </c>
      <c r="Y289" t="str">
        <f>INDEX(script.out!M:M,results.txt!$M289)</f>
        <v>{</v>
      </c>
      <c r="Z289">
        <f>INDEX(script.out!N:N,results.txt!$M289)</f>
        <v>9.9797900411006992</v>
      </c>
      <c r="AA289">
        <f>INDEX(script.out!O:O,results.txt!$M289)</f>
        <v>20</v>
      </c>
      <c r="AB289">
        <f>INDEX(script.out!P:P,results.txt!$M289)</f>
        <v>3583.85</v>
      </c>
      <c r="AC289" t="str">
        <f>INDEX(script.out!Q:Q,results.txt!$M289)</f>
        <v>}</v>
      </c>
      <c r="AD289">
        <f t="shared" si="4"/>
        <v>0</v>
      </c>
    </row>
    <row r="290" spans="1:30" x14ac:dyDescent="0.25">
      <c r="A290" s="12" t="s">
        <v>4</v>
      </c>
      <c r="B290" s="12">
        <v>-3</v>
      </c>
      <c r="C290" s="12">
        <v>0.83097100000000002</v>
      </c>
      <c r="D290" s="12">
        <v>-8.7953000000000007E-3</v>
      </c>
      <c r="E290" s="12">
        <v>0.77599300000000004</v>
      </c>
      <c r="F290" s="12">
        <v>-3</v>
      </c>
      <c r="G290" s="12">
        <v>2.1196999999999999</v>
      </c>
      <c r="H290" s="12">
        <v>90.25</v>
      </c>
      <c r="I290" s="12">
        <v>277.08100000000002</v>
      </c>
      <c r="J290" s="12" t="s">
        <v>3</v>
      </c>
      <c r="K290" s="12">
        <v>0</v>
      </c>
      <c r="M290">
        <f>MATCH(C290,script.out!B:B,0)</f>
        <v>301</v>
      </c>
      <c r="N290">
        <f>INDEX(script.out!B:B,results.txt!$M290)</f>
        <v>0.83097100000000002</v>
      </c>
      <c r="O290">
        <f>INDEX(script.out!C:C,results.txt!$M290)</f>
        <v>-8.7953000000000007E-3</v>
      </c>
      <c r="P290">
        <f>INDEX(script.out!D:D,results.txt!$M290)</f>
        <v>0.77599300000000004</v>
      </c>
      <c r="Q290">
        <f>INDEX(script.out!E:E,results.txt!$M290)</f>
        <v>2.1197022049067602</v>
      </c>
      <c r="R290">
        <f>INDEX(script.out!F:F,results.txt!$M290)</f>
        <v>90.25</v>
      </c>
      <c r="S290">
        <f>INDEX(script.out!G:G,results.txt!$M290)</f>
        <v>277.08110707449799</v>
      </c>
      <c r="T290" t="str">
        <f>INDEX(script.out!H:H,results.txt!$M290)</f>
        <v>{</v>
      </c>
      <c r="U290">
        <f>INDEX(script.out!I:I,results.txt!$M290)</f>
        <v>0.96477599999999997</v>
      </c>
      <c r="V290">
        <f>INDEX(script.out!J:J,results.txt!$M290)</f>
        <v>95.602350000000001</v>
      </c>
      <c r="W290">
        <f>INDEX(script.out!K:K,results.txt!$M290)</f>
        <v>467.83587</v>
      </c>
      <c r="X290" t="str">
        <f>INDEX(script.out!L:L,results.txt!$M290)</f>
        <v>}</v>
      </c>
      <c r="Y290" t="str">
        <f>INDEX(script.out!M:M,results.txt!$M290)</f>
        <v>{</v>
      </c>
      <c r="Z290">
        <f>INDEX(script.out!N:N,results.txt!$M290)</f>
        <v>11.455919711009701</v>
      </c>
      <c r="AA290">
        <f>INDEX(script.out!O:O,results.txt!$M290)</f>
        <v>17.5</v>
      </c>
      <c r="AB290">
        <f>INDEX(script.out!P:P,results.txt!$M290)</f>
        <v>1224.3</v>
      </c>
      <c r="AC290" t="str">
        <f>INDEX(script.out!Q:Q,results.txt!$M290)</f>
        <v>}</v>
      </c>
      <c r="AD290">
        <f t="shared" si="4"/>
        <v>0</v>
      </c>
    </row>
    <row r="291" spans="1:30" x14ac:dyDescent="0.25">
      <c r="A291" s="12" t="s">
        <v>4</v>
      </c>
      <c r="B291" s="12">
        <v>-3</v>
      </c>
      <c r="C291" s="12">
        <v>1.0307900000000001</v>
      </c>
      <c r="D291" s="12">
        <v>3.1551500000000003E-2</v>
      </c>
      <c r="E291" s="12">
        <v>0.65731399999999995</v>
      </c>
      <c r="F291" s="12">
        <v>-3</v>
      </c>
      <c r="G291" s="12">
        <v>15.0023</v>
      </c>
      <c r="H291" s="12">
        <v>56.25</v>
      </c>
      <c r="I291" s="12">
        <v>219.416</v>
      </c>
      <c r="J291" s="12" t="s">
        <v>3</v>
      </c>
      <c r="K291" s="12">
        <v>0</v>
      </c>
      <c r="M291">
        <f>MATCH(C291,script.out!B:B,0)</f>
        <v>333</v>
      </c>
      <c r="N291">
        <f>INDEX(script.out!B:B,results.txt!$M291)</f>
        <v>1.0307900000000001</v>
      </c>
      <c r="O291">
        <f>INDEX(script.out!C:C,results.txt!$M291)</f>
        <v>3.1551500000000003E-2</v>
      </c>
      <c r="P291">
        <f>INDEX(script.out!D:D,results.txt!$M291)</f>
        <v>0.65731399999999995</v>
      </c>
      <c r="Q291">
        <f>INDEX(script.out!E:E,results.txt!$M291)</f>
        <v>15.0022595728895</v>
      </c>
      <c r="R291">
        <f>INDEX(script.out!F:F,results.txt!$M291)</f>
        <v>56.25</v>
      </c>
      <c r="S291">
        <f>INDEX(script.out!G:G,results.txt!$M291)</f>
        <v>219.41644653480901</v>
      </c>
      <c r="T291" t="str">
        <f>INDEX(script.out!H:H,results.txt!$M291)</f>
        <v>{</v>
      </c>
      <c r="U291">
        <f>INDEX(script.out!I:I,results.txt!$M291)</f>
        <v>1.12463</v>
      </c>
      <c r="V291">
        <f>INDEX(script.out!J:J,results.txt!$M291)</f>
        <v>115.77575</v>
      </c>
      <c r="W291">
        <f>INDEX(script.out!K:K,results.txt!$M291)</f>
        <v>397.81526000000002</v>
      </c>
      <c r="X291" t="str">
        <f>INDEX(script.out!L:L,results.txt!$M291)</f>
        <v>}</v>
      </c>
      <c r="Y291" t="str">
        <f>INDEX(script.out!M:M,results.txt!$M291)</f>
        <v>{</v>
      </c>
      <c r="Z291">
        <f>INDEX(script.out!N:N,results.txt!$M291)</f>
        <v>13.873275044828199</v>
      </c>
      <c r="AA291">
        <f>INDEX(script.out!O:O,results.txt!$M291)</f>
        <v>15.5</v>
      </c>
      <c r="AB291">
        <f>INDEX(script.out!P:P,results.txt!$M291)</f>
        <v>1893.36</v>
      </c>
      <c r="AC291" t="str">
        <f>INDEX(script.out!Q:Q,results.txt!$M291)</f>
        <v>}</v>
      </c>
      <c r="AD291">
        <f t="shared" si="4"/>
        <v>0</v>
      </c>
    </row>
    <row r="292" spans="1:30" x14ac:dyDescent="0.25">
      <c r="A292" s="12" t="s">
        <v>4</v>
      </c>
      <c r="B292" s="12">
        <v>-3</v>
      </c>
      <c r="C292" s="12">
        <v>0.89517199999999997</v>
      </c>
      <c r="D292" s="12">
        <v>0.30956400000000001</v>
      </c>
      <c r="E292" s="12">
        <v>0.56771400000000005</v>
      </c>
      <c r="F292" s="12">
        <v>-3</v>
      </c>
      <c r="G292" s="12">
        <v>421.49099999999999</v>
      </c>
      <c r="H292" s="12">
        <v>36</v>
      </c>
      <c r="I292" s="12">
        <v>0.38518200000000002</v>
      </c>
      <c r="J292" s="12" t="s">
        <v>3</v>
      </c>
      <c r="K292" s="12">
        <v>0</v>
      </c>
      <c r="M292">
        <f>MATCH(C292,script.out!B:B,0)</f>
        <v>339</v>
      </c>
      <c r="N292">
        <f>INDEX(script.out!B:B,results.txt!$M292)</f>
        <v>0.89517199999999997</v>
      </c>
      <c r="O292">
        <f>INDEX(script.out!C:C,results.txt!$M292)</f>
        <v>0.30956400000000001</v>
      </c>
      <c r="P292">
        <f>INDEX(script.out!D:D,results.txt!$M292)</f>
        <v>0.56771400000000005</v>
      </c>
      <c r="Q292">
        <f>INDEX(script.out!E:E,results.txt!$M292)</f>
        <v>421.49051640997902</v>
      </c>
      <c r="R292">
        <f>INDEX(script.out!F:F,results.txt!$M292)</f>
        <v>36</v>
      </c>
      <c r="S292">
        <f>INDEX(script.out!G:G,results.txt!$M292)</f>
        <v>0.38518176693563499</v>
      </c>
      <c r="T292" t="str">
        <f>INDEX(script.out!H:H,results.txt!$M292)</f>
        <v>{</v>
      </c>
      <c r="U292">
        <f>INDEX(script.out!I:I,results.txt!$M292)</f>
        <v>1.0161370000000001</v>
      </c>
      <c r="V292">
        <f>INDEX(script.out!J:J,results.txt!$M292)</f>
        <v>254.78200000000001</v>
      </c>
      <c r="W292">
        <f>INDEX(script.out!K:K,results.txt!$M292)</f>
        <v>344.95125999999999</v>
      </c>
      <c r="X292" t="str">
        <f>INDEX(script.out!L:L,results.txt!$M292)</f>
        <v>}</v>
      </c>
      <c r="Y292" t="str">
        <f>INDEX(script.out!M:M,results.txt!$M292)</f>
        <v>{</v>
      </c>
      <c r="Z292">
        <f>INDEX(script.out!N:N,results.txt!$M292)</f>
        <v>30.5302342025116</v>
      </c>
      <c r="AA292">
        <f>INDEX(script.out!O:O,results.txt!$M292)</f>
        <v>14</v>
      </c>
      <c r="AB292">
        <f>INDEX(script.out!P:P,results.txt!$M292)</f>
        <v>7073.47</v>
      </c>
      <c r="AC292" t="str">
        <f>INDEX(script.out!Q:Q,results.txt!$M292)</f>
        <v>}</v>
      </c>
      <c r="AD292">
        <f t="shared" si="4"/>
        <v>0</v>
      </c>
    </row>
    <row r="293" spans="1:30" x14ac:dyDescent="0.25">
      <c r="A293" s="12" t="s">
        <v>4</v>
      </c>
      <c r="B293" s="12">
        <v>-3</v>
      </c>
      <c r="C293" s="12">
        <v>1.0560400000000001</v>
      </c>
      <c r="D293" s="12">
        <v>0.10141600000000001</v>
      </c>
      <c r="E293" s="12">
        <v>0.64420699999999997</v>
      </c>
      <c r="F293" s="12">
        <v>-3</v>
      </c>
      <c r="G293" s="12">
        <v>64.950199999999995</v>
      </c>
      <c r="H293" s="12">
        <v>36</v>
      </c>
      <c r="I293" s="12">
        <v>135.78100000000001</v>
      </c>
      <c r="J293" s="12" t="s">
        <v>3</v>
      </c>
      <c r="K293" s="12">
        <v>0</v>
      </c>
      <c r="M293">
        <f>MATCH(C293,script.out!B:B,0)</f>
        <v>380</v>
      </c>
      <c r="N293">
        <f>INDEX(script.out!B:B,results.txt!$M293)</f>
        <v>1.0560400000000001</v>
      </c>
      <c r="O293">
        <f>INDEX(script.out!C:C,results.txt!$M293)</f>
        <v>0.10141600000000001</v>
      </c>
      <c r="P293">
        <f>INDEX(script.out!D:D,results.txt!$M293)</f>
        <v>0.64420699999999997</v>
      </c>
      <c r="Q293">
        <f>INDEX(script.out!E:E,results.txt!$M293)</f>
        <v>64.950163218979995</v>
      </c>
      <c r="R293">
        <f>INDEX(script.out!F:F,results.txt!$M293)</f>
        <v>36</v>
      </c>
      <c r="S293">
        <f>INDEX(script.out!G:G,results.txt!$M293)</f>
        <v>135.781235120285</v>
      </c>
      <c r="T293" t="str">
        <f>INDEX(script.out!H:H,results.txt!$M293)</f>
        <v>{</v>
      </c>
      <c r="U293">
        <f>INDEX(script.out!I:I,results.txt!$M293)</f>
        <v>1.14483</v>
      </c>
      <c r="V293">
        <f>INDEX(script.out!J:J,results.txt!$M293)</f>
        <v>150.708</v>
      </c>
      <c r="W293">
        <f>INDEX(script.out!K:K,results.txt!$M293)</f>
        <v>390.08213000000001</v>
      </c>
      <c r="X293" t="str">
        <f>INDEX(script.out!L:L,results.txt!$M293)</f>
        <v>}</v>
      </c>
      <c r="Y293" t="str">
        <f>INDEX(script.out!M:M,results.txt!$M293)</f>
        <v>{</v>
      </c>
      <c r="Z293">
        <f>INDEX(script.out!N:N,results.txt!$M293)</f>
        <v>18.059166409684</v>
      </c>
      <c r="AA293">
        <f>INDEX(script.out!O:O,results.txt!$M293)</f>
        <v>14</v>
      </c>
      <c r="AB293">
        <f>INDEX(script.out!P:P,results.txt!$M293)</f>
        <v>3046.83</v>
      </c>
      <c r="AC293" t="str">
        <f>INDEX(script.out!Q:Q,results.txt!$M293)</f>
        <v>}</v>
      </c>
      <c r="AD293">
        <f t="shared" si="4"/>
        <v>0</v>
      </c>
    </row>
    <row r="294" spans="1:30" x14ac:dyDescent="0.25">
      <c r="A294" s="12" t="s">
        <v>4</v>
      </c>
      <c r="B294" s="12">
        <v>-3</v>
      </c>
      <c r="C294" s="12">
        <v>1.10616</v>
      </c>
      <c r="D294" s="12">
        <v>-3.3149600000000001E-2</v>
      </c>
      <c r="E294" s="12">
        <v>0.65562799999999999</v>
      </c>
      <c r="F294" s="12">
        <v>-3</v>
      </c>
      <c r="G294" s="13">
        <v>1.05897E-5</v>
      </c>
      <c r="H294" s="12">
        <v>72.25</v>
      </c>
      <c r="I294" s="12">
        <v>298.19099999999997</v>
      </c>
      <c r="J294" s="12" t="s">
        <v>3</v>
      </c>
      <c r="K294" s="12">
        <v>0</v>
      </c>
      <c r="M294">
        <f>MATCH(C294,script.out!B:B,0)</f>
        <v>398</v>
      </c>
      <c r="N294">
        <f>INDEX(script.out!B:B,results.txt!$M294)</f>
        <v>1.10616</v>
      </c>
      <c r="O294">
        <f>INDEX(script.out!C:C,results.txt!$M294)</f>
        <v>-3.3149600000000001E-2</v>
      </c>
      <c r="P294">
        <f>INDEX(script.out!D:D,results.txt!$M294)</f>
        <v>0.65562799999999999</v>
      </c>
      <c r="Q294">
        <f>INDEX(script.out!E:E,results.txt!$M294)</f>
        <v>1.05896649895015E-5</v>
      </c>
      <c r="R294">
        <f>INDEX(script.out!F:F,results.txt!$M294)</f>
        <v>72.25</v>
      </c>
      <c r="S294">
        <f>INDEX(script.out!G:G,results.txt!$M294)</f>
        <v>298.19054199948198</v>
      </c>
      <c r="T294" t="str">
        <f>INDEX(script.out!H:H,results.txt!$M294)</f>
        <v>{</v>
      </c>
      <c r="U294">
        <f>INDEX(script.out!I:I,results.txt!$M294)</f>
        <v>1.18492</v>
      </c>
      <c r="V294">
        <f>INDEX(script.out!J:J,results.txt!$M294)</f>
        <v>83.425200000000004</v>
      </c>
      <c r="W294">
        <f>INDEX(script.out!K:K,results.txt!$M294)</f>
        <v>396.82051999999999</v>
      </c>
      <c r="X294" t="str">
        <f>INDEX(script.out!L:L,results.txt!$M294)</f>
        <v>}</v>
      </c>
      <c r="Y294" t="str">
        <f>INDEX(script.out!M:M,results.txt!$M294)</f>
        <v>{</v>
      </c>
      <c r="Z294">
        <f>INDEX(script.out!N:N,results.txt!$M294)</f>
        <v>9.9967458234544608</v>
      </c>
      <c r="AA294">
        <f>INDEX(script.out!O:O,results.txt!$M294)</f>
        <v>16.5</v>
      </c>
      <c r="AB294">
        <f>INDEX(script.out!P:P,results.txt!$M294)</f>
        <v>997.10900000000004</v>
      </c>
      <c r="AC294" t="str">
        <f>INDEX(script.out!Q:Q,results.txt!$M294)</f>
        <v>}</v>
      </c>
      <c r="AD294">
        <f t="shared" si="4"/>
        <v>0</v>
      </c>
    </row>
    <row r="295" spans="1:30" x14ac:dyDescent="0.25">
      <c r="A295" s="12" t="s">
        <v>4</v>
      </c>
      <c r="B295" s="12">
        <v>-3</v>
      </c>
      <c r="C295" s="12">
        <v>1.03687</v>
      </c>
      <c r="D295" s="12">
        <v>9.6456100000000006E-3</v>
      </c>
      <c r="E295" s="12">
        <v>0.62546900000000005</v>
      </c>
      <c r="F295" s="12">
        <v>-3</v>
      </c>
      <c r="G295" s="12">
        <v>6.5576800000000004</v>
      </c>
      <c r="H295" s="12">
        <v>64</v>
      </c>
      <c r="I295" s="12">
        <v>252.93799999999999</v>
      </c>
      <c r="J295" s="12" t="s">
        <v>3</v>
      </c>
      <c r="K295" s="12">
        <v>0</v>
      </c>
      <c r="M295">
        <f>MATCH(C295,script.out!B:B,0)</f>
        <v>417</v>
      </c>
      <c r="N295">
        <f>INDEX(script.out!B:B,results.txt!$M295)</f>
        <v>1.03687</v>
      </c>
      <c r="O295">
        <f>INDEX(script.out!C:C,results.txt!$M295)</f>
        <v>9.6456100000000006E-3</v>
      </c>
      <c r="P295">
        <f>INDEX(script.out!D:D,results.txt!$M295)</f>
        <v>0.62546900000000005</v>
      </c>
      <c r="Q295">
        <f>INDEX(script.out!E:E,results.txt!$M295)</f>
        <v>6.5576773585659502</v>
      </c>
      <c r="R295">
        <f>INDEX(script.out!F:F,results.txt!$M295)</f>
        <v>64</v>
      </c>
      <c r="S295">
        <f>INDEX(script.out!G:G,results.txt!$M295)</f>
        <v>252.93808745280501</v>
      </c>
      <c r="T295" t="str">
        <f>INDEX(script.out!H:H,results.txt!$M295)</f>
        <v>{</v>
      </c>
      <c r="U295">
        <f>INDEX(script.out!I:I,results.txt!$M295)</f>
        <v>1.1294900000000001</v>
      </c>
      <c r="V295">
        <f>INDEX(script.out!J:J,results.txt!$M295)</f>
        <v>104.822805</v>
      </c>
      <c r="W295">
        <f>INDEX(script.out!K:K,results.txt!$M295)</f>
        <v>379.02670999999998</v>
      </c>
      <c r="X295" t="str">
        <f>INDEX(script.out!L:L,results.txt!$M295)</f>
        <v>}</v>
      </c>
      <c r="Y295" t="str">
        <f>INDEX(script.out!M:M,results.txt!$M295)</f>
        <v>{</v>
      </c>
      <c r="Z295">
        <f>INDEX(script.out!N:N,results.txt!$M295)</f>
        <v>12.560796235268599</v>
      </c>
      <c r="AA295">
        <f>INDEX(script.out!O:O,results.txt!$M295)</f>
        <v>16</v>
      </c>
      <c r="AB295">
        <f>INDEX(script.out!P:P,results.txt!$M295)</f>
        <v>1495.03</v>
      </c>
      <c r="AC295" t="str">
        <f>INDEX(script.out!Q:Q,results.txt!$M295)</f>
        <v>}</v>
      </c>
      <c r="AD295">
        <f t="shared" si="4"/>
        <v>0</v>
      </c>
    </row>
    <row r="296" spans="1:30" x14ac:dyDescent="0.25">
      <c r="A296" s="12" t="s">
        <v>4</v>
      </c>
      <c r="B296" s="12">
        <v>-3</v>
      </c>
      <c r="C296" s="12">
        <v>0.49803900000000001</v>
      </c>
      <c r="D296" s="12">
        <v>8.3862800000000001E-2</v>
      </c>
      <c r="E296" s="12">
        <v>0.26502399999999998</v>
      </c>
      <c r="F296" s="12">
        <v>-3</v>
      </c>
      <c r="G296" s="12">
        <v>49.104700000000001</v>
      </c>
      <c r="H296" s="12">
        <v>81</v>
      </c>
      <c r="I296" s="12">
        <v>4.97229E-2</v>
      </c>
      <c r="J296" s="12" t="s">
        <v>3</v>
      </c>
      <c r="K296" s="12">
        <v>0</v>
      </c>
      <c r="M296">
        <f>MATCH(C296,script.out!B:B,0)</f>
        <v>437</v>
      </c>
      <c r="N296">
        <f>INDEX(script.out!B:B,results.txt!$M296)</f>
        <v>0.49803900000000001</v>
      </c>
      <c r="O296">
        <f>INDEX(script.out!C:C,results.txt!$M296)</f>
        <v>8.3862800000000001E-2</v>
      </c>
      <c r="P296">
        <f>INDEX(script.out!D:D,results.txt!$M296)</f>
        <v>0.26502399999999998</v>
      </c>
      <c r="Q296">
        <f>INDEX(script.out!E:E,results.txt!$M296)</f>
        <v>49.104727176795798</v>
      </c>
      <c r="R296">
        <f>INDEX(script.out!F:F,results.txt!$M296)</f>
        <v>81</v>
      </c>
      <c r="S296">
        <f>INDEX(script.out!G:G,results.txt!$M296)</f>
        <v>4.9722890598611298E-2</v>
      </c>
      <c r="T296" t="str">
        <f>INDEX(script.out!H:H,results.txt!$M296)</f>
        <v>{</v>
      </c>
      <c r="U296">
        <f>INDEX(script.out!I:I,results.txt!$M296)</f>
        <v>0.69843100000000002</v>
      </c>
      <c r="V296">
        <f>INDEX(script.out!J:J,results.txt!$M296)</f>
        <v>141.9314</v>
      </c>
      <c r="W296">
        <f>INDEX(script.out!K:K,results.txt!$M296)</f>
        <v>166.36416</v>
      </c>
      <c r="X296" t="str">
        <f>INDEX(script.out!L:L,results.txt!$M296)</f>
        <v>}</v>
      </c>
      <c r="Y296" t="str">
        <f>INDEX(script.out!M:M,results.txt!$M296)</f>
        <v>{</v>
      </c>
      <c r="Z296">
        <f>INDEX(script.out!N:N,results.txt!$M296)</f>
        <v>17.007476519889</v>
      </c>
      <c r="AA296">
        <f>INDEX(script.out!O:O,results.txt!$M296)</f>
        <v>17</v>
      </c>
      <c r="AB296">
        <f>INDEX(script.out!P:P,results.txt!$M296)</f>
        <v>7218.61</v>
      </c>
      <c r="AC296" t="str">
        <f>INDEX(script.out!Q:Q,results.txt!$M296)</f>
        <v>}</v>
      </c>
      <c r="AD296">
        <f t="shared" si="4"/>
        <v>0</v>
      </c>
    </row>
    <row r="297" spans="1:30" x14ac:dyDescent="0.25">
      <c r="A297" s="12" t="s">
        <v>4</v>
      </c>
      <c r="B297" s="12">
        <v>-3</v>
      </c>
      <c r="C297" s="12">
        <v>0.48423100000000002</v>
      </c>
      <c r="D297" s="12">
        <v>5.8242099999999998E-2</v>
      </c>
      <c r="E297" s="12">
        <v>0.18962100000000001</v>
      </c>
      <c r="F297" s="12">
        <v>-3</v>
      </c>
      <c r="G297" s="12">
        <v>29.947500000000002</v>
      </c>
      <c r="H297" s="12">
        <v>90.25</v>
      </c>
      <c r="I297" s="12">
        <v>8.3795199999999994</v>
      </c>
      <c r="J297" s="12" t="s">
        <v>3</v>
      </c>
      <c r="K297" s="12">
        <v>0</v>
      </c>
      <c r="M297">
        <f>MATCH(C297,script.out!B:B,0)</f>
        <v>438</v>
      </c>
      <c r="N297">
        <f>INDEX(script.out!B:B,results.txt!$M297)</f>
        <v>0.48423100000000002</v>
      </c>
      <c r="O297">
        <f>INDEX(script.out!C:C,results.txt!$M297)</f>
        <v>5.8242099999999998E-2</v>
      </c>
      <c r="P297">
        <f>INDEX(script.out!D:D,results.txt!$M297)</f>
        <v>0.18962100000000001</v>
      </c>
      <c r="Q297">
        <f>INDEX(script.out!E:E,results.txt!$M297)</f>
        <v>29.9474573158735</v>
      </c>
      <c r="R297">
        <f>INDEX(script.out!F:F,results.txt!$M297)</f>
        <v>90.25</v>
      </c>
      <c r="S297">
        <f>INDEX(script.out!G:G,results.txt!$M297)</f>
        <v>8.3795180814411694</v>
      </c>
      <c r="T297" t="str">
        <f>INDEX(script.out!H:H,results.txt!$M297)</f>
        <v>{</v>
      </c>
      <c r="U297">
        <f>INDEX(script.out!I:I,results.txt!$M297)</f>
        <v>0.687384</v>
      </c>
      <c r="V297">
        <f>INDEX(script.out!J:J,results.txt!$M297)</f>
        <v>129.12105</v>
      </c>
      <c r="W297">
        <f>INDEX(script.out!K:K,results.txt!$M297)</f>
        <v>121.87639</v>
      </c>
      <c r="X297" t="str">
        <f>INDEX(script.out!L:L,results.txt!$M297)</f>
        <v>}</v>
      </c>
      <c r="Y297" t="str">
        <f>INDEX(script.out!M:M,results.txt!$M297)</f>
        <v>{</v>
      </c>
      <c r="Z297">
        <f>INDEX(script.out!N:N,results.txt!$M297)</f>
        <v>15.472427004161201</v>
      </c>
      <c r="AA297">
        <f>INDEX(script.out!O:O,results.txt!$M297)</f>
        <v>17.5</v>
      </c>
      <c r="AB297">
        <f>INDEX(script.out!P:P,results.txt!$M297)</f>
        <v>8356.58</v>
      </c>
      <c r="AC297" t="str">
        <f>INDEX(script.out!Q:Q,results.txt!$M297)</f>
        <v>}</v>
      </c>
      <c r="AD297">
        <f t="shared" si="4"/>
        <v>0</v>
      </c>
    </row>
    <row r="298" spans="1:30" x14ac:dyDescent="0.25">
      <c r="A298" s="12" t="s">
        <v>4</v>
      </c>
      <c r="B298" s="12">
        <v>-3</v>
      </c>
      <c r="C298" s="12">
        <v>1.10267</v>
      </c>
      <c r="D298" s="12">
        <v>2.9383399999999998E-3</v>
      </c>
      <c r="E298" s="12">
        <v>0.70021100000000003</v>
      </c>
      <c r="F298" s="12">
        <v>-3</v>
      </c>
      <c r="G298" s="12">
        <v>4.6609999999999996</v>
      </c>
      <c r="H298" s="12">
        <v>56.25</v>
      </c>
      <c r="I298" s="12">
        <v>270.43700000000001</v>
      </c>
      <c r="J298" s="12" t="s">
        <v>3</v>
      </c>
      <c r="K298" s="12">
        <v>0</v>
      </c>
      <c r="M298">
        <f>MATCH(C298,script.out!B:B,0)</f>
        <v>469</v>
      </c>
      <c r="N298">
        <f>INDEX(script.out!B:B,results.txt!$M298)</f>
        <v>1.10267</v>
      </c>
      <c r="O298">
        <f>INDEX(script.out!C:C,results.txt!$M298)</f>
        <v>2.9383399999999998E-3</v>
      </c>
      <c r="P298">
        <f>INDEX(script.out!D:D,results.txt!$M298)</f>
        <v>0.70021100000000003</v>
      </c>
      <c r="Q298">
        <f>INDEX(script.out!E:E,results.txt!$M298)</f>
        <v>4.6609960510381496</v>
      </c>
      <c r="R298">
        <f>INDEX(script.out!F:F,results.txt!$M298)</f>
        <v>56.25</v>
      </c>
      <c r="S298">
        <f>INDEX(script.out!G:G,results.txt!$M298)</f>
        <v>270.43667335785301</v>
      </c>
      <c r="T298" t="str">
        <f>INDEX(script.out!H:H,results.txt!$M298)</f>
        <v>{</v>
      </c>
      <c r="U298">
        <f>INDEX(script.out!I:I,results.txt!$M298)</f>
        <v>1.1821299999999999</v>
      </c>
      <c r="V298">
        <f>INDEX(script.out!J:J,results.txt!$M298)</f>
        <v>101.46917000000001</v>
      </c>
      <c r="W298">
        <f>INDEX(script.out!K:K,results.txt!$M298)</f>
        <v>423.12448999999998</v>
      </c>
      <c r="X298" t="str">
        <f>INDEX(script.out!L:L,results.txt!$M298)</f>
        <v>}</v>
      </c>
      <c r="Y298" t="str">
        <f>INDEX(script.out!M:M,results.txt!$M298)</f>
        <v>{</v>
      </c>
      <c r="Z298">
        <f>INDEX(script.out!N:N,results.txt!$M298)</f>
        <v>12.158934008032199</v>
      </c>
      <c r="AA298">
        <f>INDEX(script.out!O:O,results.txt!$M298)</f>
        <v>15.5</v>
      </c>
      <c r="AB298">
        <f>INDEX(script.out!P:P,results.txt!$M298)</f>
        <v>1297.5899999999999</v>
      </c>
      <c r="AC298" t="str">
        <f>INDEX(script.out!Q:Q,results.txt!$M298)</f>
        <v>}</v>
      </c>
      <c r="AD298">
        <f t="shared" si="4"/>
        <v>0</v>
      </c>
    </row>
    <row r="299" spans="1:30" x14ac:dyDescent="0.25">
      <c r="A299" s="12" t="s">
        <v>4</v>
      </c>
      <c r="B299" s="12">
        <v>-3</v>
      </c>
      <c r="C299" s="12">
        <v>1.08531</v>
      </c>
      <c r="D299" s="12">
        <v>8.5301100000000005E-2</v>
      </c>
      <c r="E299" s="12">
        <v>0.629355</v>
      </c>
      <c r="F299" s="12">
        <v>-3</v>
      </c>
      <c r="G299" s="12">
        <v>50.319899999999997</v>
      </c>
      <c r="H299" s="12">
        <v>42.25</v>
      </c>
      <c r="I299" s="12">
        <v>186.43700000000001</v>
      </c>
      <c r="J299" s="12" t="s">
        <v>3</v>
      </c>
      <c r="K299" s="12">
        <v>0</v>
      </c>
      <c r="M299">
        <f>MATCH(C299,script.out!B:B,0)</f>
        <v>470</v>
      </c>
      <c r="N299">
        <f>INDEX(script.out!B:B,results.txt!$M299)</f>
        <v>1.08531</v>
      </c>
      <c r="O299">
        <f>INDEX(script.out!C:C,results.txt!$M299)</f>
        <v>8.5301100000000005E-2</v>
      </c>
      <c r="P299">
        <f>INDEX(script.out!D:D,results.txt!$M299)</f>
        <v>0.629355</v>
      </c>
      <c r="Q299">
        <f>INDEX(script.out!E:E,results.txt!$M299)</f>
        <v>50.3198907205309</v>
      </c>
      <c r="R299">
        <f>INDEX(script.out!F:F,results.txt!$M299)</f>
        <v>42.25</v>
      </c>
      <c r="S299">
        <f>INDEX(script.out!G:G,results.txt!$M299)</f>
        <v>186.43695318746401</v>
      </c>
      <c r="T299" t="str">
        <f>INDEX(script.out!H:H,results.txt!$M299)</f>
        <v>{</v>
      </c>
      <c r="U299">
        <f>INDEX(script.out!I:I,results.txt!$M299)</f>
        <v>1.1682399999999999</v>
      </c>
      <c r="V299">
        <f>INDEX(script.out!J:J,results.txt!$M299)</f>
        <v>142.65055000000001</v>
      </c>
      <c r="W299">
        <f>INDEX(script.out!K:K,results.txt!$M299)</f>
        <v>381.31945000000002</v>
      </c>
      <c r="X299" t="str">
        <f>INDEX(script.out!L:L,results.txt!$M299)</f>
        <v>}</v>
      </c>
      <c r="Y299" t="str">
        <f>INDEX(script.out!M:M,results.txt!$M299)</f>
        <v>{</v>
      </c>
      <c r="Z299">
        <f>INDEX(script.out!N:N,results.txt!$M299)</f>
        <v>17.093651437766699</v>
      </c>
      <c r="AA299">
        <f>INDEX(script.out!O:O,results.txt!$M299)</f>
        <v>14.5</v>
      </c>
      <c r="AB299">
        <f>INDEX(script.out!P:P,results.txt!$M299)</f>
        <v>2316.2199999999998</v>
      </c>
      <c r="AC299" t="str">
        <f>INDEX(script.out!Q:Q,results.txt!$M299)</f>
        <v>}</v>
      </c>
      <c r="AD299">
        <f t="shared" si="4"/>
        <v>0</v>
      </c>
    </row>
    <row r="300" spans="1:30" x14ac:dyDescent="0.25">
      <c r="A300" s="12" t="s">
        <v>4</v>
      </c>
      <c r="B300" s="12">
        <v>-3</v>
      </c>
      <c r="C300" s="12">
        <v>0.97189800000000004</v>
      </c>
      <c r="D300" s="12">
        <v>0.33537</v>
      </c>
      <c r="E300" s="12">
        <v>0.59831800000000002</v>
      </c>
      <c r="F300" s="12">
        <v>-3</v>
      </c>
      <c r="G300" s="12">
        <v>487.36700000000002</v>
      </c>
      <c r="H300" s="12">
        <v>30.25</v>
      </c>
      <c r="I300" s="12">
        <v>0.41519499999999998</v>
      </c>
      <c r="J300" s="12" t="s">
        <v>3</v>
      </c>
      <c r="K300" s="12">
        <v>0</v>
      </c>
      <c r="M300">
        <f>MATCH(C300,script.out!B:B,0)</f>
        <v>489</v>
      </c>
      <c r="N300">
        <f>INDEX(script.out!B:B,results.txt!$M300)</f>
        <v>0.97189800000000004</v>
      </c>
      <c r="O300">
        <f>INDEX(script.out!C:C,results.txt!$M300)</f>
        <v>0.33537</v>
      </c>
      <c r="P300">
        <f>INDEX(script.out!D:D,results.txt!$M300)</f>
        <v>0.59831800000000002</v>
      </c>
      <c r="Q300">
        <f>INDEX(script.out!E:E,results.txt!$M300)</f>
        <v>487.36681269450997</v>
      </c>
      <c r="R300">
        <f>INDEX(script.out!F:F,results.txt!$M300)</f>
        <v>30.25</v>
      </c>
      <c r="S300">
        <f>INDEX(script.out!G:G,results.txt!$M300)</f>
        <v>0.41519486657909499</v>
      </c>
      <c r="T300" t="str">
        <f>INDEX(script.out!H:H,results.txt!$M300)</f>
        <v>{</v>
      </c>
      <c r="U300">
        <f>INDEX(script.out!I:I,results.txt!$M300)</f>
        <v>1.077518</v>
      </c>
      <c r="V300">
        <f>INDEX(script.out!J:J,results.txt!$M300)</f>
        <v>267.685</v>
      </c>
      <c r="W300">
        <f>INDEX(script.out!K:K,results.txt!$M300)</f>
        <v>363.00761999999997</v>
      </c>
      <c r="X300" t="str">
        <f>INDEX(script.out!L:L,results.txt!$M300)</f>
        <v>}</v>
      </c>
      <c r="Y300" t="str">
        <f>INDEX(script.out!M:M,results.txt!$M300)</f>
        <v>{</v>
      </c>
      <c r="Z300">
        <f>INDEX(script.out!N:N,results.txt!$M300)</f>
        <v>32.076385861243402</v>
      </c>
      <c r="AA300">
        <f>INDEX(script.out!O:O,results.txt!$M300)</f>
        <v>13.5</v>
      </c>
      <c r="AB300">
        <f>INDEX(script.out!P:P,results.txt!$M300)</f>
        <v>7064.81</v>
      </c>
      <c r="AC300" t="str">
        <f>INDEX(script.out!Q:Q,results.txt!$M300)</f>
        <v>}</v>
      </c>
      <c r="AD300">
        <f t="shared" si="4"/>
        <v>0</v>
      </c>
    </row>
    <row r="301" spans="1:30" x14ac:dyDescent="0.25">
      <c r="A301" s="12" t="s">
        <v>4</v>
      </c>
      <c r="B301" s="12">
        <v>-3</v>
      </c>
      <c r="C301" s="12">
        <v>1.0082899999999999</v>
      </c>
      <c r="D301" s="12">
        <v>7.0639199999999996E-3</v>
      </c>
      <c r="E301" s="12">
        <v>0.65167799999999998</v>
      </c>
      <c r="F301" s="12">
        <v>-3</v>
      </c>
      <c r="G301" s="12">
        <v>5.78939</v>
      </c>
      <c r="H301" s="12">
        <v>64</v>
      </c>
      <c r="I301" s="12">
        <v>257.399</v>
      </c>
      <c r="J301" s="12" t="s">
        <v>3</v>
      </c>
      <c r="K301" s="12">
        <v>0</v>
      </c>
      <c r="M301">
        <f>MATCH(C301,script.out!B:B,0)</f>
        <v>493</v>
      </c>
      <c r="N301">
        <f>INDEX(script.out!B:B,results.txt!$M301)</f>
        <v>1.0082899999999999</v>
      </c>
      <c r="O301">
        <f>INDEX(script.out!C:C,results.txt!$M301)</f>
        <v>7.0639199999999996E-3</v>
      </c>
      <c r="P301">
        <f>INDEX(script.out!D:D,results.txt!$M301)</f>
        <v>0.65167799999999998</v>
      </c>
      <c r="Q301">
        <f>INDEX(script.out!E:E,results.txt!$M301)</f>
        <v>5.7893930633781201</v>
      </c>
      <c r="R301">
        <f>INDEX(script.out!F:F,results.txt!$M301)</f>
        <v>64</v>
      </c>
      <c r="S301">
        <f>INDEX(script.out!G:G,results.txt!$M301)</f>
        <v>257.399386628635</v>
      </c>
      <c r="T301" t="str">
        <f>INDEX(script.out!H:H,results.txt!$M301)</f>
        <v>{</v>
      </c>
      <c r="U301">
        <f>INDEX(script.out!I:I,results.txt!$M301)</f>
        <v>1.10663</v>
      </c>
      <c r="V301">
        <f>INDEX(script.out!J:J,results.txt!$M301)</f>
        <v>103.53196</v>
      </c>
      <c r="W301">
        <f>INDEX(script.out!K:K,results.txt!$M301)</f>
        <v>394.49002000000002</v>
      </c>
      <c r="X301" t="str">
        <f>INDEX(script.out!L:L,results.txt!$M301)</f>
        <v>}</v>
      </c>
      <c r="Y301" t="str">
        <f>INDEX(script.out!M:M,results.txt!$M301)</f>
        <v>{</v>
      </c>
      <c r="Z301">
        <f>INDEX(script.out!N:N,results.txt!$M301)</f>
        <v>12.406115762671799</v>
      </c>
      <c r="AA301">
        <f>INDEX(script.out!O:O,results.txt!$M301)</f>
        <v>16</v>
      </c>
      <c r="AB301">
        <f>INDEX(script.out!P:P,results.txt!$M301)</f>
        <v>1444.06</v>
      </c>
      <c r="AC301" t="str">
        <f>INDEX(script.out!Q:Q,results.txt!$M301)</f>
        <v>}</v>
      </c>
      <c r="AD301">
        <f t="shared" si="4"/>
        <v>0</v>
      </c>
    </row>
    <row r="302" spans="1:30" x14ac:dyDescent="0.25">
      <c r="A302" s="12" t="s">
        <v>4</v>
      </c>
      <c r="B302" s="12">
        <v>-3</v>
      </c>
      <c r="C302" s="12">
        <v>0.54724600000000001</v>
      </c>
      <c r="D302" s="12">
        <v>2.8610500000000001E-2</v>
      </c>
      <c r="E302" s="12">
        <v>0.16910900000000001</v>
      </c>
      <c r="F302" s="12">
        <v>-3</v>
      </c>
      <c r="G302" s="12">
        <v>13.6683</v>
      </c>
      <c r="H302" s="12">
        <v>100</v>
      </c>
      <c r="I302" s="12">
        <v>0.345808</v>
      </c>
      <c r="J302" s="12" t="s">
        <v>3</v>
      </c>
      <c r="K302" s="12">
        <v>0</v>
      </c>
      <c r="M302">
        <f>MATCH(C302,script.out!B:B,0)</f>
        <v>496</v>
      </c>
      <c r="N302">
        <f>INDEX(script.out!B:B,results.txt!$M302)</f>
        <v>0.54724600000000001</v>
      </c>
      <c r="O302">
        <f>INDEX(script.out!C:C,results.txt!$M302)</f>
        <v>2.8610500000000001E-2</v>
      </c>
      <c r="P302">
        <f>INDEX(script.out!D:D,results.txt!$M302)</f>
        <v>0.16910900000000001</v>
      </c>
      <c r="Q302">
        <f>INDEX(script.out!E:E,results.txt!$M302)</f>
        <v>13.6683023327585</v>
      </c>
      <c r="R302">
        <f>INDEX(script.out!F:F,results.txt!$M302)</f>
        <v>100</v>
      </c>
      <c r="S302">
        <f>INDEX(script.out!G:G,results.txt!$M302)</f>
        <v>0.345808441358603</v>
      </c>
      <c r="T302" t="str">
        <f>INDEX(script.out!H:H,results.txt!$M302)</f>
        <v>{</v>
      </c>
      <c r="U302">
        <f>INDEX(script.out!I:I,results.txt!$M302)</f>
        <v>0.73779600000000001</v>
      </c>
      <c r="V302">
        <f>INDEX(script.out!J:J,results.txt!$M302)</f>
        <v>114.30525</v>
      </c>
      <c r="W302">
        <f>INDEX(script.out!K:K,results.txt!$M302)</f>
        <v>109.77431</v>
      </c>
      <c r="X302" t="str">
        <f>INDEX(script.out!L:L,results.txt!$M302)</f>
        <v>}</v>
      </c>
      <c r="Y302" t="str">
        <f>INDEX(script.out!M:M,results.txt!$M302)</f>
        <v>{</v>
      </c>
      <c r="Z302">
        <f>INDEX(script.out!N:N,results.txt!$M302)</f>
        <v>13.6970667200848</v>
      </c>
      <c r="AA302">
        <f>INDEX(script.out!O:O,results.txt!$M302)</f>
        <v>18</v>
      </c>
      <c r="AB302">
        <f>INDEX(script.out!P:P,results.txt!$M302)</f>
        <v>7514.64</v>
      </c>
      <c r="AC302" t="str">
        <f>INDEX(script.out!Q:Q,results.txt!$M302)</f>
        <v>}</v>
      </c>
      <c r="AD302">
        <f t="shared" si="4"/>
        <v>0</v>
      </c>
    </row>
    <row r="303" spans="1:30" x14ac:dyDescent="0.25">
      <c r="A303" s="12" t="s">
        <v>4</v>
      </c>
      <c r="B303" s="12">
        <v>-3</v>
      </c>
      <c r="C303" s="12">
        <v>0.58903499999999998</v>
      </c>
      <c r="D303" s="12">
        <v>-2.26424E-2</v>
      </c>
      <c r="E303" s="12">
        <v>0.14132400000000001</v>
      </c>
      <c r="F303" s="12">
        <v>-3</v>
      </c>
      <c r="G303" s="12">
        <v>0.39222499999999999</v>
      </c>
      <c r="H303" s="12">
        <v>132.25</v>
      </c>
      <c r="I303" s="12">
        <v>23.522500000000001</v>
      </c>
      <c r="J303" s="12" t="s">
        <v>3</v>
      </c>
      <c r="K303" s="12">
        <v>0</v>
      </c>
      <c r="M303">
        <f>MATCH(C303,script.out!B:B,0)</f>
        <v>503</v>
      </c>
      <c r="N303">
        <f>INDEX(script.out!B:B,results.txt!$M303)</f>
        <v>0.58903499999999998</v>
      </c>
      <c r="O303">
        <f>INDEX(script.out!C:C,results.txt!$M303)</f>
        <v>-2.26424E-2</v>
      </c>
      <c r="P303">
        <f>INDEX(script.out!D:D,results.txt!$M303)</f>
        <v>0.14132400000000001</v>
      </c>
      <c r="Q303">
        <f>INDEX(script.out!E:E,results.txt!$M303)</f>
        <v>0.39222497592724698</v>
      </c>
      <c r="R303">
        <f>INDEX(script.out!F:F,results.txt!$M303)</f>
        <v>132.25</v>
      </c>
      <c r="S303">
        <f>INDEX(script.out!G:G,results.txt!$M303)</f>
        <v>23.522500000000001</v>
      </c>
      <c r="T303" t="str">
        <f>INDEX(script.out!H:H,results.txt!$M303)</f>
        <v>{</v>
      </c>
      <c r="U303">
        <f>INDEX(script.out!I:I,results.txt!$M303)</f>
        <v>0.77122800000000002</v>
      </c>
      <c r="V303">
        <f>INDEX(script.out!J:J,results.txt!$M303)</f>
        <v>88.678799999999995</v>
      </c>
      <c r="W303">
        <f>INDEX(script.out!K:K,results.txt!$M303)</f>
        <v>93.381159999999994</v>
      </c>
      <c r="X303" t="str">
        <f>INDEX(script.out!L:L,results.txt!$M303)</f>
        <v>}</v>
      </c>
      <c r="Y303" t="str">
        <f>INDEX(script.out!M:M,results.txt!$M303)</f>
        <v>{</v>
      </c>
      <c r="Z303">
        <f>INDEX(script.out!N:N,results.txt!$M303)</f>
        <v>10.6262786727386</v>
      </c>
      <c r="AA303">
        <f>INDEX(script.out!O:O,results.txt!$M303)</f>
        <v>19.5</v>
      </c>
      <c r="AB303">
        <f>INDEX(script.out!P:P,results.txt!$M303)</f>
        <v>5529.75</v>
      </c>
      <c r="AC303" t="str">
        <f>INDEX(script.out!Q:Q,results.txt!$M303)</f>
        <v>}</v>
      </c>
      <c r="AD303">
        <f t="shared" si="4"/>
        <v>0</v>
      </c>
    </row>
    <row r="304" spans="1:30" x14ac:dyDescent="0.25">
      <c r="A304" s="12" t="s">
        <v>4</v>
      </c>
      <c r="B304" s="12">
        <v>-3</v>
      </c>
      <c r="C304" s="12">
        <v>7.9056799999999997E-2</v>
      </c>
      <c r="D304" s="12">
        <v>8.1458799999999994E-3</v>
      </c>
      <c r="E304" s="12">
        <v>5.9854200000000003E-2</v>
      </c>
      <c r="F304" s="12">
        <v>-3</v>
      </c>
      <c r="G304" s="12">
        <v>6.10555</v>
      </c>
      <c r="H304" s="12">
        <v>121</v>
      </c>
      <c r="I304" s="12">
        <v>4.7760800000000003</v>
      </c>
      <c r="J304" s="12" t="s">
        <v>3</v>
      </c>
      <c r="K304" s="12">
        <v>0</v>
      </c>
      <c r="M304">
        <f>MATCH(C304,script.out!B:B,0)</f>
        <v>523</v>
      </c>
      <c r="N304">
        <f>INDEX(script.out!B:B,results.txt!$M304)</f>
        <v>7.9056799999999997E-2</v>
      </c>
      <c r="O304">
        <f>INDEX(script.out!C:C,results.txt!$M304)</f>
        <v>8.1458799999999994E-3</v>
      </c>
      <c r="P304">
        <f>INDEX(script.out!D:D,results.txt!$M304)</f>
        <v>5.9854200000000003E-2</v>
      </c>
      <c r="Q304">
        <f>INDEX(script.out!E:E,results.txt!$M304)</f>
        <v>6.1055483098314101</v>
      </c>
      <c r="R304">
        <f>INDEX(script.out!F:F,results.txt!$M304)</f>
        <v>121</v>
      </c>
      <c r="S304">
        <f>INDEX(script.out!G:G,results.txt!$M304)</f>
        <v>4.7760809337586698</v>
      </c>
      <c r="T304" t="str">
        <f>INDEX(script.out!H:H,results.txt!$M304)</f>
        <v>{</v>
      </c>
      <c r="U304">
        <f>INDEX(script.out!I:I,results.txt!$M304)</f>
        <v>0.3632454</v>
      </c>
      <c r="V304">
        <f>INDEX(script.out!J:J,results.txt!$M304)</f>
        <v>104.07294</v>
      </c>
      <c r="W304">
        <f>INDEX(script.out!K:K,results.txt!$M304)</f>
        <v>45.313977999999999</v>
      </c>
      <c r="X304" t="str">
        <f>INDEX(script.out!L:L,results.txt!$M304)</f>
        <v>}</v>
      </c>
      <c r="Y304" t="str">
        <f>INDEX(script.out!M:M,results.txt!$M304)</f>
        <v>{</v>
      </c>
      <c r="Z304">
        <f>INDEX(script.out!N:N,results.txt!$M304)</f>
        <v>12.4709407742459</v>
      </c>
      <c r="AA304">
        <f>INDEX(script.out!O:O,results.txt!$M304)</f>
        <v>19</v>
      </c>
      <c r="AB304">
        <f>INDEX(script.out!P:P,results.txt!$M304)</f>
        <v>8097.68</v>
      </c>
      <c r="AC304" t="str">
        <f>INDEX(script.out!Q:Q,results.txt!$M304)</f>
        <v>}</v>
      </c>
      <c r="AD304">
        <f t="shared" si="4"/>
        <v>0</v>
      </c>
    </row>
    <row r="305" spans="1:30" x14ac:dyDescent="0.25">
      <c r="A305" s="12" t="s">
        <v>4</v>
      </c>
      <c r="B305" s="12">
        <v>-3</v>
      </c>
      <c r="C305" s="12">
        <v>1.1535500000000001</v>
      </c>
      <c r="D305" s="12">
        <v>0.15155099999999999</v>
      </c>
      <c r="E305" s="12">
        <v>0.76579399999999997</v>
      </c>
      <c r="F305" s="12">
        <v>-3</v>
      </c>
      <c r="G305" s="12">
        <v>122.389</v>
      </c>
      <c r="H305" s="12">
        <v>30.25</v>
      </c>
      <c r="I305" s="12">
        <v>143.226</v>
      </c>
      <c r="J305" s="12" t="s">
        <v>3</v>
      </c>
      <c r="K305" s="12">
        <v>0</v>
      </c>
      <c r="M305">
        <f>MATCH(C305,script.out!B:B,0)</f>
        <v>529</v>
      </c>
      <c r="N305">
        <f>INDEX(script.out!B:B,results.txt!$M305)</f>
        <v>1.1535500000000001</v>
      </c>
      <c r="O305">
        <f>INDEX(script.out!C:C,results.txt!$M305)</f>
        <v>0.15155099999999999</v>
      </c>
      <c r="P305">
        <f>INDEX(script.out!D:D,results.txt!$M305)</f>
        <v>0.76579399999999997</v>
      </c>
      <c r="Q305">
        <f>INDEX(script.out!E:E,results.txt!$M305)</f>
        <v>122.389440654073</v>
      </c>
      <c r="R305">
        <f>INDEX(script.out!F:F,results.txt!$M305)</f>
        <v>30.25</v>
      </c>
      <c r="S305">
        <f>INDEX(script.out!G:G,results.txt!$M305)</f>
        <v>143.22646626684099</v>
      </c>
      <c r="T305" t="str">
        <f>INDEX(script.out!H:H,results.txt!$M305)</f>
        <v>{</v>
      </c>
      <c r="U305">
        <f>INDEX(script.out!I:I,results.txt!$M305)</f>
        <v>1.2228399999999999</v>
      </c>
      <c r="V305">
        <f>INDEX(script.out!J:J,results.txt!$M305)</f>
        <v>175.77549999999999</v>
      </c>
      <c r="W305">
        <f>INDEX(script.out!K:K,results.txt!$M305)</f>
        <v>461.81846000000002</v>
      </c>
      <c r="X305" t="str">
        <f>INDEX(script.out!L:L,results.txt!$M305)</f>
        <v>}</v>
      </c>
      <c r="Y305" t="str">
        <f>INDEX(script.out!M:M,results.txt!$M305)</f>
        <v>{</v>
      </c>
      <c r="Z305">
        <f>INDEX(script.out!N:N,results.txt!$M305)</f>
        <v>21.062976121011602</v>
      </c>
      <c r="AA305">
        <f>INDEX(script.out!O:O,results.txt!$M305)</f>
        <v>13.5</v>
      </c>
      <c r="AB305">
        <f>INDEX(script.out!P:P,results.txt!$M305)</f>
        <v>2931.78</v>
      </c>
      <c r="AC305" t="str">
        <f>INDEX(script.out!Q:Q,results.txt!$M305)</f>
        <v>}</v>
      </c>
      <c r="AD305">
        <f t="shared" si="4"/>
        <v>0</v>
      </c>
    </row>
    <row r="306" spans="1:30" x14ac:dyDescent="0.25">
      <c r="A306" s="12" t="s">
        <v>4</v>
      </c>
      <c r="B306" s="12">
        <v>-3</v>
      </c>
      <c r="C306" s="12">
        <v>0.48207100000000003</v>
      </c>
      <c r="D306" s="12">
        <v>-3.8701399999999997E-2</v>
      </c>
      <c r="E306" s="12">
        <v>0.14272000000000001</v>
      </c>
      <c r="F306" s="12">
        <v>-3</v>
      </c>
      <c r="G306" s="12">
        <v>0.11282</v>
      </c>
      <c r="H306" s="12">
        <v>144</v>
      </c>
      <c r="I306" s="12">
        <v>21.435099999999998</v>
      </c>
      <c r="J306" s="12" t="s">
        <v>3</v>
      </c>
      <c r="K306" s="12">
        <v>0</v>
      </c>
      <c r="M306">
        <f>MATCH(C306,script.out!B:B,0)</f>
        <v>538</v>
      </c>
      <c r="N306">
        <f>INDEX(script.out!B:B,results.txt!$M306)</f>
        <v>0.48207100000000003</v>
      </c>
      <c r="O306">
        <f>INDEX(script.out!C:C,results.txt!$M306)</f>
        <v>-3.8701399999999997E-2</v>
      </c>
      <c r="P306">
        <f>INDEX(script.out!D:D,results.txt!$M306)</f>
        <v>0.14272000000000001</v>
      </c>
      <c r="Q306">
        <f>INDEX(script.out!E:E,results.txt!$M306)</f>
        <v>0.112820132395655</v>
      </c>
      <c r="R306">
        <f>INDEX(script.out!F:F,results.txt!$M306)</f>
        <v>144</v>
      </c>
      <c r="S306">
        <f>INDEX(script.out!G:G,results.txt!$M306)</f>
        <v>21.435124146368899</v>
      </c>
      <c r="T306" t="str">
        <f>INDEX(script.out!H:H,results.txt!$M306)</f>
        <v>{</v>
      </c>
      <c r="U306">
        <f>INDEX(script.out!I:I,results.txt!$M306)</f>
        <v>0.68565600000000004</v>
      </c>
      <c r="V306">
        <f>INDEX(script.out!J:J,results.txt!$M306)</f>
        <v>80.649299999999997</v>
      </c>
      <c r="W306">
        <f>INDEX(script.out!K:K,results.txt!$M306)</f>
        <v>94.204800000000006</v>
      </c>
      <c r="X306" t="str">
        <f>INDEX(script.out!L:L,results.txt!$M306)</f>
        <v>}</v>
      </c>
      <c r="Y306" t="str">
        <f>INDEX(script.out!M:M,results.txt!$M306)</f>
        <v>{</v>
      </c>
      <c r="Z306">
        <f>INDEX(script.out!N:N,results.txt!$M306)</f>
        <v>9.6641129171943998</v>
      </c>
      <c r="AA306">
        <f>INDEX(script.out!O:O,results.txt!$M306)</f>
        <v>20</v>
      </c>
      <c r="AB306">
        <f>INDEX(script.out!P:P,results.txt!$M306)</f>
        <v>5610.12</v>
      </c>
      <c r="AC306" t="str">
        <f>INDEX(script.out!Q:Q,results.txt!$M306)</f>
        <v>}</v>
      </c>
      <c r="AD306">
        <f t="shared" si="4"/>
        <v>0</v>
      </c>
    </row>
    <row r="307" spans="1:30" x14ac:dyDescent="0.25">
      <c r="A307" s="12" t="s">
        <v>4</v>
      </c>
      <c r="B307" s="12">
        <v>-3</v>
      </c>
      <c r="C307" s="12">
        <v>1.0087699999999999</v>
      </c>
      <c r="D307" s="12">
        <v>-1.37647E-2</v>
      </c>
      <c r="E307" s="12">
        <v>0.62114599999999998</v>
      </c>
      <c r="F307" s="12">
        <v>-3</v>
      </c>
      <c r="G307" s="12">
        <v>1.34138</v>
      </c>
      <c r="H307" s="12">
        <v>81</v>
      </c>
      <c r="I307" s="12">
        <v>277.75400000000002</v>
      </c>
      <c r="J307" s="12" t="s">
        <v>3</v>
      </c>
      <c r="K307" s="12">
        <v>0</v>
      </c>
      <c r="M307">
        <f>MATCH(C307,script.out!B:B,0)</f>
        <v>540</v>
      </c>
      <c r="N307">
        <f>INDEX(script.out!B:B,results.txt!$M307)</f>
        <v>1.0087699999999999</v>
      </c>
      <c r="O307">
        <f>INDEX(script.out!C:C,results.txt!$M307)</f>
        <v>-1.37647E-2</v>
      </c>
      <c r="P307">
        <f>INDEX(script.out!D:D,results.txt!$M307)</f>
        <v>0.62114599999999998</v>
      </c>
      <c r="Q307">
        <f>INDEX(script.out!E:E,results.txt!$M307)</f>
        <v>1.34138315007831</v>
      </c>
      <c r="R307">
        <f>INDEX(script.out!F:F,results.txt!$M307)</f>
        <v>81</v>
      </c>
      <c r="S307">
        <f>INDEX(script.out!G:G,results.txt!$M307)</f>
        <v>277.75372959204299</v>
      </c>
      <c r="T307" t="str">
        <f>INDEX(script.out!H:H,results.txt!$M307)</f>
        <v>{</v>
      </c>
      <c r="U307">
        <f>INDEX(script.out!I:I,results.txt!$M307)</f>
        <v>1.10701</v>
      </c>
      <c r="V307">
        <f>INDEX(script.out!J:J,results.txt!$M307)</f>
        <v>93.117649999999998</v>
      </c>
      <c r="W307">
        <f>INDEX(script.out!K:K,results.txt!$M307)</f>
        <v>376.47613999999999</v>
      </c>
      <c r="X307" t="str">
        <f>INDEX(script.out!L:L,results.txt!$M307)</f>
        <v>}</v>
      </c>
      <c r="Y307" t="str">
        <f>INDEX(script.out!M:M,results.txt!$M307)</f>
        <v>{</v>
      </c>
      <c r="Z307">
        <f>INDEX(script.out!N:N,results.txt!$M307)</f>
        <v>11.158180966031701</v>
      </c>
      <c r="AA307">
        <f>INDEX(script.out!O:O,results.txt!$M307)</f>
        <v>17</v>
      </c>
      <c r="AB307">
        <f>INDEX(script.out!P:P,results.txt!$M307)</f>
        <v>1216.93</v>
      </c>
      <c r="AC307" t="str">
        <f>INDEX(script.out!Q:Q,results.txt!$M307)</f>
        <v>}</v>
      </c>
      <c r="AD307">
        <f t="shared" si="4"/>
        <v>0</v>
      </c>
    </row>
    <row r="308" spans="1:30" x14ac:dyDescent="0.25">
      <c r="A308" s="12" t="s">
        <v>4</v>
      </c>
      <c r="B308" s="12">
        <v>-3</v>
      </c>
      <c r="C308" s="12">
        <v>1.09198</v>
      </c>
      <c r="D308" s="12">
        <v>0.336783</v>
      </c>
      <c r="E308" s="12">
        <v>0.58521400000000001</v>
      </c>
      <c r="F308" s="12">
        <v>-3</v>
      </c>
      <c r="G308" s="12">
        <v>491.11200000000002</v>
      </c>
      <c r="H308" s="12">
        <v>25</v>
      </c>
      <c r="I308" s="12">
        <v>0.19220400000000001</v>
      </c>
      <c r="J308" s="12" t="s">
        <v>3</v>
      </c>
      <c r="K308" s="12">
        <v>0</v>
      </c>
      <c r="M308">
        <f>MATCH(C308,script.out!B:B,0)</f>
        <v>542</v>
      </c>
      <c r="N308">
        <f>INDEX(script.out!B:B,results.txt!$M308)</f>
        <v>1.09198</v>
      </c>
      <c r="O308">
        <f>INDEX(script.out!C:C,results.txt!$M308)</f>
        <v>0.336783</v>
      </c>
      <c r="P308">
        <f>INDEX(script.out!D:D,results.txt!$M308)</f>
        <v>0.58521400000000001</v>
      </c>
      <c r="Q308">
        <f>INDEX(script.out!E:E,results.txt!$M308)</f>
        <v>491.11191301715502</v>
      </c>
      <c r="R308">
        <f>INDEX(script.out!F:F,results.txt!$M308)</f>
        <v>25</v>
      </c>
      <c r="S308">
        <f>INDEX(script.out!G:G,results.txt!$M308)</f>
        <v>0.19220416888722</v>
      </c>
      <c r="T308" t="str">
        <f>INDEX(script.out!H:H,results.txt!$M308)</f>
        <v>{</v>
      </c>
      <c r="U308">
        <f>INDEX(script.out!I:I,results.txt!$M308)</f>
        <v>1.1735800000000001</v>
      </c>
      <c r="V308">
        <f>INDEX(script.out!J:J,results.txt!$M308)</f>
        <v>268.39150000000001</v>
      </c>
      <c r="W308">
        <f>INDEX(script.out!K:K,results.txt!$M308)</f>
        <v>355.27625999999998</v>
      </c>
      <c r="X308" t="str">
        <f>INDEX(script.out!L:L,results.txt!$M308)</f>
        <v>}</v>
      </c>
      <c r="Y308" t="str">
        <f>INDEX(script.out!M:M,results.txt!$M308)</f>
        <v>{</v>
      </c>
      <c r="Z308">
        <f>INDEX(script.out!N:N,results.txt!$M308)</f>
        <v>32.161044944161702</v>
      </c>
      <c r="AA308">
        <f>INDEX(script.out!O:O,results.txt!$M308)</f>
        <v>13</v>
      </c>
      <c r="AB308">
        <f>INDEX(script.out!P:P,results.txt!$M308)</f>
        <v>7139.98</v>
      </c>
      <c r="AC308" t="str">
        <f>INDEX(script.out!Q:Q,results.txt!$M308)</f>
        <v>}</v>
      </c>
      <c r="AD308">
        <f t="shared" si="4"/>
        <v>0</v>
      </c>
    </row>
    <row r="309" spans="1:30" x14ac:dyDescent="0.25">
      <c r="A309" s="12" t="s">
        <v>4</v>
      </c>
      <c r="B309" s="12">
        <v>-3</v>
      </c>
      <c r="C309" s="12">
        <v>0.97248500000000004</v>
      </c>
      <c r="D309" s="12">
        <v>0.105519</v>
      </c>
      <c r="E309" s="12">
        <v>0.585781</v>
      </c>
      <c r="F309" s="12">
        <v>-3</v>
      </c>
      <c r="G309" s="12">
        <v>68.972899999999996</v>
      </c>
      <c r="H309" s="12">
        <v>42.25</v>
      </c>
      <c r="I309" s="12">
        <v>112.02800000000001</v>
      </c>
      <c r="J309" s="12" t="s">
        <v>3</v>
      </c>
      <c r="K309" s="12">
        <v>0</v>
      </c>
      <c r="M309">
        <f>MATCH(C309,script.out!B:B,0)</f>
        <v>543</v>
      </c>
      <c r="N309">
        <f>INDEX(script.out!B:B,results.txt!$M309)</f>
        <v>0.97248500000000004</v>
      </c>
      <c r="O309">
        <f>INDEX(script.out!C:C,results.txt!$M309)</f>
        <v>0.105519</v>
      </c>
      <c r="P309">
        <f>INDEX(script.out!D:D,results.txt!$M309)</f>
        <v>0.585781</v>
      </c>
      <c r="Q309">
        <f>INDEX(script.out!E:E,results.txt!$M309)</f>
        <v>68.972946876563597</v>
      </c>
      <c r="R309">
        <f>INDEX(script.out!F:F,results.txt!$M309)</f>
        <v>42.25</v>
      </c>
      <c r="S309">
        <f>INDEX(script.out!G:G,results.txt!$M309)</f>
        <v>112.028015450553</v>
      </c>
      <c r="T309" t="str">
        <f>INDEX(script.out!H:H,results.txt!$M309)</f>
        <v>{</v>
      </c>
      <c r="U309">
        <f>INDEX(script.out!I:I,results.txt!$M309)</f>
        <v>1.0779879999999999</v>
      </c>
      <c r="V309">
        <f>INDEX(script.out!J:J,results.txt!$M309)</f>
        <v>152.7595</v>
      </c>
      <c r="W309">
        <f>INDEX(script.out!K:K,results.txt!$M309)</f>
        <v>355.61079000000001</v>
      </c>
      <c r="X309" t="str">
        <f>INDEX(script.out!L:L,results.txt!$M309)</f>
        <v>}</v>
      </c>
      <c r="Y309" t="str">
        <f>INDEX(script.out!M:M,results.txt!$M309)</f>
        <v>{</v>
      </c>
      <c r="Z309">
        <f>INDEX(script.out!N:N,results.txt!$M309)</f>
        <v>18.3049952966009</v>
      </c>
      <c r="AA309">
        <f>INDEX(script.out!O:O,results.txt!$M309)</f>
        <v>14.5</v>
      </c>
      <c r="AB309">
        <f>INDEX(script.out!P:P,results.txt!$M309)</f>
        <v>3436.72</v>
      </c>
      <c r="AC309" t="str">
        <f>INDEX(script.out!Q:Q,results.txt!$M309)</f>
        <v>}</v>
      </c>
      <c r="AD309">
        <f t="shared" si="4"/>
        <v>0</v>
      </c>
    </row>
    <row r="310" spans="1:30" x14ac:dyDescent="0.25">
      <c r="A310" s="12" t="s">
        <v>4</v>
      </c>
      <c r="B310" s="12">
        <v>-3</v>
      </c>
      <c r="C310" s="12">
        <v>0.121097</v>
      </c>
      <c r="D310" s="12">
        <v>-2.8728400000000001E-2</v>
      </c>
      <c r="E310" s="12">
        <v>0.222551</v>
      </c>
      <c r="F310" s="12">
        <v>-3</v>
      </c>
      <c r="G310" s="12">
        <v>6.8455199999999994E-2</v>
      </c>
      <c r="H310" s="12">
        <v>132.25</v>
      </c>
      <c r="I310" s="12">
        <v>137.191</v>
      </c>
      <c r="J310" s="12" t="s">
        <v>3</v>
      </c>
      <c r="K310" s="12">
        <v>0</v>
      </c>
      <c r="M310">
        <f>MATCH(C310,script.out!B:B,0)</f>
        <v>545</v>
      </c>
      <c r="N310">
        <f>INDEX(script.out!B:B,results.txt!$M310)</f>
        <v>0.121097</v>
      </c>
      <c r="O310">
        <f>INDEX(script.out!C:C,results.txt!$M310)</f>
        <v>-2.8728400000000001E-2</v>
      </c>
      <c r="P310">
        <f>INDEX(script.out!D:D,results.txt!$M310)</f>
        <v>0.222551</v>
      </c>
      <c r="Q310">
        <f>INDEX(script.out!E:E,results.txt!$M310)</f>
        <v>6.8455217753633904E-2</v>
      </c>
      <c r="R310">
        <f>INDEX(script.out!F:F,results.txt!$M310)</f>
        <v>132.25</v>
      </c>
      <c r="S310">
        <f>INDEX(script.out!G:G,results.txt!$M310)</f>
        <v>137.19083907749999</v>
      </c>
      <c r="T310" t="str">
        <f>INDEX(script.out!H:H,results.txt!$M310)</f>
        <v>{</v>
      </c>
      <c r="U310">
        <f>INDEX(script.out!I:I,results.txt!$M310)</f>
        <v>0.39687699999999998</v>
      </c>
      <c r="V310">
        <f>INDEX(script.out!J:J,results.txt!$M310)</f>
        <v>85.635800000000003</v>
      </c>
      <c r="W310">
        <f>INDEX(script.out!K:K,results.txt!$M310)</f>
        <v>141.30509000000001</v>
      </c>
      <c r="X310" t="str">
        <f>INDEX(script.out!L:L,results.txt!$M310)</f>
        <v>}</v>
      </c>
      <c r="Y310" t="str">
        <f>INDEX(script.out!M:M,results.txt!$M310)</f>
        <v>{</v>
      </c>
      <c r="Z310">
        <f>INDEX(script.out!N:N,results.txt!$M310)</f>
        <v>10.2616394804948</v>
      </c>
      <c r="AA310">
        <f>INDEX(script.out!O:O,results.txt!$M310)</f>
        <v>19.5</v>
      </c>
      <c r="AB310">
        <f>INDEX(script.out!P:P,results.txt!$M310)</f>
        <v>3024.81</v>
      </c>
      <c r="AC310" t="str">
        <f>INDEX(script.out!Q:Q,results.txt!$M310)</f>
        <v>}</v>
      </c>
      <c r="AD310">
        <f t="shared" si="4"/>
        <v>0</v>
      </c>
    </row>
    <row r="311" spans="1:30" x14ac:dyDescent="0.25">
      <c r="A311" s="12" t="s">
        <v>4</v>
      </c>
      <c r="B311" s="12">
        <v>-3</v>
      </c>
      <c r="C311" s="12">
        <v>0.97855899999999996</v>
      </c>
      <c r="D311" s="12">
        <v>9.5137700000000006E-2</v>
      </c>
      <c r="E311" s="12">
        <v>0.71626000000000001</v>
      </c>
      <c r="F311" s="12">
        <v>-3</v>
      </c>
      <c r="G311" s="12">
        <v>59.028599999999997</v>
      </c>
      <c r="H311" s="12">
        <v>42.25</v>
      </c>
      <c r="I311" s="12">
        <v>154.89099999999999</v>
      </c>
      <c r="J311" s="12" t="s">
        <v>3</v>
      </c>
      <c r="K311" s="12">
        <v>0</v>
      </c>
      <c r="M311">
        <f>MATCH(C311,script.out!B:B,0)</f>
        <v>566</v>
      </c>
      <c r="N311">
        <f>INDEX(script.out!B:B,results.txt!$M311)</f>
        <v>0.97855899999999996</v>
      </c>
      <c r="O311">
        <f>INDEX(script.out!C:C,results.txt!$M311)</f>
        <v>9.5137700000000006E-2</v>
      </c>
      <c r="P311">
        <f>INDEX(script.out!D:D,results.txt!$M311)</f>
        <v>0.71626000000000001</v>
      </c>
      <c r="Q311">
        <f>INDEX(script.out!E:E,results.txt!$M311)</f>
        <v>59.028576178408102</v>
      </c>
      <c r="R311">
        <f>INDEX(script.out!F:F,results.txt!$M311)</f>
        <v>42.25</v>
      </c>
      <c r="S311">
        <f>INDEX(script.out!G:G,results.txt!$M311)</f>
        <v>154.89064073634799</v>
      </c>
      <c r="T311" t="str">
        <f>INDEX(script.out!H:H,results.txt!$M311)</f>
        <v>{</v>
      </c>
      <c r="U311">
        <f>INDEX(script.out!I:I,results.txt!$M311)</f>
        <v>1.0828469999999999</v>
      </c>
      <c r="V311">
        <f>INDEX(script.out!J:J,results.txt!$M311)</f>
        <v>147.56885</v>
      </c>
      <c r="W311">
        <f>INDEX(script.out!K:K,results.txt!$M311)</f>
        <v>432.59339999999997</v>
      </c>
      <c r="X311" t="str">
        <f>INDEX(script.out!L:L,results.txt!$M311)</f>
        <v>}</v>
      </c>
      <c r="Y311" t="str">
        <f>INDEX(script.out!M:M,results.txt!$M311)</f>
        <v>{</v>
      </c>
      <c r="Z311">
        <f>INDEX(script.out!N:N,results.txt!$M311)</f>
        <v>17.683005673459299</v>
      </c>
      <c r="AA311">
        <f>INDEX(script.out!O:O,results.txt!$M311)</f>
        <v>14.5</v>
      </c>
      <c r="AB311">
        <f>INDEX(script.out!P:P,results.txt!$M311)</f>
        <v>2757.39</v>
      </c>
      <c r="AC311" t="str">
        <f>INDEX(script.out!Q:Q,results.txt!$M311)</f>
        <v>}</v>
      </c>
      <c r="AD311">
        <f t="shared" si="4"/>
        <v>0</v>
      </c>
    </row>
    <row r="312" spans="1:30" x14ac:dyDescent="0.25">
      <c r="A312" s="12" t="s">
        <v>4</v>
      </c>
      <c r="B312" s="12">
        <v>-3</v>
      </c>
      <c r="C312" s="12">
        <v>0.56523000000000001</v>
      </c>
      <c r="D312" s="12">
        <v>9.6899600000000002E-2</v>
      </c>
      <c r="E312" s="12">
        <v>0.30128700000000003</v>
      </c>
      <c r="F312" s="12">
        <v>-3</v>
      </c>
      <c r="G312" s="12">
        <v>60.661799999999999</v>
      </c>
      <c r="H312" s="12">
        <v>72.25</v>
      </c>
      <c r="I312" s="12">
        <v>0.56192500000000001</v>
      </c>
      <c r="J312" s="12" t="s">
        <v>3</v>
      </c>
      <c r="K312" s="12">
        <v>0</v>
      </c>
      <c r="M312">
        <f>MATCH(C312,script.out!B:B,0)</f>
        <v>575</v>
      </c>
      <c r="N312">
        <f>INDEX(script.out!B:B,results.txt!$M312)</f>
        <v>0.56523000000000001</v>
      </c>
      <c r="O312">
        <f>INDEX(script.out!C:C,results.txt!$M312)</f>
        <v>9.6899600000000002E-2</v>
      </c>
      <c r="P312">
        <f>INDEX(script.out!D:D,results.txt!$M312)</f>
        <v>0.30128700000000003</v>
      </c>
      <c r="Q312">
        <f>INDEX(script.out!E:E,results.txt!$M312)</f>
        <v>60.661805500033502</v>
      </c>
      <c r="R312">
        <f>INDEX(script.out!F:F,results.txt!$M312)</f>
        <v>72.25</v>
      </c>
      <c r="S312">
        <f>INDEX(script.out!G:G,results.txt!$M312)</f>
        <v>0.56192480465378103</v>
      </c>
      <c r="T312" t="str">
        <f>INDEX(script.out!H:H,results.txt!$M312)</f>
        <v>{</v>
      </c>
      <c r="U312">
        <f>INDEX(script.out!I:I,results.txt!$M312)</f>
        <v>0.75217999999999996</v>
      </c>
      <c r="V312">
        <f>INDEX(script.out!J:J,results.txt!$M312)</f>
        <v>148.44980000000001</v>
      </c>
      <c r="W312">
        <f>INDEX(script.out!K:K,results.txt!$M312)</f>
        <v>187.75933000000001</v>
      </c>
      <c r="X312" t="str">
        <f>INDEX(script.out!L:L,results.txt!$M312)</f>
        <v>}</v>
      </c>
      <c r="Y312" t="str">
        <f>INDEX(script.out!M:M,results.txt!$M312)</f>
        <v>{</v>
      </c>
      <c r="Z312">
        <f>INDEX(script.out!N:N,results.txt!$M312)</f>
        <v>17.788568899357099</v>
      </c>
      <c r="AA312">
        <f>INDEX(script.out!O:O,results.txt!$M312)</f>
        <v>16.5</v>
      </c>
      <c r="AB312">
        <f>INDEX(script.out!P:P,results.txt!$M312)</f>
        <v>7026.39</v>
      </c>
      <c r="AC312" t="str">
        <f>INDEX(script.out!Q:Q,results.txt!$M312)</f>
        <v>}</v>
      </c>
      <c r="AD312">
        <f t="shared" si="4"/>
        <v>0</v>
      </c>
    </row>
    <row r="313" spans="1:30" x14ac:dyDescent="0.25">
      <c r="A313" s="12" t="s">
        <v>4</v>
      </c>
      <c r="B313" s="12">
        <v>-3</v>
      </c>
      <c r="C313" s="12">
        <v>1.0621799999999999</v>
      </c>
      <c r="D313" s="12">
        <v>-2.95004E-2</v>
      </c>
      <c r="E313" s="12">
        <v>0.59887699999999999</v>
      </c>
      <c r="F313" s="12">
        <v>-3</v>
      </c>
      <c r="G313" s="12">
        <v>4.6390899999999999E-2</v>
      </c>
      <c r="H313" s="12">
        <v>81</v>
      </c>
      <c r="I313" s="12">
        <v>284.12200000000001</v>
      </c>
      <c r="J313" s="12" t="s">
        <v>3</v>
      </c>
      <c r="K313" s="12">
        <v>0</v>
      </c>
      <c r="M313">
        <f>MATCH(C313,script.out!B:B,0)</f>
        <v>578</v>
      </c>
      <c r="N313">
        <f>INDEX(script.out!B:B,results.txt!$M313)</f>
        <v>1.0621799999999999</v>
      </c>
      <c r="O313">
        <f>INDEX(script.out!C:C,results.txt!$M313)</f>
        <v>-2.95004E-2</v>
      </c>
      <c r="P313">
        <f>INDEX(script.out!D:D,results.txt!$M313)</f>
        <v>0.59887699999999999</v>
      </c>
      <c r="Q313">
        <f>INDEX(script.out!E:E,results.txt!$M313)</f>
        <v>4.6390932641731303E-2</v>
      </c>
      <c r="R313">
        <f>INDEX(script.out!F:F,results.txt!$M313)</f>
        <v>81</v>
      </c>
      <c r="S313">
        <f>INDEX(script.out!G:G,results.txt!$M313)</f>
        <v>284.12196515744</v>
      </c>
      <c r="T313" t="str">
        <f>INDEX(script.out!H:H,results.txt!$M313)</f>
        <v>{</v>
      </c>
      <c r="U313">
        <f>INDEX(script.out!I:I,results.txt!$M313)</f>
        <v>1.14974</v>
      </c>
      <c r="V313">
        <f>INDEX(script.out!J:J,results.txt!$M313)</f>
        <v>85.249799999999993</v>
      </c>
      <c r="W313">
        <f>INDEX(script.out!K:K,results.txt!$M313)</f>
        <v>363.33742999999998</v>
      </c>
      <c r="X313" t="str">
        <f>INDEX(script.out!L:L,results.txt!$M313)</f>
        <v>}</v>
      </c>
      <c r="Y313" t="str">
        <f>INDEX(script.out!M:M,results.txt!$M313)</f>
        <v>{</v>
      </c>
      <c r="Z313">
        <f>INDEX(script.out!N:N,results.txt!$M313)</f>
        <v>10.21538554418</v>
      </c>
      <c r="AA313">
        <f>INDEX(script.out!O:O,results.txt!$M313)</f>
        <v>17</v>
      </c>
      <c r="AB313">
        <f>INDEX(script.out!P:P,results.txt!$M313)</f>
        <v>1147.5899999999999</v>
      </c>
      <c r="AC313" t="str">
        <f>INDEX(script.out!Q:Q,results.txt!$M313)</f>
        <v>}</v>
      </c>
      <c r="AD313">
        <f t="shared" si="4"/>
        <v>0</v>
      </c>
    </row>
    <row r="314" spans="1:30" x14ac:dyDescent="0.25">
      <c r="A314" s="12" t="s">
        <v>4</v>
      </c>
      <c r="B314" s="12">
        <v>-3</v>
      </c>
      <c r="C314" s="12">
        <v>0.98132900000000001</v>
      </c>
      <c r="D314" s="12">
        <v>0.30221900000000002</v>
      </c>
      <c r="E314" s="12">
        <v>0.60231999999999997</v>
      </c>
      <c r="F314" s="12">
        <v>-3</v>
      </c>
      <c r="G314" s="12">
        <v>403.61500000000001</v>
      </c>
      <c r="H314" s="12">
        <v>30.25</v>
      </c>
      <c r="I314" s="12">
        <v>3.5229699999999999</v>
      </c>
      <c r="J314" s="12" t="s">
        <v>3</v>
      </c>
      <c r="K314" s="12">
        <v>0</v>
      </c>
      <c r="M314">
        <f>MATCH(C314,script.out!B:B,0)</f>
        <v>581</v>
      </c>
      <c r="N314">
        <f>INDEX(script.out!B:B,results.txt!$M314)</f>
        <v>0.98132900000000001</v>
      </c>
      <c r="O314">
        <f>INDEX(script.out!C:C,results.txt!$M314)</f>
        <v>0.30221900000000002</v>
      </c>
      <c r="P314">
        <f>INDEX(script.out!D:D,results.txt!$M314)</f>
        <v>0.60231999999999997</v>
      </c>
      <c r="Q314">
        <f>INDEX(script.out!E:E,results.txt!$M314)</f>
        <v>403.61463927497999</v>
      </c>
      <c r="R314">
        <f>INDEX(script.out!F:F,results.txt!$M314)</f>
        <v>30.25</v>
      </c>
      <c r="S314">
        <f>INDEX(script.out!G:G,results.txt!$M314)</f>
        <v>3.5229747277162602</v>
      </c>
      <c r="T314" t="str">
        <f>INDEX(script.out!H:H,results.txt!$M314)</f>
        <v>{</v>
      </c>
      <c r="U314">
        <f>INDEX(script.out!I:I,results.txt!$M314)</f>
        <v>1.0850630000000001</v>
      </c>
      <c r="V314">
        <f>INDEX(script.out!J:J,results.txt!$M314)</f>
        <v>251.1095</v>
      </c>
      <c r="W314">
        <f>INDEX(script.out!K:K,results.txt!$M314)</f>
        <v>365.36880000000002</v>
      </c>
      <c r="X314" t="str">
        <f>INDEX(script.out!L:L,results.txt!$M314)</f>
        <v>}</v>
      </c>
      <c r="Y314" t="str">
        <f>INDEX(script.out!M:M,results.txt!$M314)</f>
        <v>{</v>
      </c>
      <c r="Z314">
        <f>INDEX(script.out!N:N,results.txt!$M314)</f>
        <v>30.090162748842499</v>
      </c>
      <c r="AA314">
        <f>INDEX(script.out!O:O,results.txt!$M314)</f>
        <v>13.5</v>
      </c>
      <c r="AB314">
        <f>INDEX(script.out!P:P,results.txt!$M314)</f>
        <v>6614.91</v>
      </c>
      <c r="AC314" t="str">
        <f>INDEX(script.out!Q:Q,results.txt!$M314)</f>
        <v>}</v>
      </c>
      <c r="AD314">
        <f t="shared" si="4"/>
        <v>0</v>
      </c>
    </row>
    <row r="315" spans="1:30" x14ac:dyDescent="0.25">
      <c r="A315" s="12" t="s">
        <v>4</v>
      </c>
      <c r="B315" s="12">
        <v>-3</v>
      </c>
      <c r="C315" s="12">
        <v>0.54321600000000003</v>
      </c>
      <c r="D315" s="12">
        <v>5.3594799999999998E-2</v>
      </c>
      <c r="E315" s="12">
        <v>0.25451499999999999</v>
      </c>
      <c r="F315" s="12">
        <v>-3</v>
      </c>
      <c r="G315" s="12">
        <v>26.977499999999999</v>
      </c>
      <c r="H315" s="12">
        <v>90.25</v>
      </c>
      <c r="I315" s="12">
        <v>13.946</v>
      </c>
      <c r="J315" s="12" t="s">
        <v>3</v>
      </c>
      <c r="K315" s="12">
        <v>0</v>
      </c>
      <c r="M315">
        <f>MATCH(C315,script.out!B:B,0)</f>
        <v>590</v>
      </c>
      <c r="N315">
        <f>INDEX(script.out!B:B,results.txt!$M315)</f>
        <v>0.54321600000000003</v>
      </c>
      <c r="O315">
        <f>INDEX(script.out!C:C,results.txt!$M315)</f>
        <v>5.3594799999999998E-2</v>
      </c>
      <c r="P315">
        <f>INDEX(script.out!D:D,results.txt!$M315)</f>
        <v>0.25451499999999999</v>
      </c>
      <c r="Q315">
        <f>INDEX(script.out!E:E,results.txt!$M315)</f>
        <v>26.9774977937107</v>
      </c>
      <c r="R315">
        <f>INDEX(script.out!F:F,results.txt!$M315)</f>
        <v>90.25</v>
      </c>
      <c r="S315">
        <f>INDEX(script.out!G:G,results.txt!$M315)</f>
        <v>13.9460298359917</v>
      </c>
      <c r="T315" t="str">
        <f>INDEX(script.out!H:H,results.txt!$M315)</f>
        <v>{</v>
      </c>
      <c r="U315">
        <f>INDEX(script.out!I:I,results.txt!$M315)</f>
        <v>0.734572</v>
      </c>
      <c r="V315">
        <f>INDEX(script.out!J:J,results.txt!$M315)</f>
        <v>126.7974</v>
      </c>
      <c r="W315">
        <f>INDEX(script.out!K:K,results.txt!$M315)</f>
        <v>160.16385</v>
      </c>
      <c r="X315" t="str">
        <f>INDEX(script.out!L:L,results.txt!$M315)</f>
        <v>}</v>
      </c>
      <c r="Y315" t="str">
        <f>INDEX(script.out!M:M,results.txt!$M315)</f>
        <v>{</v>
      </c>
      <c r="Z315">
        <f>INDEX(script.out!N:N,results.txt!$M315)</f>
        <v>15.1939866955654</v>
      </c>
      <c r="AA315">
        <f>INDEX(script.out!O:O,results.txt!$M315)</f>
        <v>17.5</v>
      </c>
      <c r="AB315">
        <f>INDEX(script.out!P:P,results.txt!$M315)</f>
        <v>5936.93</v>
      </c>
      <c r="AC315" t="str">
        <f>INDEX(script.out!Q:Q,results.txt!$M315)</f>
        <v>}</v>
      </c>
      <c r="AD315">
        <f t="shared" si="4"/>
        <v>0</v>
      </c>
    </row>
    <row r="316" spans="1:30" x14ac:dyDescent="0.25">
      <c r="A316" s="12" t="s">
        <v>4</v>
      </c>
      <c r="B316" s="12">
        <v>-3</v>
      </c>
      <c r="C316" s="12">
        <v>0.44580399999999998</v>
      </c>
      <c r="D316" s="12">
        <v>3.7364399999999999E-2</v>
      </c>
      <c r="E316" s="12">
        <v>0.17447599999999999</v>
      </c>
      <c r="F316" s="12">
        <v>-3</v>
      </c>
      <c r="G316" s="12">
        <v>17.8215</v>
      </c>
      <c r="H316" s="12">
        <v>110.25</v>
      </c>
      <c r="I316" s="12">
        <v>2.88255E-2</v>
      </c>
      <c r="J316" s="12" t="s">
        <v>3</v>
      </c>
      <c r="K316" s="12">
        <v>0</v>
      </c>
      <c r="M316">
        <f>MATCH(C316,script.out!B:B,0)</f>
        <v>592</v>
      </c>
      <c r="N316">
        <f>INDEX(script.out!B:B,results.txt!$M316)</f>
        <v>0.44580399999999998</v>
      </c>
      <c r="O316">
        <f>INDEX(script.out!C:C,results.txt!$M316)</f>
        <v>3.7364399999999999E-2</v>
      </c>
      <c r="P316">
        <f>INDEX(script.out!D:D,results.txt!$M316)</f>
        <v>0.17447599999999999</v>
      </c>
      <c r="Q316">
        <f>INDEX(script.out!E:E,results.txt!$M316)</f>
        <v>17.821497975026499</v>
      </c>
      <c r="R316">
        <f>INDEX(script.out!F:F,results.txt!$M316)</f>
        <v>110.25</v>
      </c>
      <c r="S316">
        <f>INDEX(script.out!G:G,results.txt!$M316)</f>
        <v>2.8825527491086501E-2</v>
      </c>
      <c r="T316" t="str">
        <f>INDEX(script.out!H:H,results.txt!$M316)</f>
        <v>{</v>
      </c>
      <c r="U316">
        <f>INDEX(script.out!I:I,results.txt!$M316)</f>
        <v>0.65664299999999998</v>
      </c>
      <c r="V316">
        <f>INDEX(script.out!J:J,results.txt!$M316)</f>
        <v>118.68219999999999</v>
      </c>
      <c r="W316">
        <f>INDEX(script.out!K:K,results.txt!$M316)</f>
        <v>112.94083999999999</v>
      </c>
      <c r="X316" t="str">
        <f>INDEX(script.out!L:L,results.txt!$M316)</f>
        <v>}</v>
      </c>
      <c r="Y316" t="str">
        <f>INDEX(script.out!M:M,results.txt!$M316)</f>
        <v>{</v>
      </c>
      <c r="Z316">
        <f>INDEX(script.out!N:N,results.txt!$M316)</f>
        <v>14.2215516075285</v>
      </c>
      <c r="AA316">
        <f>INDEX(script.out!O:O,results.txt!$M316)</f>
        <v>18.5</v>
      </c>
      <c r="AB316">
        <f>INDEX(script.out!P:P,results.txt!$M316)</f>
        <v>7238.03</v>
      </c>
      <c r="AC316" t="str">
        <f>INDEX(script.out!Q:Q,results.txt!$M316)</f>
        <v>}</v>
      </c>
      <c r="AD316">
        <f t="shared" si="4"/>
        <v>0</v>
      </c>
    </row>
    <row r="317" spans="1:30" x14ac:dyDescent="0.25">
      <c r="A317" s="12" t="s">
        <v>4</v>
      </c>
      <c r="B317" s="12">
        <v>-3</v>
      </c>
      <c r="C317" s="12">
        <v>0.81321299999999996</v>
      </c>
      <c r="D317" s="12">
        <v>9.8258499999999999E-2</v>
      </c>
      <c r="E317" s="12">
        <v>0.33741199999999999</v>
      </c>
      <c r="F317" s="12">
        <v>-3</v>
      </c>
      <c r="G317" s="12">
        <v>61.936700000000002</v>
      </c>
      <c r="H317" s="12">
        <v>56.25</v>
      </c>
      <c r="I317" s="12">
        <v>25.4389</v>
      </c>
      <c r="J317" s="12" t="s">
        <v>3</v>
      </c>
      <c r="K317" s="12">
        <v>0</v>
      </c>
      <c r="M317">
        <f>MATCH(C317,script.out!B:B,0)</f>
        <v>593</v>
      </c>
      <c r="N317">
        <f>INDEX(script.out!B:B,results.txt!$M317)</f>
        <v>0.81321299999999996</v>
      </c>
      <c r="O317">
        <f>INDEX(script.out!C:C,results.txt!$M317)</f>
        <v>9.8258499999999999E-2</v>
      </c>
      <c r="P317">
        <f>INDEX(script.out!D:D,results.txt!$M317)</f>
        <v>0.33741199999999999</v>
      </c>
      <c r="Q317">
        <f>INDEX(script.out!E:E,results.txt!$M317)</f>
        <v>61.936689270979002</v>
      </c>
      <c r="R317">
        <f>INDEX(script.out!F:F,results.txt!$M317)</f>
        <v>56.25</v>
      </c>
      <c r="S317">
        <f>INDEX(script.out!G:G,results.txt!$M317)</f>
        <v>25.438895871645698</v>
      </c>
      <c r="T317" t="str">
        <f>INDEX(script.out!H:H,results.txt!$M317)</f>
        <v>{</v>
      </c>
      <c r="U317">
        <f>INDEX(script.out!I:I,results.txt!$M317)</f>
        <v>0.95057000000000003</v>
      </c>
      <c r="V317">
        <f>INDEX(script.out!J:J,results.txt!$M317)</f>
        <v>149.12925000000001</v>
      </c>
      <c r="W317">
        <f>INDEX(script.out!K:K,results.txt!$M317)</f>
        <v>209.07308</v>
      </c>
      <c r="X317" t="str">
        <f>INDEX(script.out!L:L,results.txt!$M317)</f>
        <v>}</v>
      </c>
      <c r="Y317" t="str">
        <f>INDEX(script.out!M:M,results.txt!$M317)</f>
        <v>{</v>
      </c>
      <c r="Z317">
        <f>INDEX(script.out!N:N,results.txt!$M317)</f>
        <v>17.869986611867802</v>
      </c>
      <c r="AA317">
        <f>INDEX(script.out!O:O,results.txt!$M317)</f>
        <v>15.5</v>
      </c>
      <c r="AB317">
        <f>INDEX(script.out!P:P,results.txt!$M317)</f>
        <v>5459.05</v>
      </c>
      <c r="AC317" t="str">
        <f>INDEX(script.out!Q:Q,results.txt!$M317)</f>
        <v>}</v>
      </c>
      <c r="AD317">
        <f t="shared" si="4"/>
        <v>0</v>
      </c>
    </row>
    <row r="318" spans="1:30" x14ac:dyDescent="0.25">
      <c r="A318" s="12" t="s">
        <v>4</v>
      </c>
      <c r="B318" s="12">
        <v>-3</v>
      </c>
      <c r="C318" s="12">
        <v>0.91211900000000001</v>
      </c>
      <c r="D318" s="12">
        <v>6.0631900000000002E-2</v>
      </c>
      <c r="E318" s="12">
        <v>0.552458</v>
      </c>
      <c r="F318" s="12">
        <v>-3</v>
      </c>
      <c r="G318" s="12">
        <v>31.5351</v>
      </c>
      <c r="H318" s="12">
        <v>56.25</v>
      </c>
      <c r="I318" s="12">
        <v>169.7</v>
      </c>
      <c r="J318" s="12" t="s">
        <v>3</v>
      </c>
      <c r="K318" s="12">
        <v>0</v>
      </c>
      <c r="M318">
        <f>MATCH(C318,script.out!B:B,0)</f>
        <v>595</v>
      </c>
      <c r="N318">
        <f>INDEX(script.out!B:B,results.txt!$M318)</f>
        <v>0.91211900000000001</v>
      </c>
      <c r="O318">
        <f>INDEX(script.out!C:C,results.txt!$M318)</f>
        <v>6.0631900000000002E-2</v>
      </c>
      <c r="P318">
        <f>INDEX(script.out!D:D,results.txt!$M318)</f>
        <v>0.552458</v>
      </c>
      <c r="Q318">
        <f>INDEX(script.out!E:E,results.txt!$M318)</f>
        <v>31.535081261781301</v>
      </c>
      <c r="R318">
        <f>INDEX(script.out!F:F,results.txt!$M318)</f>
        <v>56.25</v>
      </c>
      <c r="S318">
        <f>INDEX(script.out!G:G,results.txt!$M318)</f>
        <v>169.69951687821299</v>
      </c>
      <c r="T318" t="str">
        <f>INDEX(script.out!H:H,results.txt!$M318)</f>
        <v>{</v>
      </c>
      <c r="U318">
        <f>INDEX(script.out!I:I,results.txt!$M318)</f>
        <v>1.029695</v>
      </c>
      <c r="V318">
        <f>INDEX(script.out!J:J,results.txt!$M318)</f>
        <v>130.31594999999999</v>
      </c>
      <c r="W318">
        <f>INDEX(script.out!K:K,results.txt!$M318)</f>
        <v>335.95022</v>
      </c>
      <c r="X318" t="str">
        <f>INDEX(script.out!L:L,results.txt!$M318)</f>
        <v>}</v>
      </c>
      <c r="Y318" t="str">
        <f>INDEX(script.out!M:M,results.txt!$M318)</f>
        <v>{</v>
      </c>
      <c r="Z318">
        <f>INDEX(script.out!N:N,results.txt!$M318)</f>
        <v>15.6156104976913</v>
      </c>
      <c r="AA318">
        <f>INDEX(script.out!O:O,results.txt!$M318)</f>
        <v>15.5</v>
      </c>
      <c r="AB318">
        <f>INDEX(script.out!P:P,results.txt!$M318)</f>
        <v>2545.19</v>
      </c>
      <c r="AC318" t="str">
        <f>INDEX(script.out!Q:Q,results.txt!$M318)</f>
        <v>}</v>
      </c>
      <c r="AD318">
        <f t="shared" si="4"/>
        <v>0</v>
      </c>
    </row>
    <row r="319" spans="1:30" x14ac:dyDescent="0.25">
      <c r="A319" s="12" t="s">
        <v>4</v>
      </c>
      <c r="B319" s="12">
        <v>-3</v>
      </c>
      <c r="C319" s="12">
        <v>0.823766</v>
      </c>
      <c r="D319" s="12">
        <v>7.7853599999999995E-2</v>
      </c>
      <c r="E319" s="12">
        <v>0.658609</v>
      </c>
      <c r="F319" s="12">
        <v>-3</v>
      </c>
      <c r="G319" s="12">
        <v>44.188400000000001</v>
      </c>
      <c r="H319" s="12">
        <v>56.25</v>
      </c>
      <c r="I319" s="12">
        <v>143.608</v>
      </c>
      <c r="J319" s="12" t="s">
        <v>3</v>
      </c>
      <c r="K319" s="12">
        <v>0</v>
      </c>
      <c r="M319">
        <f>MATCH(C319,script.out!B:B,0)</f>
        <v>597</v>
      </c>
      <c r="N319">
        <f>INDEX(script.out!B:B,results.txt!$M319)</f>
        <v>0.823766</v>
      </c>
      <c r="O319">
        <f>INDEX(script.out!C:C,results.txt!$M319)</f>
        <v>7.7853599999999995E-2</v>
      </c>
      <c r="P319">
        <f>INDEX(script.out!D:D,results.txt!$M319)</f>
        <v>0.658609</v>
      </c>
      <c r="Q319">
        <f>INDEX(script.out!E:E,results.txt!$M319)</f>
        <v>44.188442008211801</v>
      </c>
      <c r="R319">
        <f>INDEX(script.out!F:F,results.txt!$M319)</f>
        <v>56.25</v>
      </c>
      <c r="S319">
        <f>INDEX(script.out!G:G,results.txt!$M319)</f>
        <v>143.60771957890699</v>
      </c>
      <c r="T319" t="str">
        <f>INDEX(script.out!H:H,results.txt!$M319)</f>
        <v>{</v>
      </c>
      <c r="U319">
        <f>INDEX(script.out!I:I,results.txt!$M319)</f>
        <v>0.95901199999999998</v>
      </c>
      <c r="V319">
        <f>INDEX(script.out!J:J,results.txt!$M319)</f>
        <v>138.92679999999999</v>
      </c>
      <c r="W319">
        <f>INDEX(script.out!K:K,results.txt!$M319)</f>
        <v>398.57931000000002</v>
      </c>
      <c r="X319" t="str">
        <f>INDEX(script.out!L:L,results.txt!$M319)</f>
        <v>}</v>
      </c>
      <c r="Y319" t="str">
        <f>INDEX(script.out!M:M,results.txt!$M319)</f>
        <v>{</v>
      </c>
      <c r="Z319">
        <f>INDEX(script.out!N:N,results.txt!$M319)</f>
        <v>16.647438755506599</v>
      </c>
      <c r="AA319">
        <f>INDEX(script.out!O:O,results.txt!$M319)</f>
        <v>15.5</v>
      </c>
      <c r="AB319">
        <f>INDEX(script.out!P:P,results.txt!$M319)</f>
        <v>2925.97</v>
      </c>
      <c r="AC319" t="str">
        <f>INDEX(script.out!Q:Q,results.txt!$M319)</f>
        <v>}</v>
      </c>
      <c r="AD319">
        <f t="shared" si="4"/>
        <v>0</v>
      </c>
    </row>
    <row r="320" spans="1:30" x14ac:dyDescent="0.25">
      <c r="A320" s="12" t="s">
        <v>4</v>
      </c>
      <c r="B320" s="12">
        <v>-3</v>
      </c>
      <c r="C320" s="12">
        <v>1.1364099999999999</v>
      </c>
      <c r="D320" s="12">
        <v>5.5244500000000002E-2</v>
      </c>
      <c r="E320" s="12">
        <v>0.63690199999999997</v>
      </c>
      <c r="F320" s="12">
        <v>-3</v>
      </c>
      <c r="G320" s="12">
        <v>28.013999999999999</v>
      </c>
      <c r="H320" s="12">
        <v>42.25</v>
      </c>
      <c r="I320" s="12">
        <v>206.87100000000001</v>
      </c>
      <c r="J320" s="12" t="s">
        <v>3</v>
      </c>
      <c r="K320" s="12">
        <v>0</v>
      </c>
      <c r="M320">
        <f>MATCH(C320,script.out!B:B,0)</f>
        <v>600</v>
      </c>
      <c r="N320">
        <f>INDEX(script.out!B:B,results.txt!$M320)</f>
        <v>1.1364099999999999</v>
      </c>
      <c r="O320">
        <f>INDEX(script.out!C:C,results.txt!$M320)</f>
        <v>5.5244500000000002E-2</v>
      </c>
      <c r="P320">
        <f>INDEX(script.out!D:D,results.txt!$M320)</f>
        <v>0.63690199999999997</v>
      </c>
      <c r="Q320">
        <f>INDEX(script.out!E:E,results.txt!$M320)</f>
        <v>28.0140231876657</v>
      </c>
      <c r="R320">
        <f>INDEX(script.out!F:F,results.txt!$M320)</f>
        <v>42.25</v>
      </c>
      <c r="S320">
        <f>INDEX(script.out!G:G,results.txt!$M320)</f>
        <v>206.87108305498199</v>
      </c>
      <c r="T320" t="str">
        <f>INDEX(script.out!H:H,results.txt!$M320)</f>
        <v>{</v>
      </c>
      <c r="U320">
        <f>INDEX(script.out!I:I,results.txt!$M320)</f>
        <v>1.20912</v>
      </c>
      <c r="V320">
        <f>INDEX(script.out!J:J,results.txt!$M320)</f>
        <v>127.62224999999999</v>
      </c>
      <c r="W320">
        <f>INDEX(script.out!K:K,results.txt!$M320)</f>
        <v>385.77217999999999</v>
      </c>
      <c r="X320" t="str">
        <f>INDEX(script.out!L:L,results.txt!$M320)</f>
        <v>}</v>
      </c>
      <c r="Y320" t="str">
        <f>INDEX(script.out!M:M,results.txt!$M320)</f>
        <v>{</v>
      </c>
      <c r="Z320">
        <f>INDEX(script.out!N:N,results.txt!$M320)</f>
        <v>15.292827522947</v>
      </c>
      <c r="AA320">
        <f>INDEX(script.out!O:O,results.txt!$M320)</f>
        <v>14.5</v>
      </c>
      <c r="AB320">
        <f>INDEX(script.out!P:P,results.txt!$M320)</f>
        <v>2050.1999999999998</v>
      </c>
      <c r="AC320" t="str">
        <f>INDEX(script.out!Q:Q,results.txt!$M320)</f>
        <v>}</v>
      </c>
      <c r="AD320">
        <f t="shared" si="4"/>
        <v>0</v>
      </c>
    </row>
    <row r="321" spans="1:30" x14ac:dyDescent="0.25">
      <c r="A321" s="12" t="s">
        <v>4</v>
      </c>
      <c r="B321" s="12">
        <v>-3</v>
      </c>
      <c r="C321" s="12">
        <v>0.97584599999999999</v>
      </c>
      <c r="D321" s="12">
        <v>0.32963599999999998</v>
      </c>
      <c r="E321" s="12">
        <v>0.59702299999999997</v>
      </c>
      <c r="F321" s="12">
        <v>-3</v>
      </c>
      <c r="G321" s="12">
        <v>472.31599999999997</v>
      </c>
      <c r="H321" s="12">
        <v>30.25</v>
      </c>
      <c r="I321" s="12">
        <v>0.68585600000000002</v>
      </c>
      <c r="J321" s="12" t="s">
        <v>3</v>
      </c>
      <c r="K321" s="12">
        <v>0</v>
      </c>
      <c r="M321">
        <f>MATCH(C321,script.out!B:B,0)</f>
        <v>602</v>
      </c>
      <c r="N321">
        <f>INDEX(script.out!B:B,results.txt!$M321)</f>
        <v>0.97584599999999999</v>
      </c>
      <c r="O321">
        <f>INDEX(script.out!C:C,results.txt!$M321)</f>
        <v>0.32963599999999998</v>
      </c>
      <c r="P321">
        <f>INDEX(script.out!D:D,results.txt!$M321)</f>
        <v>0.59702299999999997</v>
      </c>
      <c r="Q321">
        <f>INDEX(script.out!E:E,results.txt!$M321)</f>
        <v>472.31618436547899</v>
      </c>
      <c r="R321">
        <f>INDEX(script.out!F:F,results.txt!$M321)</f>
        <v>30.25</v>
      </c>
      <c r="S321">
        <f>INDEX(script.out!G:G,results.txt!$M321)</f>
        <v>0.68585624620003705</v>
      </c>
      <c r="T321" t="str">
        <f>INDEX(script.out!H:H,results.txt!$M321)</f>
        <v>{</v>
      </c>
      <c r="U321">
        <f>INDEX(script.out!I:I,results.txt!$M321)</f>
        <v>1.080676</v>
      </c>
      <c r="V321">
        <f>INDEX(script.out!J:J,results.txt!$M321)</f>
        <v>264.81799999999998</v>
      </c>
      <c r="W321">
        <f>INDEX(script.out!K:K,results.txt!$M321)</f>
        <v>362.24356999999998</v>
      </c>
      <c r="X321" t="str">
        <f>INDEX(script.out!L:L,results.txt!$M321)</f>
        <v>}</v>
      </c>
      <c r="Y321" t="str">
        <f>INDEX(script.out!M:M,results.txt!$M321)</f>
        <v>{</v>
      </c>
      <c r="Z321">
        <f>INDEX(script.out!N:N,results.txt!$M321)</f>
        <v>31.732836546697602</v>
      </c>
      <c r="AA321">
        <f>INDEX(script.out!O:O,results.txt!$M321)</f>
        <v>13.5</v>
      </c>
      <c r="AB321">
        <f>INDEX(script.out!P:P,results.txt!$M321)</f>
        <v>6997.72</v>
      </c>
      <c r="AC321" t="str">
        <f>INDEX(script.out!Q:Q,results.txt!$M321)</f>
        <v>}</v>
      </c>
      <c r="AD321">
        <f t="shared" si="4"/>
        <v>0</v>
      </c>
    </row>
    <row r="322" spans="1:30" x14ac:dyDescent="0.25">
      <c r="A322" s="12" t="s">
        <v>4</v>
      </c>
      <c r="B322" s="12">
        <v>-3</v>
      </c>
      <c r="C322" s="12">
        <v>0.91884299999999997</v>
      </c>
      <c r="D322" s="12">
        <v>1.7326600000000001E-2</v>
      </c>
      <c r="E322" s="12">
        <v>0.56180099999999999</v>
      </c>
      <c r="F322" s="12">
        <v>-3</v>
      </c>
      <c r="G322" s="12">
        <v>9.1264299999999992</v>
      </c>
      <c r="H322" s="12">
        <v>72.25</v>
      </c>
      <c r="I322" s="12">
        <v>230.62299999999999</v>
      </c>
      <c r="J322" s="12" t="s">
        <v>3</v>
      </c>
      <c r="K322" s="12">
        <v>0</v>
      </c>
      <c r="M322">
        <f>MATCH(C322,script.out!B:B,0)</f>
        <v>603</v>
      </c>
      <c r="N322">
        <f>INDEX(script.out!B:B,results.txt!$M322)</f>
        <v>0.91884299999999997</v>
      </c>
      <c r="O322">
        <f>INDEX(script.out!C:C,results.txt!$M322)</f>
        <v>1.7326600000000001E-2</v>
      </c>
      <c r="P322">
        <f>INDEX(script.out!D:D,results.txt!$M322)</f>
        <v>0.56180099999999999</v>
      </c>
      <c r="Q322">
        <f>INDEX(script.out!E:E,results.txt!$M322)</f>
        <v>9.1264309502655703</v>
      </c>
      <c r="R322">
        <f>INDEX(script.out!F:F,results.txt!$M322)</f>
        <v>72.25</v>
      </c>
      <c r="S322">
        <f>INDEX(script.out!G:G,results.txt!$M322)</f>
        <v>230.62291717095101</v>
      </c>
      <c r="T322" t="str">
        <f>INDEX(script.out!H:H,results.txt!$M322)</f>
        <v>{</v>
      </c>
      <c r="U322">
        <f>INDEX(script.out!I:I,results.txt!$M322)</f>
        <v>1.035074</v>
      </c>
      <c r="V322">
        <f>INDEX(script.out!J:J,results.txt!$M322)</f>
        <v>108.66330000000001</v>
      </c>
      <c r="W322">
        <f>INDEX(script.out!K:K,results.txt!$M322)</f>
        <v>341.46258999999998</v>
      </c>
      <c r="X322" t="str">
        <f>INDEX(script.out!L:L,results.txt!$M322)</f>
        <v>}</v>
      </c>
      <c r="Y322" t="str">
        <f>INDEX(script.out!M:M,results.txt!$M322)</f>
        <v>{</v>
      </c>
      <c r="Z322">
        <f>INDEX(script.out!N:N,results.txt!$M322)</f>
        <v>13.020998336686899</v>
      </c>
      <c r="AA322">
        <f>INDEX(script.out!O:O,results.txt!$M322)</f>
        <v>16.5</v>
      </c>
      <c r="AB322">
        <f>INDEX(script.out!P:P,results.txt!$M322)</f>
        <v>1757.01</v>
      </c>
      <c r="AC322" t="str">
        <f>INDEX(script.out!Q:Q,results.txt!$M322)</f>
        <v>}</v>
      </c>
      <c r="AD322">
        <f t="shared" si="4"/>
        <v>0</v>
      </c>
    </row>
    <row r="323" spans="1:30" x14ac:dyDescent="0.25">
      <c r="A323" s="12" t="s">
        <v>4</v>
      </c>
      <c r="B323" s="12">
        <v>-3</v>
      </c>
      <c r="C323" s="12">
        <v>0.190052</v>
      </c>
      <c r="D323" s="12">
        <v>5.5054199999999998E-2</v>
      </c>
      <c r="E323" s="12">
        <v>0.14002999999999999</v>
      </c>
      <c r="F323" s="12">
        <v>-3</v>
      </c>
      <c r="G323" s="12">
        <v>27.8935</v>
      </c>
      <c r="H323" s="12">
        <v>100</v>
      </c>
      <c r="I323" s="12">
        <v>1.07989E-2</v>
      </c>
      <c r="J323" s="12" t="s">
        <v>3</v>
      </c>
      <c r="K323" s="12">
        <v>0</v>
      </c>
      <c r="M323">
        <f>MATCH(C323,script.out!B:B,0)</f>
        <v>609</v>
      </c>
      <c r="N323">
        <f>INDEX(script.out!B:B,results.txt!$M323)</f>
        <v>0.190052</v>
      </c>
      <c r="O323">
        <f>INDEX(script.out!C:C,results.txt!$M323)</f>
        <v>5.5054199999999998E-2</v>
      </c>
      <c r="P323">
        <f>INDEX(script.out!D:D,results.txt!$M323)</f>
        <v>0.14002999999999999</v>
      </c>
      <c r="Q323">
        <f>INDEX(script.out!E:E,results.txt!$M323)</f>
        <v>27.893458563471</v>
      </c>
      <c r="R323">
        <f>INDEX(script.out!F:F,results.txt!$M323)</f>
        <v>100</v>
      </c>
      <c r="S323">
        <f>INDEX(script.out!G:G,results.txt!$M323)</f>
        <v>1.0798910865077799E-2</v>
      </c>
      <c r="T323" t="str">
        <f>INDEX(script.out!H:H,results.txt!$M323)</f>
        <v>{</v>
      </c>
      <c r="U323">
        <f>INDEX(script.out!I:I,results.txt!$M323)</f>
        <v>0.45204100000000003</v>
      </c>
      <c r="V323">
        <f>INDEX(script.out!J:J,results.txt!$M323)</f>
        <v>127.5271</v>
      </c>
      <c r="W323">
        <f>INDEX(script.out!K:K,results.txt!$M323)</f>
        <v>92.617699999999999</v>
      </c>
      <c r="X323" t="str">
        <f>INDEX(script.out!L:L,results.txt!$M323)</f>
        <v>}</v>
      </c>
      <c r="Y323" t="str">
        <f>INDEX(script.out!M:M,results.txt!$M323)</f>
        <v>{</v>
      </c>
      <c r="Z323">
        <f>INDEX(script.out!N:N,results.txt!$M323)</f>
        <v>15.2814258078165</v>
      </c>
      <c r="AA323">
        <f>INDEX(script.out!O:O,results.txt!$M323)</f>
        <v>18</v>
      </c>
      <c r="AB323">
        <f>INDEX(script.out!P:P,results.txt!$M323)</f>
        <v>7262.07</v>
      </c>
      <c r="AC323" t="str">
        <f>INDEX(script.out!Q:Q,results.txt!$M323)</f>
        <v>}</v>
      </c>
      <c r="AD323">
        <f t="shared" si="4"/>
        <v>0</v>
      </c>
    </row>
    <row r="324" spans="1:30" x14ac:dyDescent="0.25">
      <c r="A324" s="12" t="s">
        <v>4</v>
      </c>
      <c r="B324" s="12">
        <v>-3</v>
      </c>
      <c r="C324" s="12">
        <v>0.92207799999999995</v>
      </c>
      <c r="D324" s="12">
        <v>5.4322199999999998E-3</v>
      </c>
      <c r="E324" s="12">
        <v>0.61616499999999996</v>
      </c>
      <c r="F324" s="12">
        <v>-3</v>
      </c>
      <c r="G324" s="12">
        <v>5.3285</v>
      </c>
      <c r="H324" s="12">
        <v>72.25</v>
      </c>
      <c r="I324" s="12">
        <v>248.83199999999999</v>
      </c>
      <c r="J324" s="12" t="s">
        <v>3</v>
      </c>
      <c r="K324" s="12">
        <v>0</v>
      </c>
      <c r="M324">
        <f>MATCH(C324,script.out!B:B,0)</f>
        <v>611</v>
      </c>
      <c r="N324">
        <f>INDEX(script.out!B:B,results.txt!$M324)</f>
        <v>0.92207799999999995</v>
      </c>
      <c r="O324">
        <f>INDEX(script.out!C:C,results.txt!$M324)</f>
        <v>5.4322199999999998E-3</v>
      </c>
      <c r="P324">
        <f>INDEX(script.out!D:D,results.txt!$M324)</f>
        <v>0.61616499999999996</v>
      </c>
      <c r="Q324">
        <f>INDEX(script.out!E:E,results.txt!$M324)</f>
        <v>5.3284953959554304</v>
      </c>
      <c r="R324">
        <f>INDEX(script.out!F:F,results.txt!$M324)</f>
        <v>72.25</v>
      </c>
      <c r="S324">
        <f>INDEX(script.out!G:G,results.txt!$M324)</f>
        <v>248.83204110039401</v>
      </c>
      <c r="T324" t="str">
        <f>INDEX(script.out!H:H,results.txt!$M324)</f>
        <v>{</v>
      </c>
      <c r="U324">
        <f>INDEX(script.out!I:I,results.txt!$M324)</f>
        <v>1.0376620000000001</v>
      </c>
      <c r="V324">
        <f>INDEX(script.out!J:J,results.txt!$M324)</f>
        <v>102.71611</v>
      </c>
      <c r="W324">
        <f>INDEX(script.out!K:K,results.txt!$M324)</f>
        <v>373.53735</v>
      </c>
      <c r="X324" t="str">
        <f>INDEX(script.out!L:L,results.txt!$M324)</f>
        <v>}</v>
      </c>
      <c r="Y324" t="str">
        <f>INDEX(script.out!M:M,results.txt!$M324)</f>
        <v>{</v>
      </c>
      <c r="Z324">
        <f>INDEX(script.out!N:N,results.txt!$M324)</f>
        <v>12.3083533949452</v>
      </c>
      <c r="AA324">
        <f>INDEX(script.out!O:O,results.txt!$M324)</f>
        <v>16.5</v>
      </c>
      <c r="AB324">
        <f>INDEX(script.out!P:P,results.txt!$M324)</f>
        <v>1542.34</v>
      </c>
      <c r="AC324" t="str">
        <f>INDEX(script.out!Q:Q,results.txt!$M324)</f>
        <v>}</v>
      </c>
      <c r="AD324">
        <f t="shared" ref="AD324:AD387" si="5">IF(A324="all",1)+IF(A324="nonDominatedFront",2)</f>
        <v>0</v>
      </c>
    </row>
    <row r="325" spans="1:30" x14ac:dyDescent="0.25">
      <c r="A325" s="12" t="s">
        <v>4</v>
      </c>
      <c r="B325" s="12">
        <v>-3</v>
      </c>
      <c r="C325" s="12">
        <v>0.90659400000000001</v>
      </c>
      <c r="D325" s="12">
        <v>0.30770199999999998</v>
      </c>
      <c r="E325" s="12">
        <v>0.57460999999999995</v>
      </c>
      <c r="F325" s="12">
        <v>-3</v>
      </c>
      <c r="G325" s="12">
        <v>416.92200000000003</v>
      </c>
      <c r="H325" s="12">
        <v>36</v>
      </c>
      <c r="I325" s="12">
        <v>0.82491199999999998</v>
      </c>
      <c r="J325" s="12" t="s">
        <v>3</v>
      </c>
      <c r="K325" s="12">
        <v>0</v>
      </c>
      <c r="M325">
        <f>MATCH(C325,script.out!B:B,0)</f>
        <v>613</v>
      </c>
      <c r="N325">
        <f>INDEX(script.out!B:B,results.txt!$M325)</f>
        <v>0.90659400000000001</v>
      </c>
      <c r="O325">
        <f>INDEX(script.out!C:C,results.txt!$M325)</f>
        <v>0.30770199999999998</v>
      </c>
      <c r="P325">
        <f>INDEX(script.out!D:D,results.txt!$M325)</f>
        <v>0.57460999999999995</v>
      </c>
      <c r="Q325">
        <f>INDEX(script.out!E:E,results.txt!$M325)</f>
        <v>416.922229241048</v>
      </c>
      <c r="R325">
        <f>INDEX(script.out!F:F,results.txt!$M325)</f>
        <v>36</v>
      </c>
      <c r="S325">
        <f>INDEX(script.out!G:G,results.txt!$M325)</f>
        <v>0.82491184162131703</v>
      </c>
      <c r="T325" t="str">
        <f>INDEX(script.out!H:H,results.txt!$M325)</f>
        <v>{</v>
      </c>
      <c r="U325">
        <f>INDEX(script.out!I:I,results.txt!$M325)</f>
        <v>1.0252749999999999</v>
      </c>
      <c r="V325">
        <f>INDEX(script.out!J:J,results.txt!$M325)</f>
        <v>253.851</v>
      </c>
      <c r="W325">
        <f>INDEX(script.out!K:K,results.txt!$M325)</f>
        <v>349.01990000000001</v>
      </c>
      <c r="X325" t="str">
        <f>INDEX(script.out!L:L,results.txt!$M325)</f>
        <v>}</v>
      </c>
      <c r="Y325" t="str">
        <f>INDEX(script.out!M:M,results.txt!$M325)</f>
        <v>{</v>
      </c>
      <c r="Z325">
        <f>INDEX(script.out!N:N,results.txt!$M325)</f>
        <v>30.418673542643401</v>
      </c>
      <c r="AA325">
        <f>INDEX(script.out!O:O,results.txt!$M325)</f>
        <v>14</v>
      </c>
      <c r="AB325">
        <f>INDEX(script.out!P:P,results.txt!$M325)</f>
        <v>6968.49</v>
      </c>
      <c r="AC325" t="str">
        <f>INDEX(script.out!Q:Q,results.txt!$M325)</f>
        <v>}</v>
      </c>
      <c r="AD325">
        <f t="shared" si="5"/>
        <v>0</v>
      </c>
    </row>
    <row r="326" spans="1:30" x14ac:dyDescent="0.25">
      <c r="A326" s="12" t="s">
        <v>4</v>
      </c>
      <c r="B326" s="12">
        <v>-3</v>
      </c>
      <c r="C326" s="12">
        <v>1.0446200000000001</v>
      </c>
      <c r="D326" s="12">
        <v>0.13877500000000001</v>
      </c>
      <c r="E326" s="12">
        <v>0.63427999999999995</v>
      </c>
      <c r="F326" s="12">
        <v>-3</v>
      </c>
      <c r="G326" s="12">
        <v>106.039</v>
      </c>
      <c r="H326" s="12">
        <v>36</v>
      </c>
      <c r="I326" s="12">
        <v>111.089</v>
      </c>
      <c r="J326" s="12" t="s">
        <v>3</v>
      </c>
      <c r="K326" s="12">
        <v>0</v>
      </c>
      <c r="M326">
        <f>MATCH(C326,script.out!B:B,0)</f>
        <v>627</v>
      </c>
      <c r="N326">
        <f>INDEX(script.out!B:B,results.txt!$M326)</f>
        <v>1.0446200000000001</v>
      </c>
      <c r="O326">
        <f>INDEX(script.out!C:C,results.txt!$M326)</f>
        <v>0.13877500000000001</v>
      </c>
      <c r="P326">
        <f>INDEX(script.out!D:D,results.txt!$M326)</f>
        <v>0.63427999999999995</v>
      </c>
      <c r="Q326">
        <f>INDEX(script.out!E:E,results.txt!$M326)</f>
        <v>106.038700330285</v>
      </c>
      <c r="R326">
        <f>INDEX(script.out!F:F,results.txt!$M326)</f>
        <v>36</v>
      </c>
      <c r="S326">
        <f>INDEX(script.out!G:G,results.txt!$M326)</f>
        <v>111.088712347532</v>
      </c>
      <c r="T326" t="str">
        <f>INDEX(script.out!H:H,results.txt!$M326)</f>
        <v>{</v>
      </c>
      <c r="U326">
        <f>INDEX(script.out!I:I,results.txt!$M326)</f>
        <v>1.1356900000000001</v>
      </c>
      <c r="V326">
        <f>INDEX(script.out!J:J,results.txt!$M326)</f>
        <v>169.38749999999999</v>
      </c>
      <c r="W326">
        <f>INDEX(script.out!K:K,results.txt!$M326)</f>
        <v>384.22519999999997</v>
      </c>
      <c r="X326" t="str">
        <f>INDEX(script.out!L:L,results.txt!$M326)</f>
        <v>}</v>
      </c>
      <c r="Y326" t="str">
        <f>INDEX(script.out!M:M,results.txt!$M326)</f>
        <v>{</v>
      </c>
      <c r="Z326">
        <f>INDEX(script.out!N:N,results.txt!$M326)</f>
        <v>20.297509423655999</v>
      </c>
      <c r="AA326">
        <f>INDEX(script.out!O:O,results.txt!$M326)</f>
        <v>14</v>
      </c>
      <c r="AB326">
        <f>INDEX(script.out!P:P,results.txt!$M326)</f>
        <v>3452.95</v>
      </c>
      <c r="AC326" t="str">
        <f>INDEX(script.out!Q:Q,results.txt!$M326)</f>
        <v>}</v>
      </c>
      <c r="AD326">
        <f t="shared" si="5"/>
        <v>0</v>
      </c>
    </row>
    <row r="327" spans="1:30" x14ac:dyDescent="0.25">
      <c r="A327" s="12" t="s">
        <v>4</v>
      </c>
      <c r="B327" s="12">
        <v>-3</v>
      </c>
      <c r="C327" s="12">
        <v>1.04348</v>
      </c>
      <c r="D327" s="12">
        <v>0.240257</v>
      </c>
      <c r="E327" s="12">
        <v>0.55623199999999995</v>
      </c>
      <c r="F327" s="12">
        <v>-3</v>
      </c>
      <c r="G327" s="12">
        <v>268.23099999999999</v>
      </c>
      <c r="H327" s="12">
        <v>36</v>
      </c>
      <c r="I327" s="12">
        <v>46.206499999999998</v>
      </c>
      <c r="J327" s="12" t="s">
        <v>3</v>
      </c>
      <c r="K327" s="12">
        <v>0</v>
      </c>
      <c r="M327">
        <f>MATCH(C327,script.out!B:B,0)</f>
        <v>628</v>
      </c>
      <c r="N327">
        <f>INDEX(script.out!B:B,results.txt!$M327)</f>
        <v>1.04348</v>
      </c>
      <c r="O327">
        <f>INDEX(script.out!C:C,results.txt!$M327)</f>
        <v>0.240257</v>
      </c>
      <c r="P327">
        <f>INDEX(script.out!D:D,results.txt!$M327)</f>
        <v>0.55623199999999995</v>
      </c>
      <c r="Q327">
        <f>INDEX(script.out!E:E,results.txt!$M327)</f>
        <v>268.23053553500102</v>
      </c>
      <c r="R327">
        <f>INDEX(script.out!F:F,results.txt!$M327)</f>
        <v>36</v>
      </c>
      <c r="S327">
        <f>INDEX(script.out!G:G,results.txt!$M327)</f>
        <v>46.206471833364603</v>
      </c>
      <c r="T327" t="str">
        <f>INDEX(script.out!H:H,results.txt!$M327)</f>
        <v>{</v>
      </c>
      <c r="U327">
        <f>INDEX(script.out!I:I,results.txt!$M327)</f>
        <v>1.1347799999999999</v>
      </c>
      <c r="V327">
        <f>INDEX(script.out!J:J,results.txt!$M327)</f>
        <v>220.1285</v>
      </c>
      <c r="W327">
        <f>INDEX(script.out!K:K,results.txt!$M327)</f>
        <v>338.17687999999998</v>
      </c>
      <c r="X327" t="str">
        <f>INDEX(script.out!L:L,results.txt!$M327)</f>
        <v>}</v>
      </c>
      <c r="Y327" t="str">
        <f>INDEX(script.out!M:M,results.txt!$M327)</f>
        <v>{</v>
      </c>
      <c r="Z327">
        <f>INDEX(script.out!N:N,results.txt!$M327)</f>
        <v>26.377745129748501</v>
      </c>
      <c r="AA327">
        <f>INDEX(script.out!O:O,results.txt!$M327)</f>
        <v>14</v>
      </c>
      <c r="AB327">
        <f>INDEX(script.out!P:P,results.txt!$M327)</f>
        <v>4818.8999999999996</v>
      </c>
      <c r="AC327" t="str">
        <f>INDEX(script.out!Q:Q,results.txt!$M327)</f>
        <v>}</v>
      </c>
      <c r="AD327">
        <f t="shared" si="5"/>
        <v>0</v>
      </c>
    </row>
    <row r="328" spans="1:30" x14ac:dyDescent="0.25">
      <c r="A328" s="12" t="s">
        <v>4</v>
      </c>
      <c r="B328" s="12">
        <v>-3</v>
      </c>
      <c r="C328" s="12">
        <v>1.02474</v>
      </c>
      <c r="D328" s="12">
        <v>0.14191699999999999</v>
      </c>
      <c r="E328" s="12">
        <v>0.55102700000000004</v>
      </c>
      <c r="F328" s="12">
        <v>-3</v>
      </c>
      <c r="G328" s="12">
        <v>109.95099999999999</v>
      </c>
      <c r="H328" s="12">
        <v>36</v>
      </c>
      <c r="I328" s="12">
        <v>85.622799999999998</v>
      </c>
      <c r="J328" s="12" t="s">
        <v>3</v>
      </c>
      <c r="K328" s="12">
        <v>0</v>
      </c>
      <c r="M328">
        <f>MATCH(C328,script.out!B:B,0)</f>
        <v>629</v>
      </c>
      <c r="N328">
        <f>INDEX(script.out!B:B,results.txt!$M328)</f>
        <v>1.02474</v>
      </c>
      <c r="O328">
        <f>INDEX(script.out!C:C,results.txt!$M328)</f>
        <v>0.14191699999999999</v>
      </c>
      <c r="P328">
        <f>INDEX(script.out!D:D,results.txt!$M328)</f>
        <v>0.55102700000000004</v>
      </c>
      <c r="Q328">
        <f>INDEX(script.out!E:E,results.txt!$M328)</f>
        <v>109.951174267487</v>
      </c>
      <c r="R328">
        <f>INDEX(script.out!F:F,results.txt!$M328)</f>
        <v>36</v>
      </c>
      <c r="S328">
        <f>INDEX(script.out!G:G,results.txt!$M328)</f>
        <v>85.622825697879506</v>
      </c>
      <c r="T328" t="str">
        <f>INDEX(script.out!H:H,results.txt!$M328)</f>
        <v>{</v>
      </c>
      <c r="U328">
        <f>INDEX(script.out!I:I,results.txt!$M328)</f>
        <v>1.1197900000000001</v>
      </c>
      <c r="V328">
        <f>INDEX(script.out!J:J,results.txt!$M328)</f>
        <v>170.95849999999999</v>
      </c>
      <c r="W328">
        <f>INDEX(script.out!K:K,results.txt!$M328)</f>
        <v>335.10593</v>
      </c>
      <c r="X328" t="str">
        <f>INDEX(script.out!L:L,results.txt!$M328)</f>
        <v>}</v>
      </c>
      <c r="Y328" t="str">
        <f>INDEX(script.out!M:M,results.txt!$M328)</f>
        <v>{</v>
      </c>
      <c r="Z328">
        <f>INDEX(script.out!N:N,results.txt!$M328)</f>
        <v>20.485760547880499</v>
      </c>
      <c r="AA328">
        <f>INDEX(script.out!O:O,results.txt!$M328)</f>
        <v>14</v>
      </c>
      <c r="AB328">
        <f>INDEX(script.out!P:P,results.txt!$M328)</f>
        <v>3922.56</v>
      </c>
      <c r="AC328" t="str">
        <f>INDEX(script.out!Q:Q,results.txt!$M328)</f>
        <v>}</v>
      </c>
      <c r="AD328">
        <f t="shared" si="5"/>
        <v>0</v>
      </c>
    </row>
    <row r="329" spans="1:30" x14ac:dyDescent="0.25">
      <c r="A329" s="12" t="s">
        <v>4</v>
      </c>
      <c r="B329" s="12">
        <v>-3</v>
      </c>
      <c r="C329" s="12">
        <v>1.0447500000000001</v>
      </c>
      <c r="D329" s="12">
        <v>3.7119300000000001E-2</v>
      </c>
      <c r="E329" s="12">
        <v>0.64341899999999996</v>
      </c>
      <c r="F329" s="12">
        <v>-3</v>
      </c>
      <c r="G329" s="12">
        <v>17.697700000000001</v>
      </c>
      <c r="H329" s="12">
        <v>49</v>
      </c>
      <c r="I329" s="12">
        <v>217.19200000000001</v>
      </c>
      <c r="J329" s="12" t="s">
        <v>3</v>
      </c>
      <c r="K329" s="12">
        <v>0</v>
      </c>
      <c r="M329">
        <f>MATCH(C329,script.out!B:B,0)</f>
        <v>645</v>
      </c>
      <c r="N329">
        <f>INDEX(script.out!B:B,results.txt!$M329)</f>
        <v>1.0447500000000001</v>
      </c>
      <c r="O329">
        <f>INDEX(script.out!C:C,results.txt!$M329)</f>
        <v>3.7119300000000001E-2</v>
      </c>
      <c r="P329">
        <f>INDEX(script.out!D:D,results.txt!$M329)</f>
        <v>0.64341899999999996</v>
      </c>
      <c r="Q329">
        <f>INDEX(script.out!E:E,results.txt!$M329)</f>
        <v>17.697726437846399</v>
      </c>
      <c r="R329">
        <f>INDEX(script.out!F:F,results.txt!$M329)</f>
        <v>49</v>
      </c>
      <c r="S329">
        <f>INDEX(script.out!G:G,results.txt!$M329)</f>
        <v>217.192493067367</v>
      </c>
      <c r="T329" t="str">
        <f>INDEX(script.out!H:H,results.txt!$M329)</f>
        <v>{</v>
      </c>
      <c r="U329">
        <f>INDEX(script.out!I:I,results.txt!$M329)</f>
        <v>1.1357999999999999</v>
      </c>
      <c r="V329">
        <f>INDEX(script.out!J:J,results.txt!$M329)</f>
        <v>118.55965</v>
      </c>
      <c r="W329">
        <f>INDEX(script.out!K:K,results.txt!$M329)</f>
        <v>389.61721</v>
      </c>
      <c r="X329" t="str">
        <f>INDEX(script.out!L:L,results.txt!$M329)</f>
        <v>}</v>
      </c>
      <c r="Y329" t="str">
        <f>INDEX(script.out!M:M,results.txt!$M329)</f>
        <v>{</v>
      </c>
      <c r="Z329">
        <f>INDEX(script.out!N:N,results.txt!$M329)</f>
        <v>14.2068665818928</v>
      </c>
      <c r="AA329">
        <f>INDEX(script.out!O:O,results.txt!$M329)</f>
        <v>15</v>
      </c>
      <c r="AB329">
        <f>INDEX(script.out!P:P,results.txt!$M329)</f>
        <v>1920.83</v>
      </c>
      <c r="AC329" t="str">
        <f>INDEX(script.out!Q:Q,results.txt!$M329)</f>
        <v>}</v>
      </c>
      <c r="AD329">
        <f t="shared" si="5"/>
        <v>0</v>
      </c>
    </row>
    <row r="330" spans="1:30" x14ac:dyDescent="0.25">
      <c r="A330" s="12" t="s">
        <v>4</v>
      </c>
      <c r="B330" s="12">
        <v>-3</v>
      </c>
      <c r="C330" s="12">
        <v>0.54935699999999998</v>
      </c>
      <c r="D330" s="12">
        <v>3.6383400000000003E-2</v>
      </c>
      <c r="E330" s="12">
        <v>0.17711099999999999</v>
      </c>
      <c r="F330" s="12">
        <v>-3</v>
      </c>
      <c r="G330" s="12">
        <v>17.328700000000001</v>
      </c>
      <c r="H330" s="12">
        <v>100</v>
      </c>
      <c r="I330" s="12">
        <v>7.92461E-2</v>
      </c>
      <c r="J330" s="12" t="s">
        <v>3</v>
      </c>
      <c r="K330" s="12">
        <v>0</v>
      </c>
      <c r="M330">
        <f>MATCH(C330,script.out!B:B,0)</f>
        <v>650</v>
      </c>
      <c r="N330">
        <f>INDEX(script.out!B:B,results.txt!$M330)</f>
        <v>0.54935699999999998</v>
      </c>
      <c r="O330">
        <f>INDEX(script.out!C:C,results.txt!$M330)</f>
        <v>3.6383400000000003E-2</v>
      </c>
      <c r="P330">
        <f>INDEX(script.out!D:D,results.txt!$M330)</f>
        <v>0.17711099999999999</v>
      </c>
      <c r="Q330">
        <f>INDEX(script.out!E:E,results.txt!$M330)</f>
        <v>17.328700332382699</v>
      </c>
      <c r="R330">
        <f>INDEX(script.out!F:F,results.txt!$M330)</f>
        <v>100</v>
      </c>
      <c r="S330">
        <f>INDEX(script.out!G:G,results.txt!$M330)</f>
        <v>7.9246106211296602E-2</v>
      </c>
      <c r="T330" t="str">
        <f>INDEX(script.out!H:H,results.txt!$M330)</f>
        <v>{</v>
      </c>
      <c r="U330">
        <f>INDEX(script.out!I:I,results.txt!$M330)</f>
        <v>0.73948499999999995</v>
      </c>
      <c r="V330">
        <f>INDEX(script.out!J:J,results.txt!$M330)</f>
        <v>118.1917</v>
      </c>
      <c r="W330">
        <f>INDEX(script.out!K:K,results.txt!$M330)</f>
        <v>114.49549</v>
      </c>
      <c r="X330" t="str">
        <f>INDEX(script.out!L:L,results.txt!$M330)</f>
        <v>}</v>
      </c>
      <c r="Y330" t="str">
        <f>INDEX(script.out!M:M,results.txt!$M330)</f>
        <v>{</v>
      </c>
      <c r="Z330">
        <f>INDEX(script.out!N:N,results.txt!$M330)</f>
        <v>14.1627755563305</v>
      </c>
      <c r="AA330">
        <f>INDEX(script.out!O:O,results.txt!$M330)</f>
        <v>18</v>
      </c>
      <c r="AB330">
        <f>INDEX(script.out!P:P,results.txt!$M330)</f>
        <v>7402.75</v>
      </c>
      <c r="AC330" t="str">
        <f>INDEX(script.out!Q:Q,results.txt!$M330)</f>
        <v>}</v>
      </c>
      <c r="AD330">
        <f t="shared" si="5"/>
        <v>0</v>
      </c>
    </row>
    <row r="331" spans="1:30" x14ac:dyDescent="0.25">
      <c r="A331" s="12" t="s">
        <v>4</v>
      </c>
      <c r="B331" s="12">
        <v>-3</v>
      </c>
      <c r="C331" s="12">
        <v>0.98429999999999995</v>
      </c>
      <c r="D331" s="12">
        <v>3.25475E-2</v>
      </c>
      <c r="E331" s="12">
        <v>0.65069900000000003</v>
      </c>
      <c r="F331" s="12">
        <v>-3</v>
      </c>
      <c r="G331" s="12">
        <v>15.4681</v>
      </c>
      <c r="H331" s="12">
        <v>56.25</v>
      </c>
      <c r="I331" s="12">
        <v>216.358</v>
      </c>
      <c r="J331" s="12" t="s">
        <v>3</v>
      </c>
      <c r="K331" s="12">
        <v>0</v>
      </c>
      <c r="M331">
        <f>MATCH(C331,script.out!B:B,0)</f>
        <v>654</v>
      </c>
      <c r="N331">
        <f>INDEX(script.out!B:B,results.txt!$M331)</f>
        <v>0.98429999999999995</v>
      </c>
      <c r="O331">
        <f>INDEX(script.out!C:C,results.txt!$M331)</f>
        <v>3.25475E-2</v>
      </c>
      <c r="P331">
        <f>INDEX(script.out!D:D,results.txt!$M331)</f>
        <v>0.65069900000000003</v>
      </c>
      <c r="Q331">
        <f>INDEX(script.out!E:E,results.txt!$M331)</f>
        <v>15.468094226900201</v>
      </c>
      <c r="R331">
        <f>INDEX(script.out!F:F,results.txt!$M331)</f>
        <v>56.25</v>
      </c>
      <c r="S331">
        <f>INDEX(script.out!G:G,results.txt!$M331)</f>
        <v>216.35750191330399</v>
      </c>
      <c r="T331" t="str">
        <f>INDEX(script.out!H:H,results.txt!$M331)</f>
        <v>{</v>
      </c>
      <c r="U331">
        <f>INDEX(script.out!I:I,results.txt!$M331)</f>
        <v>1.0873999999999999</v>
      </c>
      <c r="V331">
        <f>INDEX(script.out!J:J,results.txt!$M331)</f>
        <v>116.27375000000001</v>
      </c>
      <c r="W331">
        <f>INDEX(script.out!K:K,results.txt!$M331)</f>
        <v>393.91241000000002</v>
      </c>
      <c r="X331" t="str">
        <f>INDEX(script.out!L:L,results.txt!$M331)</f>
        <v>}</v>
      </c>
      <c r="Y331" t="str">
        <f>INDEX(script.out!M:M,results.txt!$M331)</f>
        <v>{</v>
      </c>
      <c r="Z331">
        <f>INDEX(script.out!N:N,results.txt!$M331)</f>
        <v>13.932949812405401</v>
      </c>
      <c r="AA331">
        <f>INDEX(script.out!O:O,results.txt!$M331)</f>
        <v>15.5</v>
      </c>
      <c r="AB331">
        <f>INDEX(script.out!P:P,results.txt!$M331)</f>
        <v>1931.18</v>
      </c>
      <c r="AC331" t="str">
        <f>INDEX(script.out!Q:Q,results.txt!$M331)</f>
        <v>}</v>
      </c>
      <c r="AD331">
        <f t="shared" si="5"/>
        <v>0</v>
      </c>
    </row>
    <row r="332" spans="1:30" x14ac:dyDescent="0.25">
      <c r="A332" s="12" t="s">
        <v>4</v>
      </c>
      <c r="B332" s="12">
        <v>-3</v>
      </c>
      <c r="C332" s="12">
        <v>1.0440400000000001</v>
      </c>
      <c r="D332" s="12">
        <v>4.15559E-2</v>
      </c>
      <c r="E332" s="12">
        <v>0.57645299999999999</v>
      </c>
      <c r="F332" s="12">
        <v>-3</v>
      </c>
      <c r="G332" s="12">
        <v>20.004899999999999</v>
      </c>
      <c r="H332" s="12">
        <v>49</v>
      </c>
      <c r="I332" s="12">
        <v>195.066</v>
      </c>
      <c r="J332" s="12" t="s">
        <v>3</v>
      </c>
      <c r="K332" s="12">
        <v>0</v>
      </c>
      <c r="M332">
        <f>MATCH(C332,script.out!B:B,0)</f>
        <v>656</v>
      </c>
      <c r="N332">
        <f>INDEX(script.out!B:B,results.txt!$M332)</f>
        <v>1.0440400000000001</v>
      </c>
      <c r="O332">
        <f>INDEX(script.out!C:C,results.txt!$M332)</f>
        <v>4.15559E-2</v>
      </c>
      <c r="P332">
        <f>INDEX(script.out!D:D,results.txt!$M332)</f>
        <v>0.57645299999999999</v>
      </c>
      <c r="Q332">
        <f>INDEX(script.out!E:E,results.txt!$M332)</f>
        <v>20.004892512543101</v>
      </c>
      <c r="R332">
        <f>INDEX(script.out!F:F,results.txt!$M332)</f>
        <v>49</v>
      </c>
      <c r="S332">
        <f>INDEX(script.out!G:G,results.txt!$M332)</f>
        <v>195.06599208932201</v>
      </c>
      <c r="T332" t="str">
        <f>INDEX(script.out!H:H,results.txt!$M332)</f>
        <v>{</v>
      </c>
      <c r="U332">
        <f>INDEX(script.out!I:I,results.txt!$M332)</f>
        <v>1.13523</v>
      </c>
      <c r="V332">
        <f>INDEX(script.out!J:J,results.txt!$M332)</f>
        <v>120.77795</v>
      </c>
      <c r="W332">
        <f>INDEX(script.out!K:K,results.txt!$M332)</f>
        <v>350.10727000000003</v>
      </c>
      <c r="X332" t="str">
        <f>INDEX(script.out!L:L,results.txt!$M332)</f>
        <v>}</v>
      </c>
      <c r="Y332" t="str">
        <f>INDEX(script.out!M:M,results.txt!$M332)</f>
        <v>{</v>
      </c>
      <c r="Z332">
        <f>INDEX(script.out!N:N,results.txt!$M332)</f>
        <v>14.4726829210825</v>
      </c>
      <c r="AA332">
        <f>INDEX(script.out!O:O,results.txt!$M332)</f>
        <v>15</v>
      </c>
      <c r="AB332">
        <f>INDEX(script.out!P:P,results.txt!$M332)</f>
        <v>2202.19</v>
      </c>
      <c r="AC332" t="str">
        <f>INDEX(script.out!Q:Q,results.txt!$M332)</f>
        <v>}</v>
      </c>
      <c r="AD332">
        <f t="shared" si="5"/>
        <v>0</v>
      </c>
    </row>
    <row r="333" spans="1:30" x14ac:dyDescent="0.25">
      <c r="A333" s="12" t="s">
        <v>4</v>
      </c>
      <c r="B333" s="12">
        <v>-3</v>
      </c>
      <c r="C333" s="12">
        <v>0.97477800000000003</v>
      </c>
      <c r="D333" s="12">
        <v>0.126274</v>
      </c>
      <c r="E333" s="12">
        <v>0.54028900000000002</v>
      </c>
      <c r="F333" s="12">
        <v>-3</v>
      </c>
      <c r="G333" s="12">
        <v>91.174199999999999</v>
      </c>
      <c r="H333" s="12">
        <v>42.25</v>
      </c>
      <c r="I333" s="12">
        <v>86.242999999999995</v>
      </c>
      <c r="J333" s="12" t="s">
        <v>3</v>
      </c>
      <c r="K333" s="12">
        <v>0</v>
      </c>
      <c r="M333">
        <f>MATCH(C333,script.out!B:B,0)</f>
        <v>658</v>
      </c>
      <c r="N333">
        <f>INDEX(script.out!B:B,results.txt!$M333)</f>
        <v>0.97477800000000003</v>
      </c>
      <c r="O333">
        <f>INDEX(script.out!C:C,results.txt!$M333)</f>
        <v>0.126274</v>
      </c>
      <c r="P333">
        <f>INDEX(script.out!D:D,results.txt!$M333)</f>
        <v>0.54028900000000002</v>
      </c>
      <c r="Q333">
        <f>INDEX(script.out!E:E,results.txt!$M333)</f>
        <v>91.174218783902802</v>
      </c>
      <c r="R333">
        <f>INDEX(script.out!F:F,results.txt!$M333)</f>
        <v>42.25</v>
      </c>
      <c r="S333">
        <f>INDEX(script.out!G:G,results.txt!$M333)</f>
        <v>86.243025877275201</v>
      </c>
      <c r="T333" t="str">
        <f>INDEX(script.out!H:H,results.txt!$M333)</f>
        <v>{</v>
      </c>
      <c r="U333">
        <f>INDEX(script.out!I:I,results.txt!$M333)</f>
        <v>1.0798220000000001</v>
      </c>
      <c r="V333">
        <f>INDEX(script.out!J:J,results.txt!$M333)</f>
        <v>163.137</v>
      </c>
      <c r="W333">
        <f>INDEX(script.out!K:K,results.txt!$M333)</f>
        <v>328.77051</v>
      </c>
      <c r="X333" t="str">
        <f>INDEX(script.out!L:L,results.txt!$M333)</f>
        <v>}</v>
      </c>
      <c r="Y333" t="str">
        <f>INDEX(script.out!M:M,results.txt!$M333)</f>
        <v>{</v>
      </c>
      <c r="Z333">
        <f>INDEX(script.out!N:N,results.txt!$M333)</f>
        <v>19.548519193252002</v>
      </c>
      <c r="AA333">
        <f>INDEX(script.out!O:O,results.txt!$M333)</f>
        <v>14.5</v>
      </c>
      <c r="AB333">
        <f>INDEX(script.out!P:P,results.txt!$M333)</f>
        <v>3910.35</v>
      </c>
      <c r="AC333" t="str">
        <f>INDEX(script.out!Q:Q,results.txt!$M333)</f>
        <v>}</v>
      </c>
      <c r="AD333">
        <f t="shared" si="5"/>
        <v>0</v>
      </c>
    </row>
    <row r="334" spans="1:30" x14ac:dyDescent="0.25">
      <c r="A334" s="12" t="s">
        <v>4</v>
      </c>
      <c r="B334" s="12">
        <v>-3</v>
      </c>
      <c r="C334" s="12">
        <v>0.141454</v>
      </c>
      <c r="D334" s="12">
        <v>-2.71501E-2</v>
      </c>
      <c r="E334" s="12">
        <v>0.16461100000000001</v>
      </c>
      <c r="F334" s="12">
        <v>-3</v>
      </c>
      <c r="G334" s="12">
        <v>0.12687999999999999</v>
      </c>
      <c r="H334" s="12">
        <v>132.25</v>
      </c>
      <c r="I334" s="12">
        <v>90.090800000000002</v>
      </c>
      <c r="J334" s="12" t="s">
        <v>3</v>
      </c>
      <c r="K334" s="12">
        <v>0</v>
      </c>
      <c r="M334">
        <f>MATCH(C334,script.out!B:B,0)</f>
        <v>660</v>
      </c>
      <c r="N334">
        <f>INDEX(script.out!B:B,results.txt!$M334)</f>
        <v>0.141454</v>
      </c>
      <c r="O334">
        <f>INDEX(script.out!C:C,results.txt!$M334)</f>
        <v>-2.71501E-2</v>
      </c>
      <c r="P334">
        <f>INDEX(script.out!D:D,results.txt!$M334)</f>
        <v>0.16461100000000001</v>
      </c>
      <c r="Q334">
        <f>INDEX(script.out!E:E,results.txt!$M334)</f>
        <v>0.126880162526089</v>
      </c>
      <c r="R334">
        <f>INDEX(script.out!F:F,results.txt!$M334)</f>
        <v>132.25</v>
      </c>
      <c r="S334">
        <f>INDEX(script.out!G:G,results.txt!$M334)</f>
        <v>90.0907826128729</v>
      </c>
      <c r="T334" t="str">
        <f>INDEX(script.out!H:H,results.txt!$M334)</f>
        <v>{</v>
      </c>
      <c r="U334">
        <f>INDEX(script.out!I:I,results.txt!$M334)</f>
        <v>0.413163</v>
      </c>
      <c r="V334">
        <f>INDEX(script.out!J:J,results.txt!$M334)</f>
        <v>86.424949999999995</v>
      </c>
      <c r="W334">
        <f>INDEX(script.out!K:K,results.txt!$M334)</f>
        <v>107.12049</v>
      </c>
      <c r="X334" t="str">
        <f>INDEX(script.out!L:L,results.txt!$M334)</f>
        <v>}</v>
      </c>
      <c r="Y334" t="str">
        <f>INDEX(script.out!M:M,results.txt!$M334)</f>
        <v>{</v>
      </c>
      <c r="Z334">
        <f>INDEX(script.out!N:N,results.txt!$M334)</f>
        <v>10.3562024179116</v>
      </c>
      <c r="AA334">
        <f>INDEX(script.out!O:O,results.txt!$M334)</f>
        <v>19.5</v>
      </c>
      <c r="AB334">
        <f>INDEX(script.out!P:P,results.txt!$M334)</f>
        <v>3835.56</v>
      </c>
      <c r="AC334" t="str">
        <f>INDEX(script.out!Q:Q,results.txt!$M334)</f>
        <v>}</v>
      </c>
      <c r="AD334">
        <f t="shared" si="5"/>
        <v>0</v>
      </c>
    </row>
    <row r="335" spans="1:30" x14ac:dyDescent="0.25">
      <c r="A335" s="12" t="s">
        <v>4</v>
      </c>
      <c r="B335" s="12">
        <v>-3</v>
      </c>
      <c r="C335" s="12">
        <v>1.03495</v>
      </c>
      <c r="D335" s="12">
        <v>-8.3284199999999996E-3</v>
      </c>
      <c r="E335" s="12">
        <v>0.68238299999999996</v>
      </c>
      <c r="F335" s="12">
        <v>-3</v>
      </c>
      <c r="G335" s="12">
        <v>2.20194</v>
      </c>
      <c r="H335" s="12">
        <v>64</v>
      </c>
      <c r="I335" s="12">
        <v>273.51900000000001</v>
      </c>
      <c r="J335" s="12" t="s">
        <v>3</v>
      </c>
      <c r="K335" s="12">
        <v>0</v>
      </c>
      <c r="M335">
        <f>MATCH(C335,script.out!B:B,0)</f>
        <v>667</v>
      </c>
      <c r="N335">
        <f>INDEX(script.out!B:B,results.txt!$M335)</f>
        <v>1.03495</v>
      </c>
      <c r="O335">
        <f>INDEX(script.out!C:C,results.txt!$M335)</f>
        <v>-8.3284199999999996E-3</v>
      </c>
      <c r="P335">
        <f>INDEX(script.out!D:D,results.txt!$M335)</f>
        <v>0.68238299999999996</v>
      </c>
      <c r="Q335">
        <f>INDEX(script.out!E:E,results.txt!$M335)</f>
        <v>2.2019371233426299</v>
      </c>
      <c r="R335">
        <f>INDEX(script.out!F:F,results.txt!$M335)</f>
        <v>64</v>
      </c>
      <c r="S335">
        <f>INDEX(script.out!G:G,results.txt!$M335)</f>
        <v>273.51903704559902</v>
      </c>
      <c r="T335" t="str">
        <f>INDEX(script.out!H:H,results.txt!$M335)</f>
        <v>{</v>
      </c>
      <c r="U335">
        <f>INDEX(script.out!I:I,results.txt!$M335)</f>
        <v>1.1279600000000001</v>
      </c>
      <c r="V335">
        <f>INDEX(script.out!J:J,results.txt!$M335)</f>
        <v>95.835790000000003</v>
      </c>
      <c r="W335">
        <f>INDEX(script.out!K:K,results.txt!$M335)</f>
        <v>412.60597000000001</v>
      </c>
      <c r="X335" t="str">
        <f>INDEX(script.out!L:L,results.txt!$M335)</f>
        <v>}</v>
      </c>
      <c r="Y335" t="str">
        <f>INDEX(script.out!M:M,results.txt!$M335)</f>
        <v>{</v>
      </c>
      <c r="Z335">
        <f>INDEX(script.out!N:N,results.txt!$M335)</f>
        <v>11.483892557883699</v>
      </c>
      <c r="AA335">
        <f>INDEX(script.out!O:O,results.txt!$M335)</f>
        <v>16</v>
      </c>
      <c r="AB335">
        <f>INDEX(script.out!P:P,results.txt!$M335)</f>
        <v>1263.48</v>
      </c>
      <c r="AC335" t="str">
        <f>INDEX(script.out!Q:Q,results.txt!$M335)</f>
        <v>}</v>
      </c>
      <c r="AD335">
        <f t="shared" si="5"/>
        <v>0</v>
      </c>
    </row>
    <row r="336" spans="1:30" x14ac:dyDescent="0.25">
      <c r="A336" s="12" t="s">
        <v>4</v>
      </c>
      <c r="B336" s="12">
        <v>-3</v>
      </c>
      <c r="C336" s="12">
        <v>1.17293</v>
      </c>
      <c r="D336" s="12">
        <v>0.297954</v>
      </c>
      <c r="E336" s="12">
        <v>0.52996100000000002</v>
      </c>
      <c r="F336" s="12">
        <v>-3</v>
      </c>
      <c r="G336" s="12">
        <v>393.41199999999998</v>
      </c>
      <c r="H336" s="12">
        <v>30.25</v>
      </c>
      <c r="I336" s="12">
        <v>25.717700000000001</v>
      </c>
      <c r="J336" s="12" t="s">
        <v>3</v>
      </c>
      <c r="K336" s="12">
        <v>0</v>
      </c>
      <c r="M336">
        <f>MATCH(C336,script.out!B:B,0)</f>
        <v>669</v>
      </c>
      <c r="N336">
        <f>INDEX(script.out!B:B,results.txt!$M336)</f>
        <v>1.17293</v>
      </c>
      <c r="O336">
        <f>INDEX(script.out!C:C,results.txt!$M336)</f>
        <v>0.297954</v>
      </c>
      <c r="P336">
        <f>INDEX(script.out!D:D,results.txt!$M336)</f>
        <v>0.52996100000000002</v>
      </c>
      <c r="Q336">
        <f>INDEX(script.out!E:E,results.txt!$M336)</f>
        <v>393.41245699055202</v>
      </c>
      <c r="R336">
        <f>INDEX(script.out!F:F,results.txt!$M336)</f>
        <v>30.25</v>
      </c>
      <c r="S336">
        <f>INDEX(script.out!G:G,results.txt!$M336)</f>
        <v>25.717680766372599</v>
      </c>
      <c r="T336" t="str">
        <f>INDEX(script.out!H:H,results.txt!$M336)</f>
        <v>{</v>
      </c>
      <c r="U336">
        <f>INDEX(script.out!I:I,results.txt!$M336)</f>
        <v>1.23834</v>
      </c>
      <c r="V336">
        <f>INDEX(script.out!J:J,results.txt!$M336)</f>
        <v>248.977</v>
      </c>
      <c r="W336">
        <f>INDEX(script.out!K:K,results.txt!$M336)</f>
        <v>322.67698999999999</v>
      </c>
      <c r="X336" t="str">
        <f>INDEX(script.out!L:L,results.txt!$M336)</f>
        <v>}</v>
      </c>
      <c r="Y336" t="str">
        <f>INDEX(script.out!M:M,results.txt!$M336)</f>
        <v>{</v>
      </c>
      <c r="Z336">
        <f>INDEX(script.out!N:N,results.txt!$M336)</f>
        <v>29.834627725030501</v>
      </c>
      <c r="AA336">
        <f>INDEX(script.out!O:O,results.txt!$M336)</f>
        <v>13.5</v>
      </c>
      <c r="AB336">
        <f>INDEX(script.out!P:P,results.txt!$M336)</f>
        <v>5448.99</v>
      </c>
      <c r="AC336" t="str">
        <f>INDEX(script.out!Q:Q,results.txt!$M336)</f>
        <v>}</v>
      </c>
      <c r="AD336">
        <f t="shared" si="5"/>
        <v>0</v>
      </c>
    </row>
    <row r="337" spans="1:30" x14ac:dyDescent="0.25">
      <c r="A337" s="12" t="s">
        <v>4</v>
      </c>
      <c r="B337" s="12">
        <v>-3</v>
      </c>
      <c r="C337" s="12">
        <v>0.80974699999999999</v>
      </c>
      <c r="D337" s="12">
        <v>0.196353</v>
      </c>
      <c r="E337" s="12">
        <v>0.45133000000000001</v>
      </c>
      <c r="F337" s="12">
        <v>-3</v>
      </c>
      <c r="G337" s="12">
        <v>188.98699999999999</v>
      </c>
      <c r="H337" s="12">
        <v>42.25</v>
      </c>
      <c r="I337" s="12">
        <v>1.1035900000000001</v>
      </c>
      <c r="J337" s="12" t="s">
        <v>3</v>
      </c>
      <c r="K337" s="12">
        <v>0</v>
      </c>
      <c r="M337">
        <f>MATCH(C337,script.out!B:B,0)</f>
        <v>683</v>
      </c>
      <c r="N337">
        <f>INDEX(script.out!B:B,results.txt!$M337)</f>
        <v>0.80974699999999999</v>
      </c>
      <c r="O337">
        <f>INDEX(script.out!C:C,results.txt!$M337)</f>
        <v>0.196353</v>
      </c>
      <c r="P337">
        <f>INDEX(script.out!D:D,results.txt!$M337)</f>
        <v>0.45133000000000001</v>
      </c>
      <c r="Q337">
        <f>INDEX(script.out!E:E,results.txt!$M337)</f>
        <v>188.98721805961199</v>
      </c>
      <c r="R337">
        <f>INDEX(script.out!F:F,results.txt!$M337)</f>
        <v>42.25</v>
      </c>
      <c r="S337">
        <f>INDEX(script.out!G:G,results.txt!$M337)</f>
        <v>1.10359342165509</v>
      </c>
      <c r="T337" t="str">
        <f>INDEX(script.out!H:H,results.txt!$M337)</f>
        <v>{</v>
      </c>
      <c r="U337">
        <f>INDEX(script.out!I:I,results.txt!$M337)</f>
        <v>0.947797</v>
      </c>
      <c r="V337">
        <f>INDEX(script.out!J:J,results.txt!$M337)</f>
        <v>198.1765</v>
      </c>
      <c r="W337">
        <f>INDEX(script.out!K:K,results.txt!$M337)</f>
        <v>276.28469999999999</v>
      </c>
      <c r="X337" t="str">
        <f>INDEX(script.out!L:L,results.txt!$M337)</f>
        <v>}</v>
      </c>
      <c r="Y337" t="str">
        <f>INDEX(script.out!M:M,results.txt!$M337)</f>
        <v>{</v>
      </c>
      <c r="Z337">
        <f>INDEX(script.out!N:N,results.txt!$M337)</f>
        <v>23.747262202329999</v>
      </c>
      <c r="AA337">
        <f>INDEX(script.out!O:O,results.txt!$M337)</f>
        <v>14.5</v>
      </c>
      <c r="AB337">
        <f>INDEX(script.out!P:P,results.txt!$M337)</f>
        <v>6916.56</v>
      </c>
      <c r="AC337" t="str">
        <f>INDEX(script.out!Q:Q,results.txt!$M337)</f>
        <v>}</v>
      </c>
      <c r="AD337">
        <f t="shared" si="5"/>
        <v>0</v>
      </c>
    </row>
    <row r="338" spans="1:30" x14ac:dyDescent="0.25">
      <c r="A338" s="12" t="s">
        <v>4</v>
      </c>
      <c r="B338" s="12">
        <v>-3</v>
      </c>
      <c r="C338" s="12">
        <v>1.0236000000000001</v>
      </c>
      <c r="D338" s="12">
        <v>3.9057699999999998E-3</v>
      </c>
      <c r="E338" s="12">
        <v>0.67142800000000002</v>
      </c>
      <c r="F338" s="12">
        <v>-3</v>
      </c>
      <c r="G338" s="12">
        <v>4.9146299999999998</v>
      </c>
      <c r="H338" s="12">
        <v>64</v>
      </c>
      <c r="I338" s="12">
        <v>262.822</v>
      </c>
      <c r="J338" s="12" t="s">
        <v>3</v>
      </c>
      <c r="K338" s="12">
        <v>0</v>
      </c>
      <c r="M338">
        <f>MATCH(C338,script.out!B:B,0)</f>
        <v>685</v>
      </c>
      <c r="N338">
        <f>INDEX(script.out!B:B,results.txt!$M338)</f>
        <v>1.0236000000000001</v>
      </c>
      <c r="O338">
        <f>INDEX(script.out!C:C,results.txt!$M338)</f>
        <v>3.9057699999999998E-3</v>
      </c>
      <c r="P338">
        <f>INDEX(script.out!D:D,results.txt!$M338)</f>
        <v>0.67142800000000002</v>
      </c>
      <c r="Q338">
        <f>INDEX(script.out!E:E,results.txt!$M338)</f>
        <v>4.9146323994096601</v>
      </c>
      <c r="R338">
        <f>INDEX(script.out!F:F,results.txt!$M338)</f>
        <v>64</v>
      </c>
      <c r="S338">
        <f>INDEX(script.out!G:G,results.txt!$M338)</f>
        <v>262.82183741790197</v>
      </c>
      <c r="T338" t="str">
        <f>INDEX(script.out!H:H,results.txt!$M338)</f>
        <v>{</v>
      </c>
      <c r="U338">
        <f>INDEX(script.out!I:I,results.txt!$M338)</f>
        <v>1.1188</v>
      </c>
      <c r="V338">
        <f>INDEX(script.out!J:J,results.txt!$M338)</f>
        <v>101.95288499999999</v>
      </c>
      <c r="W338">
        <f>INDEX(script.out!K:K,results.txt!$M338)</f>
        <v>406.14251999999999</v>
      </c>
      <c r="X338" t="str">
        <f>INDEX(script.out!L:L,results.txt!$M338)</f>
        <v>}</v>
      </c>
      <c r="Y338" t="str">
        <f>INDEX(script.out!M:M,results.txt!$M338)</f>
        <v>{</v>
      </c>
      <c r="Z338">
        <f>INDEX(script.out!N:N,results.txt!$M338)</f>
        <v>12.2168970204792</v>
      </c>
      <c r="AA338">
        <f>INDEX(script.out!O:O,results.txt!$M338)</f>
        <v>16</v>
      </c>
      <c r="AB338">
        <f>INDEX(script.out!P:P,results.txt!$M338)</f>
        <v>1382.7</v>
      </c>
      <c r="AC338" t="str">
        <f>INDEX(script.out!Q:Q,results.txt!$M338)</f>
        <v>}</v>
      </c>
      <c r="AD338">
        <f t="shared" si="5"/>
        <v>0</v>
      </c>
    </row>
    <row r="339" spans="1:30" x14ac:dyDescent="0.25">
      <c r="A339" s="12" t="s">
        <v>4</v>
      </c>
      <c r="B339" s="12">
        <v>-3</v>
      </c>
      <c r="C339" s="12">
        <v>0.87267399999999995</v>
      </c>
      <c r="D339" s="12">
        <v>-4.03083E-3</v>
      </c>
      <c r="E339" s="12">
        <v>0.70748699999999998</v>
      </c>
      <c r="F339" s="12">
        <v>-3</v>
      </c>
      <c r="G339" s="12">
        <v>3.0324</v>
      </c>
      <c r="H339" s="12">
        <v>81</v>
      </c>
      <c r="I339" s="12">
        <v>266.12</v>
      </c>
      <c r="J339" s="12" t="s">
        <v>3</v>
      </c>
      <c r="K339" s="12">
        <v>0</v>
      </c>
      <c r="M339">
        <f>MATCH(C339,script.out!B:B,0)</f>
        <v>689</v>
      </c>
      <c r="N339">
        <f>INDEX(script.out!B:B,results.txt!$M339)</f>
        <v>0.87267399999999995</v>
      </c>
      <c r="O339">
        <f>INDEX(script.out!C:C,results.txt!$M339)</f>
        <v>-4.03083E-3</v>
      </c>
      <c r="P339">
        <f>INDEX(script.out!D:D,results.txt!$M339)</f>
        <v>0.70748699999999998</v>
      </c>
      <c r="Q339">
        <f>INDEX(script.out!E:E,results.txt!$M339)</f>
        <v>3.03240497593004</v>
      </c>
      <c r="R339">
        <f>INDEX(script.out!F:F,results.txt!$M339)</f>
        <v>81</v>
      </c>
      <c r="S339">
        <f>INDEX(script.out!G:G,results.txt!$M339)</f>
        <v>266.11977914130199</v>
      </c>
      <c r="T339" t="str">
        <f>INDEX(script.out!H:H,results.txt!$M339)</f>
        <v>{</v>
      </c>
      <c r="U339">
        <f>INDEX(script.out!I:I,results.txt!$M339)</f>
        <v>0.998139</v>
      </c>
      <c r="V339">
        <f>INDEX(script.out!J:J,results.txt!$M339)</f>
        <v>97.984584999999996</v>
      </c>
      <c r="W339">
        <f>INDEX(script.out!K:K,results.txt!$M339)</f>
        <v>427.41732999999999</v>
      </c>
      <c r="X339" t="str">
        <f>INDEX(script.out!L:L,results.txt!$M339)</f>
        <v>}</v>
      </c>
      <c r="Y339" t="str">
        <f>INDEX(script.out!M:M,results.txt!$M339)</f>
        <v>{</v>
      </c>
      <c r="Z339">
        <f>INDEX(script.out!N:N,results.txt!$M339)</f>
        <v>11.7413801928154</v>
      </c>
      <c r="AA339">
        <f>INDEX(script.out!O:O,results.txt!$M339)</f>
        <v>17</v>
      </c>
      <c r="AB339">
        <f>INDEX(script.out!P:P,results.txt!$M339)</f>
        <v>1345.69</v>
      </c>
      <c r="AC339" t="str">
        <f>INDEX(script.out!Q:Q,results.txt!$M339)</f>
        <v>}</v>
      </c>
      <c r="AD339">
        <f t="shared" si="5"/>
        <v>0</v>
      </c>
    </row>
    <row r="340" spans="1:30" x14ac:dyDescent="0.25">
      <c r="A340" s="12" t="s">
        <v>4</v>
      </c>
      <c r="B340" s="12">
        <v>-3</v>
      </c>
      <c r="C340" s="12">
        <v>0.55617000000000005</v>
      </c>
      <c r="D340" s="12">
        <v>6.4415700000000006E-2</v>
      </c>
      <c r="E340" s="12">
        <v>0.207145</v>
      </c>
      <c r="F340" s="12">
        <v>-3</v>
      </c>
      <c r="G340" s="12">
        <v>34.132599999999996</v>
      </c>
      <c r="H340" s="12">
        <v>90.25</v>
      </c>
      <c r="I340" s="12">
        <v>2.1404099999999999E-2</v>
      </c>
      <c r="J340" s="12" t="s">
        <v>3</v>
      </c>
      <c r="K340" s="12">
        <v>0</v>
      </c>
      <c r="M340">
        <f>MATCH(C340,script.out!B:B,0)</f>
        <v>697</v>
      </c>
      <c r="N340">
        <f>INDEX(script.out!B:B,results.txt!$M340)</f>
        <v>0.55617000000000005</v>
      </c>
      <c r="O340">
        <f>INDEX(script.out!C:C,results.txt!$M340)</f>
        <v>6.4415700000000006E-2</v>
      </c>
      <c r="P340">
        <f>INDEX(script.out!D:D,results.txt!$M340)</f>
        <v>0.207145</v>
      </c>
      <c r="Q340">
        <f>INDEX(script.out!E:E,results.txt!$M340)</f>
        <v>34.132641054529998</v>
      </c>
      <c r="R340">
        <f>INDEX(script.out!F:F,results.txt!$M340)</f>
        <v>90.25</v>
      </c>
      <c r="S340">
        <f>INDEX(script.out!G:G,results.txt!$M340)</f>
        <v>2.1404090823794301E-2</v>
      </c>
      <c r="T340" t="str">
        <f>INDEX(script.out!H:H,results.txt!$M340)</f>
        <v>{</v>
      </c>
      <c r="U340">
        <f>INDEX(script.out!I:I,results.txt!$M340)</f>
        <v>0.74492999999999998</v>
      </c>
      <c r="V340">
        <f>INDEX(script.out!J:J,results.txt!$M340)</f>
        <v>132.20785000000001</v>
      </c>
      <c r="W340">
        <f>INDEX(script.out!K:K,results.txt!$M340)</f>
        <v>132.21555000000001</v>
      </c>
      <c r="X340" t="str">
        <f>INDEX(script.out!L:L,results.txt!$M340)</f>
        <v>}</v>
      </c>
      <c r="Y340" t="str">
        <f>INDEX(script.out!M:M,results.txt!$M340)</f>
        <v>{</v>
      </c>
      <c r="Z340">
        <f>INDEX(script.out!N:N,results.txt!$M340)</f>
        <v>15.842314700059299</v>
      </c>
      <c r="AA340">
        <f>INDEX(script.out!O:O,results.txt!$M340)</f>
        <v>17.5</v>
      </c>
      <c r="AB340">
        <f>INDEX(script.out!P:P,results.txt!$M340)</f>
        <v>7246.6</v>
      </c>
      <c r="AC340" t="str">
        <f>INDEX(script.out!Q:Q,results.txt!$M340)</f>
        <v>}</v>
      </c>
      <c r="AD340">
        <f t="shared" si="5"/>
        <v>0</v>
      </c>
    </row>
    <row r="341" spans="1:30" x14ac:dyDescent="0.25">
      <c r="A341" s="12" t="s">
        <v>4</v>
      </c>
      <c r="B341" s="12">
        <v>-3</v>
      </c>
      <c r="C341" s="12">
        <v>1.0308200000000001</v>
      </c>
      <c r="D341" s="12">
        <v>3.6142800000000003E-2</v>
      </c>
      <c r="E341" s="12">
        <v>0.603491</v>
      </c>
      <c r="F341" s="12">
        <v>-3</v>
      </c>
      <c r="G341" s="12">
        <v>17.2089</v>
      </c>
      <c r="H341" s="12">
        <v>56.25</v>
      </c>
      <c r="I341" s="12">
        <v>201.75899999999999</v>
      </c>
      <c r="J341" s="12" t="s">
        <v>3</v>
      </c>
      <c r="K341" s="12">
        <v>0</v>
      </c>
      <c r="M341">
        <f>MATCH(C341,script.out!B:B,0)</f>
        <v>709</v>
      </c>
      <c r="N341">
        <f>INDEX(script.out!B:B,results.txt!$M341)</f>
        <v>1.0308200000000001</v>
      </c>
      <c r="O341">
        <f>INDEX(script.out!C:C,results.txt!$M341)</f>
        <v>3.6142800000000003E-2</v>
      </c>
      <c r="P341">
        <f>INDEX(script.out!D:D,results.txt!$M341)</f>
        <v>0.603491</v>
      </c>
      <c r="Q341">
        <f>INDEX(script.out!E:E,results.txt!$M341)</f>
        <v>17.208891897673301</v>
      </c>
      <c r="R341">
        <f>INDEX(script.out!F:F,results.txt!$M341)</f>
        <v>56.25</v>
      </c>
      <c r="S341">
        <f>INDEX(script.out!G:G,results.txt!$M341)</f>
        <v>201.75906414636799</v>
      </c>
      <c r="T341" t="str">
        <f>INDEX(script.out!H:H,results.txt!$M341)</f>
        <v>{</v>
      </c>
      <c r="U341">
        <f>INDEX(script.out!I:I,results.txt!$M341)</f>
        <v>1.1246499999999999</v>
      </c>
      <c r="V341">
        <f>INDEX(script.out!J:J,results.txt!$M341)</f>
        <v>118.0714</v>
      </c>
      <c r="W341">
        <f>INDEX(script.out!K:K,results.txt!$M341)</f>
        <v>366.05968999999999</v>
      </c>
      <c r="X341" t="str">
        <f>INDEX(script.out!L:L,results.txt!$M341)</f>
        <v>}</v>
      </c>
      <c r="Y341" t="str">
        <f>INDEX(script.out!M:M,results.txt!$M341)</f>
        <v>{</v>
      </c>
      <c r="Z341">
        <f>INDEX(script.out!N:N,results.txt!$M341)</f>
        <v>14.1483601456085</v>
      </c>
      <c r="AA341">
        <f>INDEX(script.out!O:O,results.txt!$M341)</f>
        <v>15.5</v>
      </c>
      <c r="AB341">
        <f>INDEX(script.out!P:P,results.txt!$M341)</f>
        <v>2115.4699999999998</v>
      </c>
      <c r="AC341" t="str">
        <f>INDEX(script.out!Q:Q,results.txt!$M341)</f>
        <v>}</v>
      </c>
      <c r="AD341">
        <f t="shared" si="5"/>
        <v>0</v>
      </c>
    </row>
    <row r="342" spans="1:30" x14ac:dyDescent="0.25">
      <c r="A342" s="12" t="s">
        <v>4</v>
      </c>
      <c r="B342" s="12">
        <v>-3</v>
      </c>
      <c r="C342" s="12">
        <v>1.04169</v>
      </c>
      <c r="D342" s="12">
        <v>4.0283100000000002E-2</v>
      </c>
      <c r="E342" s="12">
        <v>0.60659399999999997</v>
      </c>
      <c r="F342" s="12">
        <v>-3</v>
      </c>
      <c r="G342" s="12">
        <v>19.328499999999998</v>
      </c>
      <c r="H342" s="12">
        <v>49</v>
      </c>
      <c r="I342" s="12">
        <v>204.898</v>
      </c>
      <c r="J342" s="12" t="s">
        <v>3</v>
      </c>
      <c r="K342" s="12">
        <v>0</v>
      </c>
      <c r="M342">
        <f>MATCH(C342,script.out!B:B,0)</f>
        <v>716</v>
      </c>
      <c r="N342">
        <f>INDEX(script.out!B:B,results.txt!$M342)</f>
        <v>1.04169</v>
      </c>
      <c r="O342">
        <f>INDEX(script.out!C:C,results.txt!$M342)</f>
        <v>4.0283100000000002E-2</v>
      </c>
      <c r="P342">
        <f>INDEX(script.out!D:D,results.txt!$M342)</f>
        <v>0.60659399999999997</v>
      </c>
      <c r="Q342">
        <f>INDEX(script.out!E:E,results.txt!$M342)</f>
        <v>19.328542586093</v>
      </c>
      <c r="R342">
        <f>INDEX(script.out!F:F,results.txt!$M342)</f>
        <v>49</v>
      </c>
      <c r="S342">
        <f>INDEX(script.out!G:G,results.txt!$M342)</f>
        <v>204.89843936273201</v>
      </c>
      <c r="T342" t="str">
        <f>INDEX(script.out!H:H,results.txt!$M342)</f>
        <v>{</v>
      </c>
      <c r="U342">
        <f>INDEX(script.out!I:I,results.txt!$M342)</f>
        <v>1.1333500000000001</v>
      </c>
      <c r="V342">
        <f>INDEX(script.out!J:J,results.txt!$M342)</f>
        <v>120.14155</v>
      </c>
      <c r="W342">
        <f>INDEX(script.out!K:K,results.txt!$M342)</f>
        <v>367.89046000000002</v>
      </c>
      <c r="X342" t="str">
        <f>INDEX(script.out!L:L,results.txt!$M342)</f>
        <v>}</v>
      </c>
      <c r="Y342" t="str">
        <f>INDEX(script.out!M:M,results.txt!$M342)</f>
        <v>{</v>
      </c>
      <c r="Z342">
        <f>INDEX(script.out!N:N,results.txt!$M342)</f>
        <v>14.3964238405882</v>
      </c>
      <c r="AA342">
        <f>INDEX(script.out!O:O,results.txt!$M342)</f>
        <v>15</v>
      </c>
      <c r="AB342">
        <f>INDEX(script.out!P:P,results.txt!$M342)</f>
        <v>2075.29</v>
      </c>
      <c r="AC342" t="str">
        <f>INDEX(script.out!Q:Q,results.txt!$M342)</f>
        <v>}</v>
      </c>
      <c r="AD342">
        <f t="shared" si="5"/>
        <v>0</v>
      </c>
    </row>
    <row r="343" spans="1:30" x14ac:dyDescent="0.25">
      <c r="A343" s="12" t="s">
        <v>4</v>
      </c>
      <c r="B343" s="12">
        <v>-3</v>
      </c>
      <c r="C343" s="12">
        <v>1.04467</v>
      </c>
      <c r="D343" s="12">
        <v>4.5121000000000001E-2</v>
      </c>
      <c r="E343" s="12">
        <v>0.57565</v>
      </c>
      <c r="F343" s="12">
        <v>-3</v>
      </c>
      <c r="G343" s="12">
        <v>21.961300000000001</v>
      </c>
      <c r="H343" s="12">
        <v>49</v>
      </c>
      <c r="I343" s="12">
        <v>190.82300000000001</v>
      </c>
      <c r="J343" s="12" t="s">
        <v>3</v>
      </c>
      <c r="K343" s="12">
        <v>0</v>
      </c>
      <c r="M343">
        <f>MATCH(C343,script.out!B:B,0)</f>
        <v>724</v>
      </c>
      <c r="N343">
        <f>INDEX(script.out!B:B,results.txt!$M343)</f>
        <v>1.04467</v>
      </c>
      <c r="O343">
        <f>INDEX(script.out!C:C,results.txt!$M343)</f>
        <v>4.5121000000000001E-2</v>
      </c>
      <c r="P343">
        <f>INDEX(script.out!D:D,results.txt!$M343)</f>
        <v>0.57565</v>
      </c>
      <c r="Q343">
        <f>INDEX(script.out!E:E,results.txt!$M343)</f>
        <v>21.961256216318802</v>
      </c>
      <c r="R343">
        <f>INDEX(script.out!F:F,results.txt!$M343)</f>
        <v>49</v>
      </c>
      <c r="S343">
        <f>INDEX(script.out!G:G,results.txt!$M343)</f>
        <v>190.822811361231</v>
      </c>
      <c r="T343" t="str">
        <f>INDEX(script.out!H:H,results.txt!$M343)</f>
        <v>{</v>
      </c>
      <c r="U343">
        <f>INDEX(script.out!I:I,results.txt!$M343)</f>
        <v>1.1357299999999999</v>
      </c>
      <c r="V343">
        <f>INDEX(script.out!J:J,results.txt!$M343)</f>
        <v>122.5605</v>
      </c>
      <c r="W343">
        <f>INDEX(script.out!K:K,results.txt!$M343)</f>
        <v>349.63350000000003</v>
      </c>
      <c r="X343" t="str">
        <f>INDEX(script.out!L:L,results.txt!$M343)</f>
        <v>}</v>
      </c>
      <c r="Y343" t="str">
        <f>INDEX(script.out!M:M,results.txt!$M343)</f>
        <v>{</v>
      </c>
      <c r="Z343">
        <f>INDEX(script.out!N:N,results.txt!$M343)</f>
        <v>14.686283838642099</v>
      </c>
      <c r="AA343">
        <f>INDEX(script.out!O:O,results.txt!$M343)</f>
        <v>15</v>
      </c>
      <c r="AB343">
        <f>INDEX(script.out!P:P,results.txt!$M343)</f>
        <v>2257.94</v>
      </c>
      <c r="AC343" t="str">
        <f>INDEX(script.out!Q:Q,results.txt!$M343)</f>
        <v>}</v>
      </c>
      <c r="AD343">
        <f t="shared" si="5"/>
        <v>0</v>
      </c>
    </row>
    <row r="344" spans="1:30" x14ac:dyDescent="0.25">
      <c r="A344" s="12" t="s">
        <v>4</v>
      </c>
      <c r="B344" s="12">
        <v>-3</v>
      </c>
      <c r="C344" s="12">
        <v>0.89129000000000003</v>
      </c>
      <c r="D344" s="12">
        <v>0.316884</v>
      </c>
      <c r="E344" s="12">
        <v>0.56539700000000004</v>
      </c>
      <c r="F344" s="12">
        <v>-3</v>
      </c>
      <c r="G344" s="12">
        <v>439.69099999999997</v>
      </c>
      <c r="H344" s="12">
        <v>36</v>
      </c>
      <c r="I344" s="12">
        <v>0.105403</v>
      </c>
      <c r="J344" s="12" t="s">
        <v>3</v>
      </c>
      <c r="K344" s="12">
        <v>0</v>
      </c>
      <c r="M344">
        <f>MATCH(C344,script.out!B:B,0)</f>
        <v>726</v>
      </c>
      <c r="N344">
        <f>INDEX(script.out!B:B,results.txt!$M344)</f>
        <v>0.89129000000000003</v>
      </c>
      <c r="O344">
        <f>INDEX(script.out!C:C,results.txt!$M344)</f>
        <v>0.316884</v>
      </c>
      <c r="P344">
        <f>INDEX(script.out!D:D,results.txt!$M344)</f>
        <v>0.56539700000000004</v>
      </c>
      <c r="Q344">
        <f>INDEX(script.out!E:E,results.txt!$M344)</f>
        <v>439.69090036666802</v>
      </c>
      <c r="R344">
        <f>INDEX(script.out!F:F,results.txt!$M344)</f>
        <v>36</v>
      </c>
      <c r="S344">
        <f>INDEX(script.out!G:G,results.txt!$M344)</f>
        <v>0.105402514543066</v>
      </c>
      <c r="T344" t="str">
        <f>INDEX(script.out!H:H,results.txt!$M344)</f>
        <v>{</v>
      </c>
      <c r="U344">
        <f>INDEX(script.out!I:I,results.txt!$M344)</f>
        <v>1.0130300000000001</v>
      </c>
      <c r="V344">
        <f>INDEX(script.out!J:J,results.txt!$M344)</f>
        <v>258.44200000000001</v>
      </c>
      <c r="W344">
        <f>INDEX(script.out!K:K,results.txt!$M344)</f>
        <v>343.58422999999999</v>
      </c>
      <c r="X344" t="str">
        <f>INDEX(script.out!L:L,results.txt!$M344)</f>
        <v>}</v>
      </c>
      <c r="Y344" t="str">
        <f>INDEX(script.out!M:M,results.txt!$M344)</f>
        <v>{</v>
      </c>
      <c r="Z344">
        <f>INDEX(script.out!N:N,results.txt!$M344)</f>
        <v>30.968807795548798</v>
      </c>
      <c r="AA344">
        <f>INDEX(script.out!O:O,results.txt!$M344)</f>
        <v>14</v>
      </c>
      <c r="AB344">
        <f>INDEX(script.out!P:P,results.txt!$M344)</f>
        <v>7181.5</v>
      </c>
      <c r="AC344" t="str">
        <f>INDEX(script.out!Q:Q,results.txt!$M344)</f>
        <v>}</v>
      </c>
      <c r="AD344">
        <f t="shared" si="5"/>
        <v>0</v>
      </c>
    </row>
    <row r="345" spans="1:30" x14ac:dyDescent="0.25">
      <c r="A345" s="12" t="s">
        <v>4</v>
      </c>
      <c r="B345" s="12">
        <v>-3</v>
      </c>
      <c r="C345" s="12">
        <v>1.1464399999999999</v>
      </c>
      <c r="D345" s="12">
        <v>3.8861199999999999E-3</v>
      </c>
      <c r="E345" s="12">
        <v>0.66831600000000002</v>
      </c>
      <c r="F345" s="12">
        <v>-3</v>
      </c>
      <c r="G345" s="12">
        <v>4.9094100000000003</v>
      </c>
      <c r="H345" s="12">
        <v>56.25</v>
      </c>
      <c r="I345" s="12">
        <v>265.53399999999999</v>
      </c>
      <c r="J345" s="12" t="s">
        <v>3</v>
      </c>
      <c r="K345" s="12">
        <v>0</v>
      </c>
      <c r="M345">
        <f>MATCH(C345,script.out!B:B,0)</f>
        <v>733</v>
      </c>
      <c r="N345">
        <f>INDEX(script.out!B:B,results.txt!$M345)</f>
        <v>1.1464399999999999</v>
      </c>
      <c r="O345">
        <f>INDEX(script.out!C:C,results.txt!$M345)</f>
        <v>3.8861199999999999E-3</v>
      </c>
      <c r="P345">
        <f>INDEX(script.out!D:D,results.txt!$M345)</f>
        <v>0.66831600000000002</v>
      </c>
      <c r="Q345">
        <f>INDEX(script.out!E:E,results.txt!$M345)</f>
        <v>4.9094137979307</v>
      </c>
      <c r="R345">
        <f>INDEX(script.out!F:F,results.txt!$M345)</f>
        <v>56.25</v>
      </c>
      <c r="S345">
        <f>INDEX(script.out!G:G,results.txt!$M345)</f>
        <v>265.53372161756403</v>
      </c>
      <c r="T345" t="str">
        <f>INDEX(script.out!H:H,results.txt!$M345)</f>
        <v>{</v>
      </c>
      <c r="U345">
        <f>INDEX(script.out!I:I,results.txt!$M345)</f>
        <v>1.21715</v>
      </c>
      <c r="V345">
        <f>INDEX(script.out!J:J,results.txt!$M345)</f>
        <v>101.94306</v>
      </c>
      <c r="W345">
        <f>INDEX(script.out!K:K,results.txt!$M345)</f>
        <v>404.30644000000001</v>
      </c>
      <c r="X345" t="str">
        <f>INDEX(script.out!L:L,results.txt!$M345)</f>
        <v>}</v>
      </c>
      <c r="Y345" t="str">
        <f>INDEX(script.out!M:M,results.txt!$M345)</f>
        <v>{</v>
      </c>
      <c r="Z345">
        <f>INDEX(script.out!N:N,results.txt!$M345)</f>
        <v>12.215719702022501</v>
      </c>
      <c r="AA345">
        <f>INDEX(script.out!O:O,results.txt!$M345)</f>
        <v>15.5</v>
      </c>
      <c r="AB345">
        <f>INDEX(script.out!P:P,results.txt!$M345)</f>
        <v>1352.25</v>
      </c>
      <c r="AC345" t="str">
        <f>INDEX(script.out!Q:Q,results.txt!$M345)</f>
        <v>}</v>
      </c>
      <c r="AD345">
        <f t="shared" si="5"/>
        <v>0</v>
      </c>
    </row>
    <row r="346" spans="1:30" x14ac:dyDescent="0.25">
      <c r="A346" s="12" t="s">
        <v>4</v>
      </c>
      <c r="B346" s="12">
        <v>-3</v>
      </c>
      <c r="C346" s="12">
        <v>0.95921000000000001</v>
      </c>
      <c r="D346" s="12">
        <v>0.34667100000000001</v>
      </c>
      <c r="E346" s="12">
        <v>0.59077299999999999</v>
      </c>
      <c r="F346" s="12">
        <v>-3</v>
      </c>
      <c r="G346" s="12">
        <v>517.721</v>
      </c>
      <c r="H346" s="12">
        <v>30.25</v>
      </c>
      <c r="I346" s="12">
        <v>5.1367699999999997E-3</v>
      </c>
      <c r="J346" s="12" t="s">
        <v>3</v>
      </c>
      <c r="K346" s="12">
        <v>0</v>
      </c>
      <c r="M346">
        <f>MATCH(C346,script.out!B:B,0)</f>
        <v>737</v>
      </c>
      <c r="N346">
        <f>INDEX(script.out!B:B,results.txt!$M346)</f>
        <v>0.95921000000000001</v>
      </c>
      <c r="O346">
        <f>INDEX(script.out!C:C,results.txt!$M346)</f>
        <v>0.34667100000000001</v>
      </c>
      <c r="P346">
        <f>INDEX(script.out!D:D,results.txt!$M346)</f>
        <v>0.59077299999999999</v>
      </c>
      <c r="Q346">
        <f>INDEX(script.out!E:E,results.txt!$M346)</f>
        <v>517.72079665168496</v>
      </c>
      <c r="R346">
        <f>INDEX(script.out!F:F,results.txt!$M346)</f>
        <v>30.25</v>
      </c>
      <c r="S346">
        <f>INDEX(script.out!G:G,results.txt!$M346)</f>
        <v>5.1367656220679299E-3</v>
      </c>
      <c r="T346" t="str">
        <f>INDEX(script.out!H:H,results.txt!$M346)</f>
        <v>{</v>
      </c>
      <c r="U346">
        <f>INDEX(script.out!I:I,results.txt!$M346)</f>
        <v>1.0673600000000001</v>
      </c>
      <c r="V346">
        <f>INDEX(script.out!J:J,results.txt!$M346)</f>
        <v>273.33550000000002</v>
      </c>
      <c r="W346">
        <f>INDEX(script.out!K:K,results.txt!$M346)</f>
        <v>358.55606999999998</v>
      </c>
      <c r="X346" t="str">
        <f>INDEX(script.out!L:L,results.txt!$M346)</f>
        <v>}</v>
      </c>
      <c r="Y346" t="str">
        <f>INDEX(script.out!M:M,results.txt!$M346)</f>
        <v>{</v>
      </c>
      <c r="Z346">
        <f>INDEX(script.out!N:N,results.txt!$M346)</f>
        <v>32.753478781313497</v>
      </c>
      <c r="AA346">
        <f>INDEX(script.out!O:O,results.txt!$M346)</f>
        <v>13.5</v>
      </c>
      <c r="AB346">
        <f>INDEX(script.out!P:P,results.txt!$M346)</f>
        <v>7273.84</v>
      </c>
      <c r="AC346" t="str">
        <f>INDEX(script.out!Q:Q,results.txt!$M346)</f>
        <v>}</v>
      </c>
      <c r="AD346">
        <f t="shared" si="5"/>
        <v>0</v>
      </c>
    </row>
    <row r="347" spans="1:30" x14ac:dyDescent="0.25">
      <c r="A347" s="12" t="s">
        <v>4</v>
      </c>
      <c r="B347" s="12">
        <v>-3</v>
      </c>
      <c r="C347" s="12">
        <v>1.03688</v>
      </c>
      <c r="D347" s="12">
        <v>-1.9765399999999999E-2</v>
      </c>
      <c r="E347" s="12">
        <v>0.61463400000000001</v>
      </c>
      <c r="F347" s="12">
        <v>-3</v>
      </c>
      <c r="G347" s="12">
        <v>0.63784600000000002</v>
      </c>
      <c r="H347" s="12">
        <v>81</v>
      </c>
      <c r="I347" s="12">
        <v>279.13</v>
      </c>
      <c r="J347" s="12" t="s">
        <v>3</v>
      </c>
      <c r="K347" s="12">
        <v>0</v>
      </c>
      <c r="M347">
        <f>MATCH(C347,script.out!B:B,0)</f>
        <v>738</v>
      </c>
      <c r="N347">
        <f>INDEX(script.out!B:B,results.txt!$M347)</f>
        <v>1.03688</v>
      </c>
      <c r="O347">
        <f>INDEX(script.out!C:C,results.txt!$M347)</f>
        <v>-1.9765399999999999E-2</v>
      </c>
      <c r="P347">
        <f>INDEX(script.out!D:D,results.txt!$M347)</f>
        <v>0.61463400000000001</v>
      </c>
      <c r="Q347">
        <f>INDEX(script.out!E:E,results.txt!$M347)</f>
        <v>0.63784577464847103</v>
      </c>
      <c r="R347">
        <f>INDEX(script.out!F:F,results.txt!$M347)</f>
        <v>81</v>
      </c>
      <c r="S347">
        <f>INDEX(script.out!G:G,results.txt!$M347)</f>
        <v>279.12979947006897</v>
      </c>
      <c r="T347" t="str">
        <f>INDEX(script.out!H:H,results.txt!$M347)</f>
        <v>{</v>
      </c>
      <c r="U347">
        <f>INDEX(script.out!I:I,results.txt!$M347)</f>
        <v>1.1294999999999999</v>
      </c>
      <c r="V347">
        <f>INDEX(script.out!J:J,results.txt!$M347)</f>
        <v>90.1173</v>
      </c>
      <c r="W347">
        <f>INDEX(script.out!K:K,results.txt!$M347)</f>
        <v>372.63405999999998</v>
      </c>
      <c r="X347" t="str">
        <f>INDEX(script.out!L:L,results.txt!$M347)</f>
        <v>}</v>
      </c>
      <c r="Y347" t="str">
        <f>INDEX(script.out!M:M,results.txt!$M347)</f>
        <v>{</v>
      </c>
      <c r="Z347">
        <f>INDEX(script.out!N:N,results.txt!$M347)</f>
        <v>10.7986524742642</v>
      </c>
      <c r="AA347">
        <f>INDEX(script.out!O:O,results.txt!$M347)</f>
        <v>17</v>
      </c>
      <c r="AB347">
        <f>INDEX(script.out!P:P,results.txt!$M347)</f>
        <v>1201.8800000000001</v>
      </c>
      <c r="AC347" t="str">
        <f>INDEX(script.out!Q:Q,results.txt!$M347)</f>
        <v>}</v>
      </c>
      <c r="AD347">
        <f t="shared" si="5"/>
        <v>0</v>
      </c>
    </row>
    <row r="348" spans="1:30" x14ac:dyDescent="0.25">
      <c r="A348" s="12" t="s">
        <v>4</v>
      </c>
      <c r="B348" s="12">
        <v>-3</v>
      </c>
      <c r="C348" s="12">
        <v>3.8540499999999998E-2</v>
      </c>
      <c r="D348" s="12">
        <v>4.3412499999999996E-3</v>
      </c>
      <c r="E348" s="12">
        <v>8.6211499999999996E-2</v>
      </c>
      <c r="F348" s="12">
        <v>-3</v>
      </c>
      <c r="G348" s="12">
        <v>5.0309999999999997</v>
      </c>
      <c r="H348" s="12">
        <v>110.25</v>
      </c>
      <c r="I348" s="12">
        <v>23.547499999999999</v>
      </c>
      <c r="J348" s="12" t="s">
        <v>3</v>
      </c>
      <c r="K348" s="12">
        <v>0</v>
      </c>
      <c r="M348">
        <f>MATCH(C348,script.out!B:B,0)</f>
        <v>745</v>
      </c>
      <c r="N348">
        <f>INDEX(script.out!B:B,results.txt!$M348)</f>
        <v>3.8540499999999998E-2</v>
      </c>
      <c r="O348">
        <f>INDEX(script.out!C:C,results.txt!$M348)</f>
        <v>4.3412499999999996E-3</v>
      </c>
      <c r="P348">
        <f>INDEX(script.out!D:D,results.txt!$M348)</f>
        <v>8.6211499999999996E-2</v>
      </c>
      <c r="Q348">
        <f>INDEX(script.out!E:E,results.txt!$M348)</f>
        <v>5.0309976551667903</v>
      </c>
      <c r="R348">
        <f>INDEX(script.out!F:F,results.txt!$M348)</f>
        <v>110.25</v>
      </c>
      <c r="S348">
        <f>INDEX(script.out!G:G,results.txt!$M348)</f>
        <v>23.547487454306602</v>
      </c>
      <c r="T348" t="str">
        <f>INDEX(script.out!H:H,results.txt!$M348)</f>
        <v>{</v>
      </c>
      <c r="U348">
        <f>INDEX(script.out!I:I,results.txt!$M348)</f>
        <v>0.33083240000000003</v>
      </c>
      <c r="V348">
        <f>INDEX(script.out!J:J,results.txt!$M348)</f>
        <v>102.170625</v>
      </c>
      <c r="W348">
        <f>INDEX(script.out!K:K,results.txt!$M348)</f>
        <v>60.864784999999998</v>
      </c>
      <c r="X348" t="str">
        <f>INDEX(script.out!L:L,results.txt!$M348)</f>
        <v>}</v>
      </c>
      <c r="Y348" t="str">
        <f>INDEX(script.out!M:M,results.txt!$M348)</f>
        <v>{</v>
      </c>
      <c r="Z348">
        <f>INDEX(script.out!N:N,results.txt!$M348)</f>
        <v>12.2429885543994</v>
      </c>
      <c r="AA348">
        <f>INDEX(script.out!O:O,results.txt!$M348)</f>
        <v>18.5</v>
      </c>
      <c r="AB348">
        <f>INDEX(script.out!P:P,results.txt!$M348)</f>
        <v>5528.81</v>
      </c>
      <c r="AC348" t="str">
        <f>INDEX(script.out!Q:Q,results.txt!$M348)</f>
        <v>}</v>
      </c>
      <c r="AD348">
        <f t="shared" si="5"/>
        <v>0</v>
      </c>
    </row>
    <row r="349" spans="1:30" x14ac:dyDescent="0.25">
      <c r="A349" s="12" t="s">
        <v>4</v>
      </c>
      <c r="B349" s="12">
        <v>-3</v>
      </c>
      <c r="C349" s="12">
        <v>0.50305299999999997</v>
      </c>
      <c r="D349" s="12">
        <v>-2.0377300000000001E-2</v>
      </c>
      <c r="E349" s="12">
        <v>0.13814499999999999</v>
      </c>
      <c r="F349" s="12">
        <v>-3</v>
      </c>
      <c r="G349" s="12">
        <v>0.58062999999999998</v>
      </c>
      <c r="H349" s="12">
        <v>132.25</v>
      </c>
      <c r="I349" s="12">
        <v>6.5738200000000004</v>
      </c>
      <c r="J349" s="12" t="s">
        <v>3</v>
      </c>
      <c r="K349" s="12">
        <v>0</v>
      </c>
      <c r="M349">
        <f>MATCH(C349,script.out!B:B,0)</f>
        <v>749</v>
      </c>
      <c r="N349">
        <f>INDEX(script.out!B:B,results.txt!$M349)</f>
        <v>0.50305299999999997</v>
      </c>
      <c r="O349">
        <f>INDEX(script.out!C:C,results.txt!$M349)</f>
        <v>-2.0377300000000001E-2</v>
      </c>
      <c r="P349">
        <f>INDEX(script.out!D:D,results.txt!$M349)</f>
        <v>0.13814499999999999</v>
      </c>
      <c r="Q349">
        <f>INDEX(script.out!E:E,results.txt!$M349)</f>
        <v>0.58063003633717403</v>
      </c>
      <c r="R349">
        <f>INDEX(script.out!F:F,results.txt!$M349)</f>
        <v>132.25</v>
      </c>
      <c r="S349">
        <f>INDEX(script.out!G:G,results.txt!$M349)</f>
        <v>6.5738150167010598</v>
      </c>
      <c r="T349" t="str">
        <f>INDEX(script.out!H:H,results.txt!$M349)</f>
        <v>{</v>
      </c>
      <c r="U349">
        <f>INDEX(script.out!I:I,results.txt!$M349)</f>
        <v>0.70244200000000001</v>
      </c>
      <c r="V349">
        <f>INDEX(script.out!J:J,results.txt!$M349)</f>
        <v>89.811350000000004</v>
      </c>
      <c r="W349">
        <f>INDEX(script.out!K:K,results.txt!$M349)</f>
        <v>91.505549999999999</v>
      </c>
      <c r="X349" t="str">
        <f>INDEX(script.out!L:L,results.txt!$M349)</f>
        <v>}</v>
      </c>
      <c r="Y349" t="str">
        <f>INDEX(script.out!M:M,results.txt!$M349)</f>
        <v>{</v>
      </c>
      <c r="Z349">
        <f>INDEX(script.out!N:N,results.txt!$M349)</f>
        <v>10.7619908374364</v>
      </c>
      <c r="AA349">
        <f>INDEX(script.out!O:O,results.txt!$M349)</f>
        <v>19.5</v>
      </c>
      <c r="AB349">
        <f>INDEX(script.out!P:P,results.txt!$M349)</f>
        <v>6364.16</v>
      </c>
      <c r="AC349" t="str">
        <f>INDEX(script.out!Q:Q,results.txt!$M349)</f>
        <v>}</v>
      </c>
      <c r="AD349">
        <f t="shared" si="5"/>
        <v>0</v>
      </c>
    </row>
    <row r="350" spans="1:30" x14ac:dyDescent="0.25">
      <c r="A350" s="12" t="s">
        <v>4</v>
      </c>
      <c r="B350" s="12">
        <v>-3</v>
      </c>
      <c r="C350" s="12">
        <v>0.97041500000000003</v>
      </c>
      <c r="D350" s="12">
        <v>0.105874</v>
      </c>
      <c r="E350" s="12">
        <v>0.58579700000000001</v>
      </c>
      <c r="F350" s="12">
        <v>-3</v>
      </c>
      <c r="G350" s="12">
        <v>69.326700000000002</v>
      </c>
      <c r="H350" s="12">
        <v>42.25</v>
      </c>
      <c r="I350" s="12">
        <v>111.712</v>
      </c>
      <c r="J350" s="12" t="s">
        <v>3</v>
      </c>
      <c r="K350" s="12">
        <v>0</v>
      </c>
      <c r="M350">
        <f>MATCH(C350,script.out!B:B,0)</f>
        <v>753</v>
      </c>
      <c r="N350">
        <f>INDEX(script.out!B:B,results.txt!$M350)</f>
        <v>0.97041500000000003</v>
      </c>
      <c r="O350">
        <f>INDEX(script.out!C:C,results.txt!$M350)</f>
        <v>0.105874</v>
      </c>
      <c r="P350">
        <f>INDEX(script.out!D:D,results.txt!$M350)</f>
        <v>0.58579700000000001</v>
      </c>
      <c r="Q350">
        <f>INDEX(script.out!E:E,results.txt!$M350)</f>
        <v>69.326687477635701</v>
      </c>
      <c r="R350">
        <f>INDEX(script.out!F:F,results.txt!$M350)</f>
        <v>42.25</v>
      </c>
      <c r="S350">
        <f>INDEX(script.out!G:G,results.txt!$M350)</f>
        <v>111.711579301182</v>
      </c>
      <c r="T350" t="str">
        <f>INDEX(script.out!H:H,results.txt!$M350)</f>
        <v>{</v>
      </c>
      <c r="U350">
        <f>INDEX(script.out!I:I,results.txt!$M350)</f>
        <v>1.0763320000000001</v>
      </c>
      <c r="V350">
        <f>INDEX(script.out!J:J,results.txt!$M350)</f>
        <v>152.93700000000001</v>
      </c>
      <c r="W350">
        <f>INDEX(script.out!K:K,results.txt!$M350)</f>
        <v>355.62022999999999</v>
      </c>
      <c r="X350" t="str">
        <f>INDEX(script.out!L:L,results.txt!$M350)</f>
        <v>}</v>
      </c>
      <c r="Y350" t="str">
        <f>INDEX(script.out!M:M,results.txt!$M350)</f>
        <v>{</v>
      </c>
      <c r="Z350">
        <f>INDEX(script.out!N:N,results.txt!$M350)</f>
        <v>18.326264917574701</v>
      </c>
      <c r="AA350">
        <f>INDEX(script.out!O:O,results.txt!$M350)</f>
        <v>14.5</v>
      </c>
      <c r="AB350">
        <f>INDEX(script.out!P:P,results.txt!$M350)</f>
        <v>3442.18</v>
      </c>
      <c r="AC350" t="str">
        <f>INDEX(script.out!Q:Q,results.txt!$M350)</f>
        <v>}</v>
      </c>
      <c r="AD350">
        <f t="shared" si="5"/>
        <v>0</v>
      </c>
    </row>
    <row r="351" spans="1:30" x14ac:dyDescent="0.25">
      <c r="A351" s="12" t="s">
        <v>4</v>
      </c>
      <c r="B351" s="12">
        <v>-3</v>
      </c>
      <c r="C351" s="12">
        <v>0.137846</v>
      </c>
      <c r="D351" s="12">
        <v>-2.7607199999999998E-2</v>
      </c>
      <c r="E351" s="12">
        <v>0.208874</v>
      </c>
      <c r="F351" s="12">
        <v>-3</v>
      </c>
      <c r="G351" s="12">
        <v>0.10811999999999999</v>
      </c>
      <c r="H351" s="12">
        <v>132.25</v>
      </c>
      <c r="I351" s="12">
        <v>126.051</v>
      </c>
      <c r="J351" s="12" t="s">
        <v>3</v>
      </c>
      <c r="K351" s="12">
        <v>0</v>
      </c>
      <c r="M351">
        <f>MATCH(C351,script.out!B:B,0)</f>
        <v>754</v>
      </c>
      <c r="N351">
        <f>INDEX(script.out!B:B,results.txt!$M351)</f>
        <v>0.137846</v>
      </c>
      <c r="O351">
        <f>INDEX(script.out!C:C,results.txt!$M351)</f>
        <v>-2.7607199999999998E-2</v>
      </c>
      <c r="P351">
        <f>INDEX(script.out!D:D,results.txt!$M351)</f>
        <v>0.208874</v>
      </c>
      <c r="Q351">
        <f>INDEX(script.out!E:E,results.txt!$M351)</f>
        <v>0.108119655476592</v>
      </c>
      <c r="R351">
        <f>INDEX(script.out!F:F,results.txt!$M351)</f>
        <v>132.25</v>
      </c>
      <c r="S351">
        <f>INDEX(script.out!G:G,results.txt!$M351)</f>
        <v>126.051373259523</v>
      </c>
      <c r="T351" t="str">
        <f>INDEX(script.out!H:H,results.txt!$M351)</f>
        <v>{</v>
      </c>
      <c r="U351">
        <f>INDEX(script.out!I:I,results.txt!$M351)</f>
        <v>0.41027599999999997</v>
      </c>
      <c r="V351">
        <f>INDEX(script.out!J:J,results.txt!$M351)</f>
        <v>86.196399999999997</v>
      </c>
      <c r="W351">
        <f>INDEX(script.out!K:K,results.txt!$M351)</f>
        <v>133.23566</v>
      </c>
      <c r="X351" t="str">
        <f>INDEX(script.out!L:L,results.txt!$M351)</f>
        <v>}</v>
      </c>
      <c r="Y351" t="str">
        <f>INDEX(script.out!M:M,results.txt!$M351)</f>
        <v>{</v>
      </c>
      <c r="Z351">
        <f>INDEX(script.out!N:N,results.txt!$M351)</f>
        <v>10.328815534116901</v>
      </c>
      <c r="AA351">
        <f>INDEX(script.out!O:O,results.txt!$M351)</f>
        <v>19.5</v>
      </c>
      <c r="AB351">
        <f>INDEX(script.out!P:P,results.txt!$M351)</f>
        <v>3202.05</v>
      </c>
      <c r="AC351" t="str">
        <f>INDEX(script.out!Q:Q,results.txt!$M351)</f>
        <v>}</v>
      </c>
      <c r="AD351">
        <f t="shared" si="5"/>
        <v>0</v>
      </c>
    </row>
    <row r="352" spans="1:30" x14ac:dyDescent="0.25">
      <c r="A352" s="12" t="s">
        <v>4</v>
      </c>
      <c r="B352" s="12">
        <v>-3</v>
      </c>
      <c r="C352" s="12">
        <v>1.0660799999999999</v>
      </c>
      <c r="D352" s="12">
        <v>-1.1938600000000001E-2</v>
      </c>
      <c r="E352" s="12">
        <v>0.62314700000000001</v>
      </c>
      <c r="F352" s="12">
        <v>-3</v>
      </c>
      <c r="G352" s="12">
        <v>1.6067899999999999</v>
      </c>
      <c r="H352" s="12">
        <v>72.25</v>
      </c>
      <c r="I352" s="12">
        <v>282.42</v>
      </c>
      <c r="J352" s="12" t="s">
        <v>3</v>
      </c>
      <c r="K352" s="12">
        <v>0</v>
      </c>
      <c r="M352">
        <f>MATCH(C352,script.out!B:B,0)</f>
        <v>761</v>
      </c>
      <c r="N352">
        <f>INDEX(script.out!B:B,results.txt!$M352)</f>
        <v>1.0660799999999999</v>
      </c>
      <c r="O352">
        <f>INDEX(script.out!C:C,results.txt!$M352)</f>
        <v>-1.1938600000000001E-2</v>
      </c>
      <c r="P352">
        <f>INDEX(script.out!D:D,results.txt!$M352)</f>
        <v>0.62314700000000001</v>
      </c>
      <c r="Q352">
        <f>INDEX(script.out!E:E,results.txt!$M352)</f>
        <v>1.60678617773848</v>
      </c>
      <c r="R352">
        <f>INDEX(script.out!F:F,results.txt!$M352)</f>
        <v>72.25</v>
      </c>
      <c r="S352">
        <f>INDEX(script.out!G:G,results.txt!$M352)</f>
        <v>282.41953539125501</v>
      </c>
      <c r="T352" t="str">
        <f>INDEX(script.out!H:H,results.txt!$M352)</f>
        <v>{</v>
      </c>
      <c r="U352">
        <f>INDEX(script.out!I:I,results.txt!$M352)</f>
        <v>1.15286</v>
      </c>
      <c r="V352">
        <f>INDEX(script.out!J:J,results.txt!$M352)</f>
        <v>94.030699999999996</v>
      </c>
      <c r="W352">
        <f>INDEX(script.out!K:K,results.txt!$M352)</f>
        <v>377.65672999999998</v>
      </c>
      <c r="X352" t="str">
        <f>INDEX(script.out!L:L,results.txt!$M352)</f>
        <v>}</v>
      </c>
      <c r="Y352" t="str">
        <f>INDEX(script.out!M:M,results.txt!$M352)</f>
        <v>{</v>
      </c>
      <c r="Z352">
        <f>INDEX(script.out!N:N,results.txt!$M352)</f>
        <v>11.2675906980324</v>
      </c>
      <c r="AA352">
        <f>INDEX(script.out!O:O,results.txt!$M352)</f>
        <v>16.5</v>
      </c>
      <c r="AB352">
        <f>INDEX(script.out!P:P,results.txt!$M352)</f>
        <v>1166.05</v>
      </c>
      <c r="AC352" t="str">
        <f>INDEX(script.out!Q:Q,results.txt!$M352)</f>
        <v>}</v>
      </c>
      <c r="AD352">
        <f t="shared" si="5"/>
        <v>0</v>
      </c>
    </row>
    <row r="353" spans="1:30" x14ac:dyDescent="0.25">
      <c r="A353" s="12" t="s">
        <v>4</v>
      </c>
      <c r="B353" s="12">
        <v>-3</v>
      </c>
      <c r="C353" s="12">
        <v>0.210565</v>
      </c>
      <c r="D353" s="12">
        <v>6.5054400000000004E-3</v>
      </c>
      <c r="E353" s="12">
        <v>9.6895899999999993E-2</v>
      </c>
      <c r="F353" s="12">
        <v>-3</v>
      </c>
      <c r="G353" s="12">
        <v>5.6294899999999997</v>
      </c>
      <c r="H353" s="12">
        <v>132.25</v>
      </c>
      <c r="I353" s="13">
        <v>2.2464999999999999E-5</v>
      </c>
      <c r="J353" s="12" t="s">
        <v>3</v>
      </c>
      <c r="K353" s="12">
        <v>0</v>
      </c>
      <c r="M353">
        <f>MATCH(C353,script.out!B:B,0)</f>
        <v>764</v>
      </c>
      <c r="N353">
        <f>INDEX(script.out!B:B,results.txt!$M353)</f>
        <v>0.210565</v>
      </c>
      <c r="O353">
        <f>INDEX(script.out!C:C,results.txt!$M353)</f>
        <v>6.5054400000000004E-3</v>
      </c>
      <c r="P353">
        <f>INDEX(script.out!D:D,results.txt!$M353)</f>
        <v>9.6895899999999993E-2</v>
      </c>
      <c r="Q353">
        <f>INDEX(script.out!E:E,results.txt!$M353)</f>
        <v>5.6294905837784199</v>
      </c>
      <c r="R353">
        <f>INDEX(script.out!F:F,results.txt!$M353)</f>
        <v>132.25</v>
      </c>
      <c r="S353">
        <f>INDEX(script.out!G:G,results.txt!$M353)</f>
        <v>2.2465002814787001E-5</v>
      </c>
      <c r="T353" t="str">
        <f>INDEX(script.out!H:H,results.txt!$M353)</f>
        <v>{</v>
      </c>
      <c r="U353">
        <f>INDEX(script.out!I:I,results.txt!$M353)</f>
        <v>0.46845199999999998</v>
      </c>
      <c r="V353">
        <f>INDEX(script.out!J:J,results.txt!$M353)</f>
        <v>103.25272</v>
      </c>
      <c r="W353">
        <f>INDEX(script.out!K:K,results.txt!$M353)</f>
        <v>67.168581000000003</v>
      </c>
      <c r="X353" t="str">
        <f>INDEX(script.out!L:L,results.txt!$M353)</f>
        <v>}</v>
      </c>
      <c r="Y353" t="str">
        <f>INDEX(script.out!M:M,results.txt!$M353)</f>
        <v>{</v>
      </c>
      <c r="Z353">
        <f>INDEX(script.out!N:N,results.txt!$M353)</f>
        <v>12.372654754442401</v>
      </c>
      <c r="AA353">
        <f>INDEX(script.out!O:O,results.txt!$M353)</f>
        <v>19.5</v>
      </c>
      <c r="AB353">
        <f>INDEX(script.out!P:P,results.txt!$M353)</f>
        <v>7301.73</v>
      </c>
      <c r="AC353" t="str">
        <f>INDEX(script.out!Q:Q,results.txt!$M353)</f>
        <v>}</v>
      </c>
      <c r="AD353">
        <f t="shared" si="5"/>
        <v>0</v>
      </c>
    </row>
    <row r="354" spans="1:30" x14ac:dyDescent="0.25">
      <c r="A354" s="12" t="s">
        <v>4</v>
      </c>
      <c r="B354" s="12">
        <v>-3</v>
      </c>
      <c r="C354" s="12">
        <v>0.82169099999999995</v>
      </c>
      <c r="D354" s="12">
        <v>7.8037800000000004E-2</v>
      </c>
      <c r="E354" s="12">
        <v>0.65423600000000004</v>
      </c>
      <c r="F354" s="12">
        <v>-3</v>
      </c>
      <c r="G354" s="12">
        <v>44.335299999999997</v>
      </c>
      <c r="H354" s="12">
        <v>56.25</v>
      </c>
      <c r="I354" s="12">
        <v>141.91800000000001</v>
      </c>
      <c r="J354" s="12" t="s">
        <v>3</v>
      </c>
      <c r="K354" s="12">
        <v>0</v>
      </c>
      <c r="M354">
        <f>MATCH(C354,script.out!B:B,0)</f>
        <v>769</v>
      </c>
      <c r="N354">
        <f>INDEX(script.out!B:B,results.txt!$M354)</f>
        <v>0.82169099999999995</v>
      </c>
      <c r="O354">
        <f>INDEX(script.out!C:C,results.txt!$M354)</f>
        <v>7.8037800000000004E-2</v>
      </c>
      <c r="P354">
        <f>INDEX(script.out!D:D,results.txt!$M354)</f>
        <v>0.65423600000000004</v>
      </c>
      <c r="Q354">
        <f>INDEX(script.out!E:E,results.txt!$M354)</f>
        <v>44.335289227651103</v>
      </c>
      <c r="R354">
        <f>INDEX(script.out!F:F,results.txt!$M354)</f>
        <v>56.25</v>
      </c>
      <c r="S354">
        <f>INDEX(script.out!G:G,results.txt!$M354)</f>
        <v>141.917937086883</v>
      </c>
      <c r="T354" t="str">
        <f>INDEX(script.out!H:H,results.txt!$M354)</f>
        <v>{</v>
      </c>
      <c r="U354">
        <f>INDEX(script.out!I:I,results.txt!$M354)</f>
        <v>0.95735199999999998</v>
      </c>
      <c r="V354">
        <f>INDEX(script.out!J:J,results.txt!$M354)</f>
        <v>139.0189</v>
      </c>
      <c r="W354">
        <f>INDEX(script.out!K:K,results.txt!$M354)</f>
        <v>395.99923999999999</v>
      </c>
      <c r="X354" t="str">
        <f>INDEX(script.out!L:L,results.txt!$M354)</f>
        <v>}</v>
      </c>
      <c r="Y354" t="str">
        <f>INDEX(script.out!M:M,results.txt!$M354)</f>
        <v>{</v>
      </c>
      <c r="Z354">
        <f>INDEX(script.out!N:N,results.txt!$M354)</f>
        <v>16.658474992642901</v>
      </c>
      <c r="AA354">
        <f>INDEX(script.out!O:O,results.txt!$M354)</f>
        <v>15.5</v>
      </c>
      <c r="AB354">
        <f>INDEX(script.out!P:P,results.txt!$M354)</f>
        <v>2951.78</v>
      </c>
      <c r="AC354" t="str">
        <f>INDEX(script.out!Q:Q,results.txt!$M354)</f>
        <v>}</v>
      </c>
      <c r="AD354">
        <f t="shared" si="5"/>
        <v>0</v>
      </c>
    </row>
    <row r="355" spans="1:30" x14ac:dyDescent="0.25">
      <c r="A355" s="12" t="s">
        <v>4</v>
      </c>
      <c r="B355" s="12">
        <v>-3</v>
      </c>
      <c r="C355" s="12">
        <v>1.1841200000000001</v>
      </c>
      <c r="D355" s="12">
        <v>-2.1138500000000001E-2</v>
      </c>
      <c r="E355" s="12">
        <v>0.58893799999999996</v>
      </c>
      <c r="F355" s="12">
        <v>-3</v>
      </c>
      <c r="G355" s="12">
        <v>0.51320600000000005</v>
      </c>
      <c r="H355" s="12">
        <v>64</v>
      </c>
      <c r="I355" s="12">
        <v>282.43900000000002</v>
      </c>
      <c r="J355" s="12" t="s">
        <v>3</v>
      </c>
      <c r="K355" s="12">
        <v>0</v>
      </c>
      <c r="M355">
        <f>MATCH(C355,script.out!B:B,0)</f>
        <v>770</v>
      </c>
      <c r="N355">
        <f>INDEX(script.out!B:B,results.txt!$M355)</f>
        <v>1.1841200000000001</v>
      </c>
      <c r="O355">
        <f>INDEX(script.out!C:C,results.txt!$M355)</f>
        <v>-2.1138500000000001E-2</v>
      </c>
      <c r="P355">
        <f>INDEX(script.out!D:D,results.txt!$M355)</f>
        <v>0.58893799999999996</v>
      </c>
      <c r="Q355">
        <f>INDEX(script.out!E:E,results.txt!$M355)</f>
        <v>0.51320600238005698</v>
      </c>
      <c r="R355">
        <f>INDEX(script.out!F:F,results.txt!$M355)</f>
        <v>64</v>
      </c>
      <c r="S355">
        <f>INDEX(script.out!G:G,results.txt!$M355)</f>
        <v>282.43887337661801</v>
      </c>
      <c r="T355" t="str">
        <f>INDEX(script.out!H:H,results.txt!$M355)</f>
        <v>{</v>
      </c>
      <c r="U355">
        <f>INDEX(script.out!I:I,results.txt!$M355)</f>
        <v>1.24729</v>
      </c>
      <c r="V355">
        <f>INDEX(script.out!J:J,results.txt!$M355)</f>
        <v>89.430750000000003</v>
      </c>
      <c r="W355">
        <f>INDEX(script.out!K:K,results.txt!$M355)</f>
        <v>357.47341999999998</v>
      </c>
      <c r="X355" t="str">
        <f>INDEX(script.out!L:L,results.txt!$M355)</f>
        <v>}</v>
      </c>
      <c r="Y355" t="str">
        <f>INDEX(script.out!M:M,results.txt!$M355)</f>
        <v>{</v>
      </c>
      <c r="Z355">
        <f>INDEX(script.out!N:N,results.txt!$M355)</f>
        <v>10.716383976914599</v>
      </c>
      <c r="AA355">
        <f>INDEX(script.out!O:O,results.txt!$M355)</f>
        <v>16</v>
      </c>
      <c r="AB355">
        <f>INDEX(script.out!P:P,results.txt!$M355)</f>
        <v>1165.8399999999999</v>
      </c>
      <c r="AC355" t="str">
        <f>INDEX(script.out!Q:Q,results.txt!$M355)</f>
        <v>}</v>
      </c>
      <c r="AD355">
        <f t="shared" si="5"/>
        <v>0</v>
      </c>
    </row>
    <row r="356" spans="1:30" x14ac:dyDescent="0.25">
      <c r="A356" s="12" t="s">
        <v>4</v>
      </c>
      <c r="B356" s="12">
        <v>-3</v>
      </c>
      <c r="C356" s="12">
        <v>0.95099100000000003</v>
      </c>
      <c r="D356" s="12">
        <v>4.6025700000000003E-2</v>
      </c>
      <c r="E356" s="12">
        <v>0.53393000000000002</v>
      </c>
      <c r="F356" s="12">
        <v>-3</v>
      </c>
      <c r="G356" s="12">
        <v>22.472200000000001</v>
      </c>
      <c r="H356" s="12">
        <v>56.25</v>
      </c>
      <c r="I356" s="12">
        <v>173.703</v>
      </c>
      <c r="J356" s="12" t="s">
        <v>3</v>
      </c>
      <c r="K356" s="12">
        <v>0</v>
      </c>
      <c r="M356">
        <f>MATCH(C356,script.out!B:B,0)</f>
        <v>772</v>
      </c>
      <c r="N356">
        <f>INDEX(script.out!B:B,results.txt!$M356)</f>
        <v>0.95099100000000003</v>
      </c>
      <c r="O356">
        <f>INDEX(script.out!C:C,results.txt!$M356)</f>
        <v>4.6025700000000003E-2</v>
      </c>
      <c r="P356">
        <f>INDEX(script.out!D:D,results.txt!$M356)</f>
        <v>0.53393000000000002</v>
      </c>
      <c r="Q356">
        <f>INDEX(script.out!E:E,results.txt!$M356)</f>
        <v>22.472230452488201</v>
      </c>
      <c r="R356">
        <f>INDEX(script.out!F:F,results.txt!$M356)</f>
        <v>56.25</v>
      </c>
      <c r="S356">
        <f>INDEX(script.out!G:G,results.txt!$M356)</f>
        <v>173.703011633702</v>
      </c>
      <c r="T356" t="str">
        <f>INDEX(script.out!H:H,results.txt!$M356)</f>
        <v>{</v>
      </c>
      <c r="U356">
        <f>INDEX(script.out!I:I,results.txt!$M356)</f>
        <v>1.060792</v>
      </c>
      <c r="V356">
        <f>INDEX(script.out!J:J,results.txt!$M356)</f>
        <v>123.01285</v>
      </c>
      <c r="W356">
        <f>INDEX(script.out!K:K,results.txt!$M356)</f>
        <v>325.01870000000002</v>
      </c>
      <c r="X356" t="str">
        <f>INDEX(script.out!L:L,results.txt!$M356)</f>
        <v>}</v>
      </c>
      <c r="Y356" t="str">
        <f>INDEX(script.out!M:M,results.txt!$M356)</f>
        <v>{</v>
      </c>
      <c r="Z356">
        <f>INDEX(script.out!N:N,results.txt!$M356)</f>
        <v>14.740488419191401</v>
      </c>
      <c r="AA356">
        <f>INDEX(script.out!O:O,results.txt!$M356)</f>
        <v>15.5</v>
      </c>
      <c r="AB356">
        <f>INDEX(script.out!P:P,results.txt!$M356)</f>
        <v>2489.4299999999998</v>
      </c>
      <c r="AC356" t="str">
        <f>INDEX(script.out!Q:Q,results.txt!$M356)</f>
        <v>}</v>
      </c>
      <c r="AD356">
        <f t="shared" si="5"/>
        <v>0</v>
      </c>
    </row>
    <row r="357" spans="1:30" x14ac:dyDescent="0.25">
      <c r="A357" s="12" t="s">
        <v>4</v>
      </c>
      <c r="B357" s="12">
        <v>-3</v>
      </c>
      <c r="C357" s="12">
        <v>0.90958000000000006</v>
      </c>
      <c r="D357" s="12">
        <v>7.2333200000000003E-4</v>
      </c>
      <c r="E357" s="12">
        <v>0.62061599999999995</v>
      </c>
      <c r="F357" s="12">
        <v>-3</v>
      </c>
      <c r="G357" s="12">
        <v>4.1055799999999998</v>
      </c>
      <c r="H357" s="12">
        <v>72.25</v>
      </c>
      <c r="I357" s="12">
        <v>252.548</v>
      </c>
      <c r="J357" s="12" t="s">
        <v>3</v>
      </c>
      <c r="K357" s="12">
        <v>0</v>
      </c>
      <c r="M357">
        <f>MATCH(C357,script.out!B:B,0)</f>
        <v>774</v>
      </c>
      <c r="N357">
        <f>INDEX(script.out!B:B,results.txt!$M357)</f>
        <v>0.90958000000000006</v>
      </c>
      <c r="O357">
        <f>INDEX(script.out!C:C,results.txt!$M357)</f>
        <v>7.2333200000000003E-4</v>
      </c>
      <c r="P357">
        <f>INDEX(script.out!D:D,results.txt!$M357)</f>
        <v>0.62061599999999995</v>
      </c>
      <c r="Q357">
        <f>INDEX(script.out!E:E,results.txt!$M357)</f>
        <v>4.1055799566545499</v>
      </c>
      <c r="R357">
        <f>INDEX(script.out!F:F,results.txt!$M357)</f>
        <v>72.25</v>
      </c>
      <c r="S357">
        <f>INDEX(script.out!G:G,results.txt!$M357)</f>
        <v>252.547826910114</v>
      </c>
      <c r="T357" t="str">
        <f>INDEX(script.out!H:H,results.txt!$M357)</f>
        <v>{</v>
      </c>
      <c r="U357">
        <f>INDEX(script.out!I:I,results.txt!$M357)</f>
        <v>1.02766</v>
      </c>
      <c r="V357">
        <f>INDEX(script.out!J:J,results.txt!$M357)</f>
        <v>100.361666</v>
      </c>
      <c r="W357">
        <f>INDEX(script.out!K:K,results.txt!$M357)</f>
        <v>376.16343999999998</v>
      </c>
      <c r="X357" t="str">
        <f>INDEX(script.out!L:L,results.txt!$M357)</f>
        <v>}</v>
      </c>
      <c r="Y357" t="str">
        <f>INDEX(script.out!M:M,results.txt!$M357)</f>
        <v>{</v>
      </c>
      <c r="Z357">
        <f>INDEX(script.out!N:N,results.txt!$M357)</f>
        <v>12.026223076725399</v>
      </c>
      <c r="AA357">
        <f>INDEX(script.out!O:O,results.txt!$M357)</f>
        <v>16.5</v>
      </c>
      <c r="AB357">
        <f>INDEX(script.out!P:P,results.txt!$M357)</f>
        <v>1499.51</v>
      </c>
      <c r="AC357" t="str">
        <f>INDEX(script.out!Q:Q,results.txt!$M357)</f>
        <v>}</v>
      </c>
      <c r="AD357">
        <f t="shared" si="5"/>
        <v>0</v>
      </c>
    </row>
    <row r="358" spans="1:30" x14ac:dyDescent="0.25">
      <c r="A358" s="12" t="s">
        <v>4</v>
      </c>
      <c r="B358" s="12">
        <v>-3</v>
      </c>
      <c r="C358" s="12">
        <v>0.89823500000000001</v>
      </c>
      <c r="D358" s="12">
        <v>0.29504799999999998</v>
      </c>
      <c r="E358" s="12">
        <v>0.57559700000000003</v>
      </c>
      <c r="F358" s="12">
        <v>-3</v>
      </c>
      <c r="G358" s="12">
        <v>386.536</v>
      </c>
      <c r="H358" s="12">
        <v>36</v>
      </c>
      <c r="I358" s="12">
        <v>1.7406600000000001</v>
      </c>
      <c r="J358" s="12" t="s">
        <v>3</v>
      </c>
      <c r="K358" s="12">
        <v>0</v>
      </c>
      <c r="M358">
        <f>MATCH(C358,script.out!B:B,0)</f>
        <v>775</v>
      </c>
      <c r="N358">
        <f>INDEX(script.out!B:B,results.txt!$M358)</f>
        <v>0.89823500000000001</v>
      </c>
      <c r="O358">
        <f>INDEX(script.out!C:C,results.txt!$M358)</f>
        <v>0.29504799999999998</v>
      </c>
      <c r="P358">
        <f>INDEX(script.out!D:D,results.txt!$M358)</f>
        <v>0.57559700000000003</v>
      </c>
      <c r="Q358">
        <f>INDEX(script.out!E:E,results.txt!$M358)</f>
        <v>386.53590531803098</v>
      </c>
      <c r="R358">
        <f>INDEX(script.out!F:F,results.txt!$M358)</f>
        <v>36</v>
      </c>
      <c r="S358">
        <f>INDEX(script.out!G:G,results.txt!$M358)</f>
        <v>1.7406645419403199</v>
      </c>
      <c r="T358" t="str">
        <f>INDEX(script.out!H:H,results.txt!$M358)</f>
        <v>{</v>
      </c>
      <c r="U358">
        <f>INDEX(script.out!I:I,results.txt!$M358)</f>
        <v>1.018588</v>
      </c>
      <c r="V358">
        <f>INDEX(script.out!J:J,results.txt!$M358)</f>
        <v>247.524</v>
      </c>
      <c r="W358">
        <f>INDEX(script.out!K:K,results.txt!$M358)</f>
        <v>349.60223000000002</v>
      </c>
      <c r="X358" t="str">
        <f>INDEX(script.out!L:L,results.txt!$M358)</f>
        <v>}</v>
      </c>
      <c r="Y358" t="str">
        <f>INDEX(script.out!M:M,results.txt!$M358)</f>
        <v>{</v>
      </c>
      <c r="Z358">
        <f>INDEX(script.out!N:N,results.txt!$M358)</f>
        <v>29.660516405171801</v>
      </c>
      <c r="AA358">
        <f>INDEX(script.out!O:O,results.txt!$M358)</f>
        <v>14</v>
      </c>
      <c r="AB358">
        <f>INDEX(script.out!P:P,results.txt!$M358)</f>
        <v>6818.44</v>
      </c>
      <c r="AC358" t="str">
        <f>INDEX(script.out!Q:Q,results.txt!$M358)</f>
        <v>}</v>
      </c>
      <c r="AD358">
        <f t="shared" si="5"/>
        <v>0</v>
      </c>
    </row>
    <row r="359" spans="1:30" x14ac:dyDescent="0.25">
      <c r="A359" s="12" t="s">
        <v>4</v>
      </c>
      <c r="B359" s="12">
        <v>-3</v>
      </c>
      <c r="C359" s="12">
        <v>1.0422400000000001</v>
      </c>
      <c r="D359" s="12">
        <v>0.13772699999999999</v>
      </c>
      <c r="E359" s="12">
        <v>0.63768800000000003</v>
      </c>
      <c r="F359" s="12">
        <v>-3</v>
      </c>
      <c r="G359" s="12">
        <v>104.749</v>
      </c>
      <c r="H359" s="12">
        <v>36</v>
      </c>
      <c r="I359" s="12">
        <v>113.83799999999999</v>
      </c>
      <c r="J359" s="12" t="s">
        <v>3</v>
      </c>
      <c r="K359" s="12">
        <v>0</v>
      </c>
      <c r="M359">
        <f>MATCH(C359,script.out!B:B,0)</f>
        <v>776</v>
      </c>
      <c r="N359">
        <f>INDEX(script.out!B:B,results.txt!$M359)</f>
        <v>1.0422400000000001</v>
      </c>
      <c r="O359">
        <f>INDEX(script.out!C:C,results.txt!$M359)</f>
        <v>0.13772699999999999</v>
      </c>
      <c r="P359">
        <f>INDEX(script.out!D:D,results.txt!$M359)</f>
        <v>0.63768800000000003</v>
      </c>
      <c r="Q359">
        <f>INDEX(script.out!E:E,results.txt!$M359)</f>
        <v>104.74947517799301</v>
      </c>
      <c r="R359">
        <f>INDEX(script.out!F:F,results.txt!$M359)</f>
        <v>36</v>
      </c>
      <c r="S359">
        <f>INDEX(script.out!G:G,results.txt!$M359)</f>
        <v>113.83837640758099</v>
      </c>
      <c r="T359" t="str">
        <f>INDEX(script.out!H:H,results.txt!$M359)</f>
        <v>{</v>
      </c>
      <c r="U359">
        <f>INDEX(script.out!I:I,results.txt!$M359)</f>
        <v>1.1337900000000001</v>
      </c>
      <c r="V359">
        <f>INDEX(script.out!J:J,results.txt!$M359)</f>
        <v>168.86349999999999</v>
      </c>
      <c r="W359">
        <f>INDEX(script.out!K:K,results.txt!$M359)</f>
        <v>386.23592000000002</v>
      </c>
      <c r="X359" t="str">
        <f>INDEX(script.out!L:L,results.txt!$M359)</f>
        <v>}</v>
      </c>
      <c r="Y359" t="str">
        <f>INDEX(script.out!M:M,results.txt!$M359)</f>
        <v>{</v>
      </c>
      <c r="Z359">
        <f>INDEX(script.out!N:N,results.txt!$M359)</f>
        <v>20.234719105964398</v>
      </c>
      <c r="AA359">
        <f>INDEX(script.out!O:O,results.txt!$M359)</f>
        <v>14</v>
      </c>
      <c r="AB359">
        <f>INDEX(script.out!P:P,results.txt!$M359)</f>
        <v>3405.63</v>
      </c>
      <c r="AC359" t="str">
        <f>INDEX(script.out!Q:Q,results.txt!$M359)</f>
        <v>}</v>
      </c>
      <c r="AD359">
        <f t="shared" si="5"/>
        <v>0</v>
      </c>
    </row>
    <row r="360" spans="1:30" x14ac:dyDescent="0.25">
      <c r="A360" s="12" t="s">
        <v>4</v>
      </c>
      <c r="B360" s="12">
        <v>-3</v>
      </c>
      <c r="C360" s="12">
        <v>1.0946899999999999</v>
      </c>
      <c r="D360" s="12">
        <v>9.2437900000000003E-2</v>
      </c>
      <c r="E360" s="12">
        <v>0.57492900000000002</v>
      </c>
      <c r="F360" s="12">
        <v>-3</v>
      </c>
      <c r="G360" s="12">
        <v>56.569200000000002</v>
      </c>
      <c r="H360" s="12">
        <v>42.25</v>
      </c>
      <c r="I360" s="12">
        <v>165.7</v>
      </c>
      <c r="J360" s="12" t="s">
        <v>3</v>
      </c>
      <c r="K360" s="12">
        <v>0</v>
      </c>
      <c r="M360">
        <f>MATCH(C360,script.out!B:B,0)</f>
        <v>778</v>
      </c>
      <c r="N360">
        <f>INDEX(script.out!B:B,results.txt!$M360)</f>
        <v>1.0946899999999999</v>
      </c>
      <c r="O360">
        <f>INDEX(script.out!C:C,results.txt!$M360)</f>
        <v>9.2437900000000003E-2</v>
      </c>
      <c r="P360">
        <f>INDEX(script.out!D:D,results.txt!$M360)</f>
        <v>0.57492900000000002</v>
      </c>
      <c r="Q360">
        <f>INDEX(script.out!E:E,results.txt!$M360)</f>
        <v>56.5691821289901</v>
      </c>
      <c r="R360">
        <f>INDEX(script.out!F:F,results.txt!$M360)</f>
        <v>42.25</v>
      </c>
      <c r="S360">
        <f>INDEX(script.out!G:G,results.txt!$M360)</f>
        <v>165.70037457308999</v>
      </c>
      <c r="T360" t="str">
        <f>INDEX(script.out!H:H,results.txt!$M360)</f>
        <v>{</v>
      </c>
      <c r="U360">
        <f>INDEX(script.out!I:I,results.txt!$M360)</f>
        <v>1.1757500000000001</v>
      </c>
      <c r="V360">
        <f>INDEX(script.out!J:J,results.txt!$M360)</f>
        <v>146.21895000000001</v>
      </c>
      <c r="W360">
        <f>INDEX(script.out!K:K,results.txt!$M360)</f>
        <v>349.20810999999998</v>
      </c>
      <c r="X360" t="str">
        <f>INDEX(script.out!L:L,results.txt!$M360)</f>
        <v>}</v>
      </c>
      <c r="Y360" t="str">
        <f>INDEX(script.out!M:M,results.txt!$M360)</f>
        <v>{</v>
      </c>
      <c r="Z360">
        <f>INDEX(script.out!N:N,results.txt!$M360)</f>
        <v>17.521248708092902</v>
      </c>
      <c r="AA360">
        <f>INDEX(script.out!O:O,results.txt!$M360)</f>
        <v>14.5</v>
      </c>
      <c r="AB360">
        <f>INDEX(script.out!P:P,results.txt!$M360)</f>
        <v>2601.5500000000002</v>
      </c>
      <c r="AC360" t="str">
        <f>INDEX(script.out!Q:Q,results.txt!$M360)</f>
        <v>}</v>
      </c>
      <c r="AD360">
        <f t="shared" si="5"/>
        <v>0</v>
      </c>
    </row>
    <row r="361" spans="1:30" x14ac:dyDescent="0.25">
      <c r="A361" s="12" t="s">
        <v>4</v>
      </c>
      <c r="B361" s="12">
        <v>-3</v>
      </c>
      <c r="C361" s="12">
        <v>0.86912400000000001</v>
      </c>
      <c r="D361" s="12">
        <v>0.15381300000000001</v>
      </c>
      <c r="E361" s="12">
        <v>0.42841899999999999</v>
      </c>
      <c r="F361" s="12">
        <v>-3</v>
      </c>
      <c r="G361" s="12">
        <v>125.40600000000001</v>
      </c>
      <c r="H361" s="12">
        <v>49</v>
      </c>
      <c r="I361" s="12">
        <v>36.3675</v>
      </c>
      <c r="J361" s="12" t="s">
        <v>3</v>
      </c>
      <c r="K361" s="12">
        <v>0</v>
      </c>
      <c r="M361">
        <f>MATCH(C361,script.out!B:B,0)</f>
        <v>779</v>
      </c>
      <c r="N361">
        <f>INDEX(script.out!B:B,results.txt!$M361)</f>
        <v>0.86912400000000001</v>
      </c>
      <c r="O361">
        <f>INDEX(script.out!C:C,results.txt!$M361)</f>
        <v>0.15381300000000001</v>
      </c>
      <c r="P361">
        <f>INDEX(script.out!D:D,results.txt!$M361)</f>
        <v>0.42841899999999999</v>
      </c>
      <c r="Q361">
        <f>INDEX(script.out!E:E,results.txt!$M361)</f>
        <v>125.40645938455501</v>
      </c>
      <c r="R361">
        <f>INDEX(script.out!F:F,results.txt!$M361)</f>
        <v>49</v>
      </c>
      <c r="S361">
        <f>INDEX(script.out!G:G,results.txt!$M361)</f>
        <v>36.367508519422003</v>
      </c>
      <c r="T361" t="str">
        <f>INDEX(script.out!H:H,results.txt!$M361)</f>
        <v>{</v>
      </c>
      <c r="U361">
        <f>INDEX(script.out!I:I,results.txt!$M361)</f>
        <v>0.99529900000000004</v>
      </c>
      <c r="V361">
        <f>INDEX(script.out!J:J,results.txt!$M361)</f>
        <v>176.90649999999999</v>
      </c>
      <c r="W361">
        <f>INDEX(script.out!K:K,results.txt!$M361)</f>
        <v>262.76720999999998</v>
      </c>
      <c r="X361" t="str">
        <f>INDEX(script.out!L:L,results.txt!$M361)</f>
        <v>}</v>
      </c>
      <c r="Y361" t="str">
        <f>INDEX(script.out!M:M,results.txt!$M361)</f>
        <v>{</v>
      </c>
      <c r="Z361">
        <f>INDEX(script.out!N:N,results.txt!$M361)</f>
        <v>21.198502550991101</v>
      </c>
      <c r="AA361">
        <f>INDEX(script.out!O:O,results.txt!$M361)</f>
        <v>15</v>
      </c>
      <c r="AB361">
        <f>INDEX(script.out!P:P,results.txt!$M361)</f>
        <v>5098.8500000000004</v>
      </c>
      <c r="AC361" t="str">
        <f>INDEX(script.out!Q:Q,results.txt!$M361)</f>
        <v>}</v>
      </c>
      <c r="AD361">
        <f t="shared" si="5"/>
        <v>0</v>
      </c>
    </row>
    <row r="362" spans="1:30" x14ac:dyDescent="0.25">
      <c r="A362" s="12" t="s">
        <v>4</v>
      </c>
      <c r="B362" s="12">
        <v>-3</v>
      </c>
      <c r="C362" s="12">
        <v>0.60672899999999996</v>
      </c>
      <c r="D362" s="12">
        <v>-2.5474299999999998E-2</v>
      </c>
      <c r="E362" s="12">
        <v>0.170762</v>
      </c>
      <c r="F362" s="12">
        <v>-3</v>
      </c>
      <c r="G362" s="12">
        <v>0.20849000000000001</v>
      </c>
      <c r="H362" s="12">
        <v>132.25</v>
      </c>
      <c r="I362" s="12">
        <v>47.471699999999998</v>
      </c>
      <c r="J362" s="12" t="s">
        <v>3</v>
      </c>
      <c r="K362" s="12">
        <v>0</v>
      </c>
      <c r="M362">
        <f>MATCH(C362,script.out!B:B,0)</f>
        <v>784</v>
      </c>
      <c r="N362">
        <f>INDEX(script.out!B:B,results.txt!$M362)</f>
        <v>0.60672899999999996</v>
      </c>
      <c r="O362">
        <f>INDEX(script.out!C:C,results.txt!$M362)</f>
        <v>-2.5474299999999998E-2</v>
      </c>
      <c r="P362">
        <f>INDEX(script.out!D:D,results.txt!$M362)</f>
        <v>0.170762</v>
      </c>
      <c r="Q362">
        <f>INDEX(script.out!E:E,results.txt!$M362)</f>
        <v>0.208489963218534</v>
      </c>
      <c r="R362">
        <f>INDEX(script.out!F:F,results.txt!$M362)</f>
        <v>132.25</v>
      </c>
      <c r="S362">
        <f>INDEX(script.out!G:G,results.txt!$M362)</f>
        <v>47.471722466503998</v>
      </c>
      <c r="T362" t="str">
        <f>INDEX(script.out!H:H,results.txt!$M362)</f>
        <v>{</v>
      </c>
      <c r="U362">
        <f>INDEX(script.out!I:I,results.txt!$M362)</f>
        <v>0.78538300000000005</v>
      </c>
      <c r="V362">
        <f>INDEX(script.out!J:J,results.txt!$M362)</f>
        <v>87.26285</v>
      </c>
      <c r="W362">
        <f>INDEX(script.out!K:K,results.txt!$M362)</f>
        <v>110.74957999999999</v>
      </c>
      <c r="X362" t="str">
        <f>INDEX(script.out!L:L,results.txt!$M362)</f>
        <v>}</v>
      </c>
      <c r="Y362" t="str">
        <f>INDEX(script.out!M:M,results.txt!$M362)</f>
        <v>{</v>
      </c>
      <c r="Z362">
        <f>INDEX(script.out!N:N,results.txt!$M362)</f>
        <v>10.456607011793</v>
      </c>
      <c r="AA362">
        <f>INDEX(script.out!O:O,results.txt!$M362)</f>
        <v>19.5</v>
      </c>
      <c r="AB362">
        <f>INDEX(script.out!P:P,results.txt!$M362)</f>
        <v>4785.16</v>
      </c>
      <c r="AC362" t="str">
        <f>INDEX(script.out!Q:Q,results.txt!$M362)</f>
        <v>}</v>
      </c>
      <c r="AD362">
        <f t="shared" si="5"/>
        <v>0</v>
      </c>
    </row>
    <row r="363" spans="1:30" x14ac:dyDescent="0.25">
      <c r="A363" s="12" t="s">
        <v>4</v>
      </c>
      <c r="B363" s="12">
        <v>-3</v>
      </c>
      <c r="C363" s="12">
        <v>1.0212600000000001</v>
      </c>
      <c r="D363" s="12">
        <v>4.0188300000000003E-2</v>
      </c>
      <c r="E363" s="12">
        <v>0.60040300000000002</v>
      </c>
      <c r="F363" s="12">
        <v>-3</v>
      </c>
      <c r="G363" s="12">
        <v>19.278600000000001</v>
      </c>
      <c r="H363" s="12">
        <v>56.25</v>
      </c>
      <c r="I363" s="12">
        <v>198.67699999999999</v>
      </c>
      <c r="J363" s="12" t="s">
        <v>3</v>
      </c>
      <c r="K363" s="12">
        <v>0</v>
      </c>
      <c r="M363">
        <f>MATCH(C363,script.out!B:B,0)</f>
        <v>789</v>
      </c>
      <c r="N363">
        <f>INDEX(script.out!B:B,results.txt!$M363)</f>
        <v>1.0212600000000001</v>
      </c>
      <c r="O363">
        <f>INDEX(script.out!C:C,results.txt!$M363)</f>
        <v>4.0188300000000003E-2</v>
      </c>
      <c r="P363">
        <f>INDEX(script.out!D:D,results.txt!$M363)</f>
        <v>0.60040300000000002</v>
      </c>
      <c r="Q363">
        <f>INDEX(script.out!E:E,results.txt!$M363)</f>
        <v>19.2786324614374</v>
      </c>
      <c r="R363">
        <f>INDEX(script.out!F:F,results.txt!$M363)</f>
        <v>56.25</v>
      </c>
      <c r="S363">
        <f>INDEX(script.out!G:G,results.txt!$M363)</f>
        <v>198.677134534809</v>
      </c>
      <c r="T363" t="str">
        <f>INDEX(script.out!H:H,results.txt!$M363)</f>
        <v>{</v>
      </c>
      <c r="U363">
        <f>INDEX(script.out!I:I,results.txt!$M363)</f>
        <v>1.117</v>
      </c>
      <c r="V363">
        <f>INDEX(script.out!J:J,results.txt!$M363)</f>
        <v>120.09415</v>
      </c>
      <c r="W363">
        <f>INDEX(script.out!K:K,results.txt!$M363)</f>
        <v>364.23777000000001</v>
      </c>
      <c r="X363" t="str">
        <f>INDEX(script.out!L:L,results.txt!$M363)</f>
        <v>}</v>
      </c>
      <c r="Y363" t="str">
        <f>INDEX(script.out!M:M,results.txt!$M363)</f>
        <v>{</v>
      </c>
      <c r="Z363">
        <f>INDEX(script.out!N:N,results.txt!$M363)</f>
        <v>14.390743953071899</v>
      </c>
      <c r="AA363">
        <f>INDEX(script.out!O:O,results.txt!$M363)</f>
        <v>15.5</v>
      </c>
      <c r="AB363">
        <f>INDEX(script.out!P:P,results.txt!$M363)</f>
        <v>2155.2199999999998</v>
      </c>
      <c r="AC363" t="str">
        <f>INDEX(script.out!Q:Q,results.txt!$M363)</f>
        <v>}</v>
      </c>
      <c r="AD363">
        <f t="shared" si="5"/>
        <v>0</v>
      </c>
    </row>
    <row r="364" spans="1:30" x14ac:dyDescent="0.25">
      <c r="A364" s="12" t="s">
        <v>4</v>
      </c>
      <c r="B364" s="12">
        <v>-3</v>
      </c>
      <c r="C364" s="12">
        <v>1.02532</v>
      </c>
      <c r="D364" s="12">
        <v>-1.5121500000000001E-3</v>
      </c>
      <c r="E364" s="12">
        <v>0.68779599999999996</v>
      </c>
      <c r="F364" s="12">
        <v>-3</v>
      </c>
      <c r="G364" s="12">
        <v>3.58074</v>
      </c>
      <c r="H364" s="12">
        <v>64</v>
      </c>
      <c r="I364" s="12">
        <v>269.56900000000002</v>
      </c>
      <c r="J364" s="12" t="s">
        <v>3</v>
      </c>
      <c r="K364" s="12">
        <v>0</v>
      </c>
      <c r="M364">
        <f>MATCH(C364,script.out!B:B,0)</f>
        <v>790</v>
      </c>
      <c r="N364">
        <f>INDEX(script.out!B:B,results.txt!$M364)</f>
        <v>1.02532</v>
      </c>
      <c r="O364">
        <f>INDEX(script.out!C:C,results.txt!$M364)</f>
        <v>-1.5121500000000001E-3</v>
      </c>
      <c r="P364">
        <f>INDEX(script.out!D:D,results.txt!$M364)</f>
        <v>0.68779599999999996</v>
      </c>
      <c r="Q364">
        <f>INDEX(script.out!E:E,results.txt!$M364)</f>
        <v>3.5807442525729498</v>
      </c>
      <c r="R364">
        <f>INDEX(script.out!F:F,results.txt!$M364)</f>
        <v>64</v>
      </c>
      <c r="S364">
        <f>INDEX(script.out!G:G,results.txt!$M364)</f>
        <v>269.56871662901102</v>
      </c>
      <c r="T364" t="str">
        <f>INDEX(script.out!H:H,results.txt!$M364)</f>
        <v>{</v>
      </c>
      <c r="U364">
        <f>INDEX(script.out!I:I,results.txt!$M364)</f>
        <v>1.12025</v>
      </c>
      <c r="V364">
        <f>INDEX(script.out!J:J,results.txt!$M364)</f>
        <v>99.243925000000004</v>
      </c>
      <c r="W364">
        <f>INDEX(script.out!K:K,results.txt!$M364)</f>
        <v>415.79964000000001</v>
      </c>
      <c r="X364" t="str">
        <f>INDEX(script.out!L:L,results.txt!$M364)</f>
        <v>}</v>
      </c>
      <c r="Y364" t="str">
        <f>INDEX(script.out!M:M,results.txt!$M364)</f>
        <v>{</v>
      </c>
      <c r="Z364">
        <f>INDEX(script.out!N:N,results.txt!$M364)</f>
        <v>11.892285457475399</v>
      </c>
      <c r="AA364">
        <f>INDEX(script.out!O:O,results.txt!$M364)</f>
        <v>16</v>
      </c>
      <c r="AB364">
        <f>INDEX(script.out!P:P,results.txt!$M364)</f>
        <v>1307.23</v>
      </c>
      <c r="AC364" t="str">
        <f>INDEX(script.out!Q:Q,results.txt!$M364)</f>
        <v>}</v>
      </c>
      <c r="AD364">
        <f t="shared" si="5"/>
        <v>0</v>
      </c>
    </row>
    <row r="365" spans="1:30" x14ac:dyDescent="0.25">
      <c r="A365" s="12" t="s">
        <v>4</v>
      </c>
      <c r="B365" s="12">
        <v>-3</v>
      </c>
      <c r="C365" s="12">
        <v>1.17605</v>
      </c>
      <c r="D365" s="12">
        <v>0.28706300000000001</v>
      </c>
      <c r="E365" s="12">
        <v>0.54840599999999995</v>
      </c>
      <c r="F365" s="12">
        <v>-3</v>
      </c>
      <c r="G365" s="12">
        <v>367.95299999999997</v>
      </c>
      <c r="H365" s="12">
        <v>30.25</v>
      </c>
      <c r="I365" s="12">
        <v>33.3979</v>
      </c>
      <c r="J365" s="12" t="s">
        <v>3</v>
      </c>
      <c r="K365" s="12">
        <v>0</v>
      </c>
      <c r="M365">
        <f>MATCH(C365,script.out!B:B,0)</f>
        <v>791</v>
      </c>
      <c r="N365">
        <f>INDEX(script.out!B:B,results.txt!$M365)</f>
        <v>1.17605</v>
      </c>
      <c r="O365">
        <f>INDEX(script.out!C:C,results.txt!$M365)</f>
        <v>0.28706300000000001</v>
      </c>
      <c r="P365">
        <f>INDEX(script.out!D:D,results.txt!$M365)</f>
        <v>0.54840599999999995</v>
      </c>
      <c r="Q365">
        <f>INDEX(script.out!E:E,results.txt!$M365)</f>
        <v>367.95294964211399</v>
      </c>
      <c r="R365">
        <f>INDEX(script.out!F:F,results.txt!$M365)</f>
        <v>30.25</v>
      </c>
      <c r="S365">
        <f>INDEX(script.out!G:G,results.txt!$M365)</f>
        <v>33.397949310564798</v>
      </c>
      <c r="T365" t="str">
        <f>INDEX(script.out!H:H,results.txt!$M365)</f>
        <v>{</v>
      </c>
      <c r="U365">
        <f>INDEX(script.out!I:I,results.txt!$M365)</f>
        <v>1.2408399999999999</v>
      </c>
      <c r="V365">
        <f>INDEX(script.out!J:J,results.txt!$M365)</f>
        <v>243.53149999999999</v>
      </c>
      <c r="W365">
        <f>INDEX(script.out!K:K,results.txt!$M365)</f>
        <v>333.55954000000003</v>
      </c>
      <c r="X365" t="str">
        <f>INDEX(script.out!L:L,results.txt!$M365)</f>
        <v>}</v>
      </c>
      <c r="Y365" t="str">
        <f>INDEX(script.out!M:M,results.txt!$M365)</f>
        <v>{</v>
      </c>
      <c r="Z365">
        <f>INDEX(script.out!N:N,results.txt!$M365)</f>
        <v>29.182099719324601</v>
      </c>
      <c r="AA365">
        <f>INDEX(script.out!O:O,results.txt!$M365)</f>
        <v>13.5</v>
      </c>
      <c r="AB365">
        <f>INDEX(script.out!P:P,results.txt!$M365)</f>
        <v>5190.63</v>
      </c>
      <c r="AC365" t="str">
        <f>INDEX(script.out!Q:Q,results.txt!$M365)</f>
        <v>}</v>
      </c>
      <c r="AD365">
        <f t="shared" si="5"/>
        <v>0</v>
      </c>
    </row>
    <row r="366" spans="1:30" x14ac:dyDescent="0.25">
      <c r="A366" s="12" t="s">
        <v>4</v>
      </c>
      <c r="B366" s="12">
        <v>-3</v>
      </c>
      <c r="C366" s="12">
        <v>0.85123700000000002</v>
      </c>
      <c r="D366" s="12">
        <v>0.34456900000000001</v>
      </c>
      <c r="E366" s="12">
        <v>0.58035599999999998</v>
      </c>
      <c r="F366" s="12">
        <v>-3</v>
      </c>
      <c r="G366" s="12">
        <v>512.00599999999997</v>
      </c>
      <c r="H366" s="12">
        <v>42.25</v>
      </c>
      <c r="I366" s="13">
        <v>7.3567299999999998E-6</v>
      </c>
      <c r="J366" s="12" t="s">
        <v>3</v>
      </c>
      <c r="K366" s="12">
        <v>0</v>
      </c>
      <c r="M366">
        <f>MATCH(C366,script.out!B:B,0)</f>
        <v>795</v>
      </c>
      <c r="N366">
        <f>INDEX(script.out!B:B,results.txt!$M366)</f>
        <v>0.85123700000000002</v>
      </c>
      <c r="O366">
        <f>INDEX(script.out!C:C,results.txt!$M366)</f>
        <v>0.34456900000000001</v>
      </c>
      <c r="P366">
        <f>INDEX(script.out!D:D,results.txt!$M366)</f>
        <v>0.58035599999999998</v>
      </c>
      <c r="Q366">
        <f>INDEX(script.out!E:E,results.txt!$M366)</f>
        <v>512.00550578166997</v>
      </c>
      <c r="R366">
        <f>INDEX(script.out!F:F,results.txt!$M366)</f>
        <v>42.25</v>
      </c>
      <c r="S366">
        <f>INDEX(script.out!G:G,results.txt!$M366)</f>
        <v>7.3567273409645298E-6</v>
      </c>
      <c r="T366" t="str">
        <f>INDEX(script.out!H:H,results.txt!$M366)</f>
        <v>{</v>
      </c>
      <c r="U366">
        <f>INDEX(script.out!I:I,results.txt!$M366)</f>
        <v>0.980989</v>
      </c>
      <c r="V366">
        <f>INDEX(script.out!J:J,results.txt!$M366)</f>
        <v>272.28449999999998</v>
      </c>
      <c r="W366">
        <f>INDEX(script.out!K:K,results.txt!$M366)</f>
        <v>352.41003999999998</v>
      </c>
      <c r="X366" t="str">
        <f>INDEX(script.out!L:L,results.txt!$M366)</f>
        <v>}</v>
      </c>
      <c r="Y366" t="str">
        <f>INDEX(script.out!M:M,results.txt!$M366)</f>
        <v>{</v>
      </c>
      <c r="Z366">
        <f>INDEX(script.out!N:N,results.txt!$M366)</f>
        <v>32.627538659378502</v>
      </c>
      <c r="AA366">
        <f>INDEX(script.out!O:O,results.txt!$M366)</f>
        <v>14.5</v>
      </c>
      <c r="AB366">
        <f>INDEX(script.out!P:P,results.txt!$M366)</f>
        <v>7299.01</v>
      </c>
      <c r="AC366" t="str">
        <f>INDEX(script.out!Q:Q,results.txt!$M366)</f>
        <v>}</v>
      </c>
      <c r="AD366">
        <f t="shared" si="5"/>
        <v>0</v>
      </c>
    </row>
    <row r="367" spans="1:30" x14ac:dyDescent="0.25">
      <c r="A367" s="12" t="s">
        <v>4</v>
      </c>
      <c r="B367" s="12">
        <v>-3</v>
      </c>
      <c r="C367" s="12">
        <v>0.164218</v>
      </c>
      <c r="D367" s="12">
        <v>-3.3487000000000003E-2</v>
      </c>
      <c r="E367" s="12">
        <v>0.167044</v>
      </c>
      <c r="F367" s="12">
        <v>-3</v>
      </c>
      <c r="G367" s="12">
        <v>5.5080799999999996E-4</v>
      </c>
      <c r="H367" s="12">
        <v>144</v>
      </c>
      <c r="I367" s="12">
        <v>88.593999999999994</v>
      </c>
      <c r="J367" s="12" t="s">
        <v>3</v>
      </c>
      <c r="K367" s="12">
        <v>0</v>
      </c>
      <c r="M367">
        <f>MATCH(C367,script.out!B:B,0)</f>
        <v>800</v>
      </c>
      <c r="N367">
        <f>INDEX(script.out!B:B,results.txt!$M367)</f>
        <v>0.164218</v>
      </c>
      <c r="O367">
        <f>INDEX(script.out!C:C,results.txt!$M367)</f>
        <v>-3.3487000000000003E-2</v>
      </c>
      <c r="P367">
        <f>INDEX(script.out!D:D,results.txt!$M367)</f>
        <v>0.167044</v>
      </c>
      <c r="Q367">
        <f>INDEX(script.out!E:E,results.txt!$M367)</f>
        <v>5.5080821308516699E-4</v>
      </c>
      <c r="R367">
        <f>INDEX(script.out!F:F,results.txt!$M367)</f>
        <v>144</v>
      </c>
      <c r="S367">
        <f>INDEX(script.out!G:G,results.txt!$M367)</f>
        <v>88.5939958085944</v>
      </c>
      <c r="T367" t="str">
        <f>INDEX(script.out!H:H,results.txt!$M367)</f>
        <v>{</v>
      </c>
      <c r="U367">
        <f>INDEX(script.out!I:I,results.txt!$M367)</f>
        <v>0.43137399999999998</v>
      </c>
      <c r="V367">
        <f>INDEX(script.out!J:J,results.txt!$M367)</f>
        <v>83.256500000000003</v>
      </c>
      <c r="W367">
        <f>INDEX(script.out!K:K,results.txt!$M367)</f>
        <v>108.55596</v>
      </c>
      <c r="X367" t="str">
        <f>INDEX(script.out!L:L,results.txt!$M367)</f>
        <v>}</v>
      </c>
      <c r="Y367" t="str">
        <f>INDEX(script.out!M:M,results.txt!$M367)</f>
        <v>{</v>
      </c>
      <c r="Z367">
        <f>INDEX(script.out!N:N,results.txt!$M367)</f>
        <v>9.9765306963655593</v>
      </c>
      <c r="AA367">
        <f>INDEX(script.out!O:O,results.txt!$M367)</f>
        <v>20</v>
      </c>
      <c r="AB367">
        <f>INDEX(script.out!P:P,results.txt!$M367)</f>
        <v>3864.46</v>
      </c>
      <c r="AC367" t="str">
        <f>INDEX(script.out!Q:Q,results.txt!$M367)</f>
        <v>}</v>
      </c>
      <c r="AD367">
        <f t="shared" si="5"/>
        <v>0</v>
      </c>
    </row>
    <row r="368" spans="1:30" x14ac:dyDescent="0.25">
      <c r="A368" s="12" t="s">
        <v>4</v>
      </c>
      <c r="B368" s="12">
        <v>-3</v>
      </c>
      <c r="C368" s="12">
        <v>1.08653</v>
      </c>
      <c r="D368" s="12">
        <v>6.12928E-3</v>
      </c>
      <c r="E368" s="12">
        <v>0.63983100000000004</v>
      </c>
      <c r="F368" s="12">
        <v>-3</v>
      </c>
      <c r="G368" s="12">
        <v>5.5230499999999996</v>
      </c>
      <c r="H368" s="12">
        <v>56.25</v>
      </c>
      <c r="I368" s="12">
        <v>261.25099999999998</v>
      </c>
      <c r="J368" s="12" t="s">
        <v>3</v>
      </c>
      <c r="K368" s="12">
        <v>0</v>
      </c>
      <c r="M368">
        <f>MATCH(C368,script.out!B:B,0)</f>
        <v>803</v>
      </c>
      <c r="N368">
        <f>INDEX(script.out!B:B,results.txt!$M368)</f>
        <v>1.08653</v>
      </c>
      <c r="O368">
        <f>INDEX(script.out!C:C,results.txt!$M368)</f>
        <v>6.12928E-3</v>
      </c>
      <c r="P368">
        <f>INDEX(script.out!D:D,results.txt!$M368)</f>
        <v>0.63983100000000004</v>
      </c>
      <c r="Q368">
        <f>INDEX(script.out!E:E,results.txt!$M368)</f>
        <v>5.52305153164962</v>
      </c>
      <c r="R368">
        <f>INDEX(script.out!F:F,results.txt!$M368)</f>
        <v>56.25</v>
      </c>
      <c r="S368">
        <f>INDEX(script.out!G:G,results.txt!$M368)</f>
        <v>261.25098268417997</v>
      </c>
      <c r="T368" t="str">
        <f>INDEX(script.out!H:H,results.txt!$M368)</f>
        <v>{</v>
      </c>
      <c r="U368">
        <f>INDEX(script.out!I:I,results.txt!$M368)</f>
        <v>1.1692199999999999</v>
      </c>
      <c r="V368">
        <f>INDEX(script.out!J:J,results.txt!$M368)</f>
        <v>103.06464</v>
      </c>
      <c r="W368">
        <f>INDEX(script.out!K:K,results.txt!$M368)</f>
        <v>387.50029000000001</v>
      </c>
      <c r="X368" t="str">
        <f>INDEX(script.out!L:L,results.txt!$M368)</f>
        <v>}</v>
      </c>
      <c r="Y368" t="str">
        <f>INDEX(script.out!M:M,results.txt!$M368)</f>
        <v>{</v>
      </c>
      <c r="Z368">
        <f>INDEX(script.out!N:N,results.txt!$M368)</f>
        <v>12.3501173442297</v>
      </c>
      <c r="AA368">
        <f>INDEX(script.out!O:O,results.txt!$M368)</f>
        <v>15.5</v>
      </c>
      <c r="AB368">
        <f>INDEX(script.out!P:P,results.txt!$M368)</f>
        <v>1400.41</v>
      </c>
      <c r="AC368" t="str">
        <f>INDEX(script.out!Q:Q,results.txt!$M368)</f>
        <v>}</v>
      </c>
      <c r="AD368">
        <f t="shared" si="5"/>
        <v>0</v>
      </c>
    </row>
    <row r="369" spans="1:30" x14ac:dyDescent="0.25">
      <c r="A369" s="12" t="s">
        <v>4</v>
      </c>
      <c r="B369" s="12">
        <v>-3</v>
      </c>
      <c r="C369" s="12">
        <v>0.88389300000000004</v>
      </c>
      <c r="D369" s="12">
        <v>0.25754199999999999</v>
      </c>
      <c r="E369" s="12">
        <v>0.53811100000000001</v>
      </c>
      <c r="F369" s="12">
        <v>-3</v>
      </c>
      <c r="G369" s="12">
        <v>303.22500000000002</v>
      </c>
      <c r="H369" s="12">
        <v>36</v>
      </c>
      <c r="I369" s="12">
        <v>2.4809299999999999</v>
      </c>
      <c r="J369" s="12" t="s">
        <v>3</v>
      </c>
      <c r="K369" s="12">
        <v>0</v>
      </c>
      <c r="M369">
        <f>MATCH(C369,script.out!B:B,0)</f>
        <v>805</v>
      </c>
      <c r="N369">
        <f>INDEX(script.out!B:B,results.txt!$M369)</f>
        <v>0.88389300000000004</v>
      </c>
      <c r="O369">
        <f>INDEX(script.out!C:C,results.txt!$M369)</f>
        <v>0.25754199999999999</v>
      </c>
      <c r="P369">
        <f>INDEX(script.out!D:D,results.txt!$M369)</f>
        <v>0.53811100000000001</v>
      </c>
      <c r="Q369">
        <f>INDEX(script.out!E:E,results.txt!$M369)</f>
        <v>303.22531442897298</v>
      </c>
      <c r="R369">
        <f>INDEX(script.out!F:F,results.txt!$M369)</f>
        <v>36</v>
      </c>
      <c r="S369">
        <f>INDEX(script.out!G:G,results.txt!$M369)</f>
        <v>2.48092706398949</v>
      </c>
      <c r="T369" t="str">
        <f>INDEX(script.out!H:H,results.txt!$M369)</f>
        <v>{</v>
      </c>
      <c r="U369">
        <f>INDEX(script.out!I:I,results.txt!$M369)</f>
        <v>1.0071140000000001</v>
      </c>
      <c r="V369">
        <f>INDEX(script.out!J:J,results.txt!$M369)</f>
        <v>228.77099999999999</v>
      </c>
      <c r="W369">
        <f>INDEX(script.out!K:K,results.txt!$M369)</f>
        <v>327.48549000000003</v>
      </c>
      <c r="X369" t="str">
        <f>INDEX(script.out!L:L,results.txt!$M369)</f>
        <v>}</v>
      </c>
      <c r="Y369" t="str">
        <f>INDEX(script.out!M:M,results.txt!$M369)</f>
        <v>{</v>
      </c>
      <c r="Z369">
        <f>INDEX(script.out!N:N,results.txt!$M369)</f>
        <v>27.413365970683898</v>
      </c>
      <c r="AA369">
        <f>INDEX(script.out!O:O,results.txt!$M369)</f>
        <v>14</v>
      </c>
      <c r="AB369">
        <f>INDEX(script.out!P:P,results.txt!$M369)</f>
        <v>6725.09</v>
      </c>
      <c r="AC369" t="str">
        <f>INDEX(script.out!Q:Q,results.txt!$M369)</f>
        <v>}</v>
      </c>
      <c r="AD369">
        <f t="shared" si="5"/>
        <v>0</v>
      </c>
    </row>
    <row r="370" spans="1:30" x14ac:dyDescent="0.25">
      <c r="A370" s="12" t="s">
        <v>4</v>
      </c>
      <c r="B370" s="12">
        <v>-3</v>
      </c>
      <c r="C370" s="12">
        <v>0.81798599999999999</v>
      </c>
      <c r="D370" s="12">
        <v>0.21520900000000001</v>
      </c>
      <c r="E370" s="12">
        <v>0.445463</v>
      </c>
      <c r="F370" s="12">
        <v>-3</v>
      </c>
      <c r="G370" s="12">
        <v>221.32499999999999</v>
      </c>
      <c r="H370" s="12">
        <v>42.25</v>
      </c>
      <c r="I370" s="12">
        <v>1.9676800000000001E-2</v>
      </c>
      <c r="J370" s="12" t="s">
        <v>3</v>
      </c>
      <c r="K370" s="12">
        <v>0</v>
      </c>
      <c r="M370">
        <f>MATCH(C370,script.out!B:B,0)</f>
        <v>810</v>
      </c>
      <c r="N370">
        <f>INDEX(script.out!B:B,results.txt!$M370)</f>
        <v>0.81798599999999999</v>
      </c>
      <c r="O370">
        <f>INDEX(script.out!C:C,results.txt!$M370)</f>
        <v>0.21520900000000001</v>
      </c>
      <c r="P370">
        <f>INDEX(script.out!D:D,results.txt!$M370)</f>
        <v>0.445463</v>
      </c>
      <c r="Q370">
        <f>INDEX(script.out!E:E,results.txt!$M370)</f>
        <v>221.32538504448101</v>
      </c>
      <c r="R370">
        <f>INDEX(script.out!F:F,results.txt!$M370)</f>
        <v>42.25</v>
      </c>
      <c r="S370">
        <f>INDEX(script.out!G:G,results.txt!$M370)</f>
        <v>1.9676787389754102E-2</v>
      </c>
      <c r="T370" t="str">
        <f>INDEX(script.out!H:H,results.txt!$M370)</f>
        <v>{</v>
      </c>
      <c r="U370">
        <f>INDEX(script.out!I:I,results.txt!$M370)</f>
        <v>0.95438800000000001</v>
      </c>
      <c r="V370">
        <f>INDEX(script.out!J:J,results.txt!$M370)</f>
        <v>207.6045</v>
      </c>
      <c r="W370">
        <f>INDEX(script.out!K:K,results.txt!$M370)</f>
        <v>272.82317</v>
      </c>
      <c r="X370" t="str">
        <f>INDEX(script.out!L:L,results.txt!$M370)</f>
        <v>}</v>
      </c>
      <c r="Y370" t="str">
        <f>INDEX(script.out!M:M,results.txt!$M370)</f>
        <v>{</v>
      </c>
      <c r="Z370">
        <f>INDEX(script.out!N:N,results.txt!$M370)</f>
        <v>24.877008605377601</v>
      </c>
      <c r="AA370">
        <f>INDEX(script.out!O:O,results.txt!$M370)</f>
        <v>14.5</v>
      </c>
      <c r="AB370">
        <f>INDEX(script.out!P:P,results.txt!$M370)</f>
        <v>7248.8</v>
      </c>
      <c r="AC370" t="str">
        <f>INDEX(script.out!Q:Q,results.txt!$M370)</f>
        <v>}</v>
      </c>
      <c r="AD370">
        <f t="shared" si="5"/>
        <v>0</v>
      </c>
    </row>
    <row r="371" spans="1:30" x14ac:dyDescent="0.25">
      <c r="A371" s="12" t="s">
        <v>4</v>
      </c>
      <c r="B371" s="12">
        <v>-3</v>
      </c>
      <c r="C371" s="12">
        <v>0.88565899999999997</v>
      </c>
      <c r="D371" s="12">
        <v>0.27458300000000002</v>
      </c>
      <c r="E371" s="12">
        <v>0.55247900000000005</v>
      </c>
      <c r="F371" s="12">
        <v>-3</v>
      </c>
      <c r="G371" s="12">
        <v>339.82600000000002</v>
      </c>
      <c r="H371" s="12">
        <v>36</v>
      </c>
      <c r="I371" s="12">
        <v>1.95617</v>
      </c>
      <c r="J371" s="12" t="s">
        <v>3</v>
      </c>
      <c r="K371" s="12">
        <v>0</v>
      </c>
      <c r="M371">
        <f>MATCH(C371,script.out!B:B,0)</f>
        <v>816</v>
      </c>
      <c r="N371">
        <f>INDEX(script.out!B:B,results.txt!$M371)</f>
        <v>0.88565899999999997</v>
      </c>
      <c r="O371">
        <f>INDEX(script.out!C:C,results.txt!$M371)</f>
        <v>0.27458300000000002</v>
      </c>
      <c r="P371">
        <f>INDEX(script.out!D:D,results.txt!$M371)</f>
        <v>0.55247900000000005</v>
      </c>
      <c r="Q371">
        <f>INDEX(script.out!E:E,results.txt!$M371)</f>
        <v>339.82591219837599</v>
      </c>
      <c r="R371">
        <f>INDEX(script.out!F:F,results.txt!$M371)</f>
        <v>36</v>
      </c>
      <c r="S371">
        <f>INDEX(script.out!G:G,results.txt!$M371)</f>
        <v>1.9561662600863201</v>
      </c>
      <c r="T371" t="str">
        <f>INDEX(script.out!H:H,results.txt!$M371)</f>
        <v>{</v>
      </c>
      <c r="U371">
        <f>INDEX(script.out!I:I,results.txt!$M371)</f>
        <v>1.008527</v>
      </c>
      <c r="V371">
        <f>INDEX(script.out!J:J,results.txt!$M371)</f>
        <v>237.29150000000001</v>
      </c>
      <c r="W371">
        <f>INDEX(script.out!K:K,results.txt!$M371)</f>
        <v>335.96260999999998</v>
      </c>
      <c r="X371" t="str">
        <f>INDEX(script.out!L:L,results.txt!$M371)</f>
        <v>}</v>
      </c>
      <c r="Y371" t="str">
        <f>INDEX(script.out!M:M,results.txt!$M371)</f>
        <v>{</v>
      </c>
      <c r="Z371">
        <f>INDEX(script.out!N:N,results.txt!$M371)</f>
        <v>28.434367691851399</v>
      </c>
      <c r="AA371">
        <f>INDEX(script.out!O:O,results.txt!$M371)</f>
        <v>14</v>
      </c>
      <c r="AB371">
        <f>INDEX(script.out!P:P,results.txt!$M371)</f>
        <v>6789.5</v>
      </c>
      <c r="AC371" t="str">
        <f>INDEX(script.out!Q:Q,results.txt!$M371)</f>
        <v>}</v>
      </c>
      <c r="AD371">
        <f t="shared" si="5"/>
        <v>0</v>
      </c>
    </row>
    <row r="372" spans="1:30" x14ac:dyDescent="0.25">
      <c r="A372" s="12" t="s">
        <v>4</v>
      </c>
      <c r="B372" s="12">
        <v>-3</v>
      </c>
      <c r="C372" s="12">
        <v>1.0415399999999999</v>
      </c>
      <c r="D372" s="12">
        <v>-2.7833299999999998E-2</v>
      </c>
      <c r="E372" s="12">
        <v>0.599997</v>
      </c>
      <c r="F372" s="12">
        <v>-3</v>
      </c>
      <c r="G372" s="12">
        <v>9.9394499999999997E-2</v>
      </c>
      <c r="H372" s="12">
        <v>81</v>
      </c>
      <c r="I372" s="12">
        <v>282.28199999999998</v>
      </c>
      <c r="J372" s="12" t="s">
        <v>3</v>
      </c>
      <c r="K372" s="12">
        <v>0</v>
      </c>
      <c r="M372">
        <f>MATCH(C372,script.out!B:B,0)</f>
        <v>822</v>
      </c>
      <c r="N372">
        <f>INDEX(script.out!B:B,results.txt!$M372)</f>
        <v>1.0415399999999999</v>
      </c>
      <c r="O372">
        <f>INDEX(script.out!C:C,results.txt!$M372)</f>
        <v>-2.7833299999999998E-2</v>
      </c>
      <c r="P372">
        <f>INDEX(script.out!D:D,results.txt!$M372)</f>
        <v>0.599997</v>
      </c>
      <c r="Q372">
        <f>INDEX(script.out!E:E,results.txt!$M372)</f>
        <v>9.9394468311572198E-2</v>
      </c>
      <c r="R372">
        <f>INDEX(script.out!F:F,results.txt!$M372)</f>
        <v>81</v>
      </c>
      <c r="S372">
        <f>INDEX(script.out!G:G,results.txt!$M372)</f>
        <v>282.28234679376902</v>
      </c>
      <c r="T372" t="str">
        <f>INDEX(script.out!H:H,results.txt!$M372)</f>
        <v>{</v>
      </c>
      <c r="U372">
        <f>INDEX(script.out!I:I,results.txt!$M372)</f>
        <v>1.13323</v>
      </c>
      <c r="V372">
        <f>INDEX(script.out!J:J,results.txt!$M372)</f>
        <v>86.083349999999996</v>
      </c>
      <c r="W372">
        <f>INDEX(script.out!K:K,results.txt!$M372)</f>
        <v>363.99822999999998</v>
      </c>
      <c r="X372" t="str">
        <f>INDEX(script.out!L:L,results.txt!$M372)</f>
        <v>}</v>
      </c>
      <c r="Y372" t="str">
        <f>INDEX(script.out!M:M,results.txt!$M372)</f>
        <v>{</v>
      </c>
      <c r="Z372">
        <f>INDEX(script.out!N:N,results.txt!$M372)</f>
        <v>10.3152688825614</v>
      </c>
      <c r="AA372">
        <f>INDEX(script.out!O:O,results.txt!$M372)</f>
        <v>17</v>
      </c>
      <c r="AB372">
        <f>INDEX(script.out!P:P,results.txt!$M372)</f>
        <v>1167.54</v>
      </c>
      <c r="AC372" t="str">
        <f>INDEX(script.out!Q:Q,results.txt!$M372)</f>
        <v>}</v>
      </c>
      <c r="AD372">
        <f t="shared" si="5"/>
        <v>0</v>
      </c>
    </row>
    <row r="373" spans="1:30" x14ac:dyDescent="0.25">
      <c r="A373" s="12" t="s">
        <v>4</v>
      </c>
      <c r="B373" s="12">
        <v>-3</v>
      </c>
      <c r="C373" s="12">
        <v>0.988954</v>
      </c>
      <c r="D373" s="12">
        <v>0.31143300000000002</v>
      </c>
      <c r="E373" s="12">
        <v>0.59365999999999997</v>
      </c>
      <c r="F373" s="12">
        <v>-3</v>
      </c>
      <c r="G373" s="12">
        <v>426.101</v>
      </c>
      <c r="H373" s="12">
        <v>30.25</v>
      </c>
      <c r="I373" s="12">
        <v>1.8135600000000001</v>
      </c>
      <c r="J373" s="12" t="s">
        <v>3</v>
      </c>
      <c r="K373" s="12">
        <v>0</v>
      </c>
      <c r="M373">
        <f>MATCH(C373,script.out!B:B,0)</f>
        <v>823</v>
      </c>
      <c r="N373">
        <f>INDEX(script.out!B:B,results.txt!$M373)</f>
        <v>0.988954</v>
      </c>
      <c r="O373">
        <f>INDEX(script.out!C:C,results.txt!$M373)</f>
        <v>0.31143300000000002</v>
      </c>
      <c r="P373">
        <f>INDEX(script.out!D:D,results.txt!$M373)</f>
        <v>0.59365999999999997</v>
      </c>
      <c r="Q373">
        <f>INDEX(script.out!E:E,results.txt!$M373)</f>
        <v>426.10100969433103</v>
      </c>
      <c r="R373">
        <f>INDEX(script.out!F:F,results.txt!$M373)</f>
        <v>30.25</v>
      </c>
      <c r="S373">
        <f>INDEX(script.out!G:G,results.txt!$M373)</f>
        <v>1.8135603047476001</v>
      </c>
      <c r="T373" t="str">
        <f>INDEX(script.out!H:H,results.txt!$M373)</f>
        <v>{</v>
      </c>
      <c r="U373">
        <f>INDEX(script.out!I:I,results.txt!$M373)</f>
        <v>1.0911630000000001</v>
      </c>
      <c r="V373">
        <f>INDEX(script.out!J:J,results.txt!$M373)</f>
        <v>255.7165</v>
      </c>
      <c r="W373">
        <f>INDEX(script.out!K:K,results.txt!$M373)</f>
        <v>360.25940000000003</v>
      </c>
      <c r="X373" t="str">
        <f>INDEX(script.out!L:L,results.txt!$M373)</f>
        <v>}</v>
      </c>
      <c r="Y373" t="str">
        <f>INDEX(script.out!M:M,results.txt!$M373)</f>
        <v>{</v>
      </c>
      <c r="Z373">
        <f>INDEX(script.out!N:N,results.txt!$M373)</f>
        <v>30.642214263356799</v>
      </c>
      <c r="AA373">
        <f>INDEX(script.out!O:O,results.txt!$M373)</f>
        <v>13.5</v>
      </c>
      <c r="AB373">
        <f>INDEX(script.out!P:P,results.txt!$M373)</f>
        <v>6808.46</v>
      </c>
      <c r="AC373" t="str">
        <f>INDEX(script.out!Q:Q,results.txt!$M373)</f>
        <v>}</v>
      </c>
      <c r="AD373">
        <f t="shared" si="5"/>
        <v>0</v>
      </c>
    </row>
    <row r="374" spans="1:30" x14ac:dyDescent="0.25">
      <c r="A374" s="12" t="s">
        <v>4</v>
      </c>
      <c r="B374" s="12">
        <v>-3</v>
      </c>
      <c r="C374" s="12">
        <v>1.0416700000000001</v>
      </c>
      <c r="D374" s="12">
        <v>2.1096699999999999E-2</v>
      </c>
      <c r="E374" s="12">
        <v>0.62362399999999996</v>
      </c>
      <c r="F374" s="12">
        <v>-3</v>
      </c>
      <c r="G374" s="12">
        <v>10.542199999999999</v>
      </c>
      <c r="H374" s="12">
        <v>49</v>
      </c>
      <c r="I374" s="12">
        <v>222.71100000000001</v>
      </c>
      <c r="J374" s="12" t="s">
        <v>3</v>
      </c>
      <c r="K374" s="12">
        <v>0</v>
      </c>
      <c r="M374">
        <f>MATCH(C374,script.out!B:B,0)</f>
        <v>824</v>
      </c>
      <c r="N374">
        <f>INDEX(script.out!B:B,results.txt!$M374)</f>
        <v>1.0416700000000001</v>
      </c>
      <c r="O374">
        <f>INDEX(script.out!C:C,results.txt!$M374)</f>
        <v>2.1096699999999999E-2</v>
      </c>
      <c r="P374">
        <f>INDEX(script.out!D:D,results.txt!$M374)</f>
        <v>0.62362399999999996</v>
      </c>
      <c r="Q374">
        <f>INDEX(script.out!E:E,results.txt!$M374)</f>
        <v>10.5422408480102</v>
      </c>
      <c r="R374">
        <f>INDEX(script.out!F:F,results.txt!$M374)</f>
        <v>49</v>
      </c>
      <c r="S374">
        <f>INDEX(script.out!G:G,results.txt!$M374)</f>
        <v>222.711056681553</v>
      </c>
      <c r="T374" t="str">
        <f>INDEX(script.out!H:H,results.txt!$M374)</f>
        <v>{</v>
      </c>
      <c r="U374">
        <f>INDEX(script.out!I:I,results.txt!$M374)</f>
        <v>1.1333299999999999</v>
      </c>
      <c r="V374">
        <f>INDEX(script.out!J:J,results.txt!$M374)</f>
        <v>110.54835</v>
      </c>
      <c r="W374">
        <f>INDEX(script.out!K:K,results.txt!$M374)</f>
        <v>377.93815999999998</v>
      </c>
      <c r="X374" t="str">
        <f>INDEX(script.out!L:L,results.txt!$M374)</f>
        <v>}</v>
      </c>
      <c r="Y374" t="str">
        <f>INDEX(script.out!M:M,results.txt!$M374)</f>
        <v>{</v>
      </c>
      <c r="Z374">
        <f>INDEX(script.out!N:N,results.txt!$M374)</f>
        <v>13.246881711428699</v>
      </c>
      <c r="AA374">
        <f>INDEX(script.out!O:O,results.txt!$M374)</f>
        <v>15</v>
      </c>
      <c r="AB374">
        <f>INDEX(script.out!P:P,results.txt!$M374)</f>
        <v>1852.92</v>
      </c>
      <c r="AC374" t="str">
        <f>INDEX(script.out!Q:Q,results.txt!$M374)</f>
        <v>}</v>
      </c>
      <c r="AD374">
        <f t="shared" si="5"/>
        <v>0</v>
      </c>
    </row>
    <row r="375" spans="1:30" x14ac:dyDescent="0.25">
      <c r="A375" s="12" t="s">
        <v>4</v>
      </c>
      <c r="B375" s="12">
        <v>-3</v>
      </c>
      <c r="C375" s="12">
        <v>0.83881600000000001</v>
      </c>
      <c r="D375" s="12">
        <v>-5.9238900000000002E-3</v>
      </c>
      <c r="E375" s="12">
        <v>0.77028799999999997</v>
      </c>
      <c r="F375" s="12">
        <v>-3</v>
      </c>
      <c r="G375" s="12">
        <v>2.6502500000000002</v>
      </c>
      <c r="H375" s="12">
        <v>90.25</v>
      </c>
      <c r="I375" s="12">
        <v>272.70800000000003</v>
      </c>
      <c r="J375" s="12" t="s">
        <v>3</v>
      </c>
      <c r="K375" s="12">
        <v>0</v>
      </c>
      <c r="M375">
        <f>MATCH(C375,script.out!B:B,0)</f>
        <v>826</v>
      </c>
      <c r="N375">
        <f>INDEX(script.out!B:B,results.txt!$M375)</f>
        <v>0.83881600000000001</v>
      </c>
      <c r="O375">
        <f>INDEX(script.out!C:C,results.txt!$M375)</f>
        <v>-5.9238900000000002E-3</v>
      </c>
      <c r="P375">
        <f>INDEX(script.out!D:D,results.txt!$M375)</f>
        <v>0.77028799999999997</v>
      </c>
      <c r="Q375">
        <f>INDEX(script.out!E:E,results.txt!$M375)</f>
        <v>2.6502491736790201</v>
      </c>
      <c r="R375">
        <f>INDEX(script.out!F:F,results.txt!$M375)</f>
        <v>90.25</v>
      </c>
      <c r="S375">
        <f>INDEX(script.out!G:G,results.txt!$M375)</f>
        <v>272.70767163520298</v>
      </c>
      <c r="T375" t="str">
        <f>INDEX(script.out!H:H,results.txt!$M375)</f>
        <v>{</v>
      </c>
      <c r="U375">
        <f>INDEX(script.out!I:I,results.txt!$M375)</f>
        <v>0.97105200000000003</v>
      </c>
      <c r="V375">
        <f>INDEX(script.out!J:J,results.txt!$M375)</f>
        <v>97.038055</v>
      </c>
      <c r="W375">
        <f>INDEX(script.out!K:K,results.txt!$M375)</f>
        <v>464.46992</v>
      </c>
      <c r="X375" t="str">
        <f>INDEX(script.out!L:L,results.txt!$M375)</f>
        <v>}</v>
      </c>
      <c r="Y375" t="str">
        <f>INDEX(script.out!M:M,results.txt!$M375)</f>
        <v>{</v>
      </c>
      <c r="Z375">
        <f>INDEX(script.out!N:N,results.txt!$M375)</f>
        <v>11.6279585908981</v>
      </c>
      <c r="AA375">
        <f>INDEX(script.out!O:O,results.txt!$M375)</f>
        <v>17.5</v>
      </c>
      <c r="AB375">
        <f>INDEX(script.out!P:P,results.txt!$M375)</f>
        <v>1272.44</v>
      </c>
      <c r="AC375" t="str">
        <f>INDEX(script.out!Q:Q,results.txt!$M375)</f>
        <v>}</v>
      </c>
      <c r="AD375">
        <f t="shared" si="5"/>
        <v>0</v>
      </c>
    </row>
    <row r="376" spans="1:30" x14ac:dyDescent="0.25">
      <c r="A376" s="12" t="s">
        <v>4</v>
      </c>
      <c r="B376" s="12">
        <v>-3</v>
      </c>
      <c r="C376" s="12">
        <v>1.09138</v>
      </c>
      <c r="D376" s="12">
        <v>0.115005</v>
      </c>
      <c r="E376" s="12">
        <v>0.64251800000000003</v>
      </c>
      <c r="F376" s="12">
        <v>-3</v>
      </c>
      <c r="G376" s="12">
        <v>78.736199999999997</v>
      </c>
      <c r="H376" s="12">
        <v>36</v>
      </c>
      <c r="I376" s="12">
        <v>127.206</v>
      </c>
      <c r="J376" s="12" t="s">
        <v>3</v>
      </c>
      <c r="K376" s="12">
        <v>0</v>
      </c>
      <c r="M376">
        <f>MATCH(C376,script.out!B:B,0)</f>
        <v>830</v>
      </c>
      <c r="N376">
        <f>INDEX(script.out!B:B,results.txt!$M376)</f>
        <v>1.09138</v>
      </c>
      <c r="O376">
        <f>INDEX(script.out!C:C,results.txt!$M376)</f>
        <v>0.115005</v>
      </c>
      <c r="P376">
        <f>INDEX(script.out!D:D,results.txt!$M376)</f>
        <v>0.64251800000000003</v>
      </c>
      <c r="Q376">
        <f>INDEX(script.out!E:E,results.txt!$M376)</f>
        <v>78.736225486415293</v>
      </c>
      <c r="R376">
        <f>INDEX(script.out!F:F,results.txt!$M376)</f>
        <v>36</v>
      </c>
      <c r="S376">
        <f>INDEX(script.out!G:G,results.txt!$M376)</f>
        <v>127.205643752298</v>
      </c>
      <c r="T376" t="str">
        <f>INDEX(script.out!H:H,results.txt!$M376)</f>
        <v>{</v>
      </c>
      <c r="U376">
        <f>INDEX(script.out!I:I,results.txt!$M376)</f>
        <v>1.1731</v>
      </c>
      <c r="V376">
        <f>INDEX(script.out!J:J,results.txt!$M376)</f>
        <v>157.5025</v>
      </c>
      <c r="W376">
        <f>INDEX(script.out!K:K,results.txt!$M376)</f>
        <v>389.08562000000001</v>
      </c>
      <c r="X376" t="str">
        <f>INDEX(script.out!L:L,results.txt!$M376)</f>
        <v>}</v>
      </c>
      <c r="Y376" t="str">
        <f>INDEX(script.out!M:M,results.txt!$M376)</f>
        <v>{</v>
      </c>
      <c r="Z376">
        <f>INDEX(script.out!N:N,results.txt!$M376)</f>
        <v>18.873343534790799</v>
      </c>
      <c r="AA376">
        <f>INDEX(script.out!O:O,results.txt!$M376)</f>
        <v>14</v>
      </c>
      <c r="AB376">
        <f>INDEX(script.out!P:P,results.txt!$M376)</f>
        <v>3183.33</v>
      </c>
      <c r="AC376" t="str">
        <f>INDEX(script.out!Q:Q,results.txt!$M376)</f>
        <v>}</v>
      </c>
      <c r="AD376">
        <f t="shared" si="5"/>
        <v>0</v>
      </c>
    </row>
    <row r="377" spans="1:30" x14ac:dyDescent="0.25">
      <c r="A377" s="12" t="s">
        <v>4</v>
      </c>
      <c r="B377" s="12">
        <v>-3</v>
      </c>
      <c r="C377" s="12">
        <v>1.0795399999999999</v>
      </c>
      <c r="D377" s="12">
        <v>7.5115100000000004E-2</v>
      </c>
      <c r="E377" s="12">
        <v>0.60932600000000003</v>
      </c>
      <c r="F377" s="12">
        <v>-3</v>
      </c>
      <c r="G377" s="12">
        <v>42.033999999999999</v>
      </c>
      <c r="H377" s="12">
        <v>49</v>
      </c>
      <c r="I377" s="12">
        <v>182.18299999999999</v>
      </c>
      <c r="J377" s="12" t="s">
        <v>3</v>
      </c>
      <c r="K377" s="12">
        <v>0</v>
      </c>
      <c r="M377">
        <f>MATCH(C377,script.out!B:B,0)</f>
        <v>831</v>
      </c>
      <c r="N377">
        <f>INDEX(script.out!B:B,results.txt!$M377)</f>
        <v>1.0795399999999999</v>
      </c>
      <c r="O377">
        <f>INDEX(script.out!C:C,results.txt!$M377)</f>
        <v>7.5115100000000004E-2</v>
      </c>
      <c r="P377">
        <f>INDEX(script.out!D:D,results.txt!$M377)</f>
        <v>0.60932600000000003</v>
      </c>
      <c r="Q377">
        <f>INDEX(script.out!E:E,results.txt!$M377)</f>
        <v>42.033997110845398</v>
      </c>
      <c r="R377">
        <f>INDEX(script.out!F:F,results.txt!$M377)</f>
        <v>49</v>
      </c>
      <c r="S377">
        <f>INDEX(script.out!G:G,results.txt!$M377)</f>
        <v>182.183430737474</v>
      </c>
      <c r="T377" t="str">
        <f>INDEX(script.out!H:H,results.txt!$M377)</f>
        <v>{</v>
      </c>
      <c r="U377">
        <f>INDEX(script.out!I:I,results.txt!$M377)</f>
        <v>1.1636299999999999</v>
      </c>
      <c r="V377">
        <f>INDEX(script.out!J:J,results.txt!$M377)</f>
        <v>137.55754999999999</v>
      </c>
      <c r="W377">
        <f>INDEX(script.out!K:K,results.txt!$M377)</f>
        <v>369.50234</v>
      </c>
      <c r="X377" t="str">
        <f>INDEX(script.out!L:L,results.txt!$M377)</f>
        <v>}</v>
      </c>
      <c r="Y377" t="str">
        <f>INDEX(script.out!M:M,results.txt!$M377)</f>
        <v>{</v>
      </c>
      <c r="Z377">
        <f>INDEX(script.out!N:N,results.txt!$M377)</f>
        <v>16.483363101881999</v>
      </c>
      <c r="AA377">
        <f>INDEX(script.out!O:O,results.txt!$M377)</f>
        <v>15</v>
      </c>
      <c r="AB377">
        <f>INDEX(script.out!P:P,results.txt!$M377)</f>
        <v>2373.4</v>
      </c>
      <c r="AC377" t="str">
        <f>INDEX(script.out!Q:Q,results.txt!$M377)</f>
        <v>}</v>
      </c>
      <c r="AD377">
        <f t="shared" si="5"/>
        <v>0</v>
      </c>
    </row>
    <row r="378" spans="1:30" x14ac:dyDescent="0.25">
      <c r="A378" s="12" t="s">
        <v>4</v>
      </c>
      <c r="B378" s="12">
        <v>-3</v>
      </c>
      <c r="C378" s="12">
        <v>1.1074999999999999</v>
      </c>
      <c r="D378" s="12">
        <v>-3.1961999999999997E-2</v>
      </c>
      <c r="E378" s="12">
        <v>0.65575499999999998</v>
      </c>
      <c r="F378" s="12">
        <v>-3</v>
      </c>
      <c r="G378" s="12">
        <v>4.6104400000000004E-3</v>
      </c>
      <c r="H378" s="12">
        <v>72.25</v>
      </c>
      <c r="I378" s="12">
        <v>297.07400000000001</v>
      </c>
      <c r="J378" s="12" t="s">
        <v>3</v>
      </c>
      <c r="K378" s="12">
        <v>0</v>
      </c>
      <c r="M378">
        <f>MATCH(C378,script.out!B:B,0)</f>
        <v>832</v>
      </c>
      <c r="N378">
        <f>INDEX(script.out!B:B,results.txt!$M378)</f>
        <v>1.1074999999999999</v>
      </c>
      <c r="O378">
        <f>INDEX(script.out!C:C,results.txt!$M378)</f>
        <v>-3.1961999999999997E-2</v>
      </c>
      <c r="P378">
        <f>INDEX(script.out!D:D,results.txt!$M378)</f>
        <v>0.65575499999999998</v>
      </c>
      <c r="Q378">
        <f>INDEX(script.out!E:E,results.txt!$M378)</f>
        <v>4.6104364694916503E-3</v>
      </c>
      <c r="R378">
        <f>INDEX(script.out!F:F,results.txt!$M378)</f>
        <v>72.25</v>
      </c>
      <c r="S378">
        <f>INDEX(script.out!G:G,results.txt!$M378)</f>
        <v>297.07402939688399</v>
      </c>
      <c r="T378" t="str">
        <f>INDEX(script.out!H:H,results.txt!$M378)</f>
        <v>{</v>
      </c>
      <c r="U378">
        <f>INDEX(script.out!I:I,results.txt!$M378)</f>
        <v>1.1859999999999999</v>
      </c>
      <c r="V378">
        <f>INDEX(script.out!J:J,results.txt!$M378)</f>
        <v>84.019000000000005</v>
      </c>
      <c r="W378">
        <f>INDEX(script.out!K:K,results.txt!$M378)</f>
        <v>396.89544999999998</v>
      </c>
      <c r="X378" t="str">
        <f>INDEX(script.out!L:L,results.txt!$M378)</f>
        <v>}</v>
      </c>
      <c r="Y378" t="str">
        <f>INDEX(script.out!M:M,results.txt!$M378)</f>
        <v>{</v>
      </c>
      <c r="Z378">
        <f>INDEX(script.out!N:N,results.txt!$M378)</f>
        <v>10.0679001949149</v>
      </c>
      <c r="AA378">
        <f>INDEX(script.out!O:O,results.txt!$M378)</f>
        <v>16.5</v>
      </c>
      <c r="AB378">
        <f>INDEX(script.out!P:P,results.txt!$M378)</f>
        <v>1008.92</v>
      </c>
      <c r="AC378" t="str">
        <f>INDEX(script.out!Q:Q,results.txt!$M378)</f>
        <v>}</v>
      </c>
      <c r="AD378">
        <f t="shared" si="5"/>
        <v>0</v>
      </c>
    </row>
    <row r="379" spans="1:30" x14ac:dyDescent="0.25">
      <c r="A379" s="12" t="s">
        <v>4</v>
      </c>
      <c r="B379" s="12">
        <v>-3</v>
      </c>
      <c r="C379" s="12">
        <v>0.95319100000000001</v>
      </c>
      <c r="D379" s="12">
        <v>0.15955900000000001</v>
      </c>
      <c r="E379" s="12">
        <v>0.57937099999999997</v>
      </c>
      <c r="F379" s="12">
        <v>-3</v>
      </c>
      <c r="G379" s="12">
        <v>133.23599999999999</v>
      </c>
      <c r="H379" s="12">
        <v>42.25</v>
      </c>
      <c r="I379" s="12">
        <v>82.2346</v>
      </c>
      <c r="J379" s="12" t="s">
        <v>3</v>
      </c>
      <c r="K379" s="12">
        <v>0</v>
      </c>
      <c r="M379">
        <f>MATCH(C379,script.out!B:B,0)</f>
        <v>835</v>
      </c>
      <c r="N379">
        <f>INDEX(script.out!B:B,results.txt!$M379)</f>
        <v>0.95319100000000001</v>
      </c>
      <c r="O379">
        <f>INDEX(script.out!C:C,results.txt!$M379)</f>
        <v>0.15955900000000001</v>
      </c>
      <c r="P379">
        <f>INDEX(script.out!D:D,results.txt!$M379)</f>
        <v>0.57937099999999997</v>
      </c>
      <c r="Q379">
        <f>INDEX(script.out!E:E,results.txt!$M379)</f>
        <v>133.23555863336401</v>
      </c>
      <c r="R379">
        <f>INDEX(script.out!F:F,results.txt!$M379)</f>
        <v>42.25</v>
      </c>
      <c r="S379">
        <f>INDEX(script.out!G:G,results.txt!$M379)</f>
        <v>82.234586628635697</v>
      </c>
      <c r="T379" t="str">
        <f>INDEX(script.out!H:H,results.txt!$M379)</f>
        <v>{</v>
      </c>
      <c r="U379">
        <f>INDEX(script.out!I:I,results.txt!$M379)</f>
        <v>1.0625519999999999</v>
      </c>
      <c r="V379">
        <f>INDEX(script.out!J:J,results.txt!$M379)</f>
        <v>179.77950000000001</v>
      </c>
      <c r="W379">
        <f>INDEX(script.out!K:K,results.txt!$M379)</f>
        <v>351.82889</v>
      </c>
      <c r="X379" t="str">
        <f>INDEX(script.out!L:L,results.txt!$M379)</f>
        <v>}</v>
      </c>
      <c r="Y379" t="str">
        <f>INDEX(script.out!M:M,results.txt!$M379)</f>
        <v>{</v>
      </c>
      <c r="Z379">
        <f>INDEX(script.out!N:N,results.txt!$M379)</f>
        <v>21.542770838640202</v>
      </c>
      <c r="AA379">
        <f>INDEX(script.out!O:O,results.txt!$M379)</f>
        <v>14.5</v>
      </c>
      <c r="AB379">
        <f>INDEX(script.out!P:P,results.txt!$M379)</f>
        <v>3990.06</v>
      </c>
      <c r="AC379" t="str">
        <f>INDEX(script.out!Q:Q,results.txt!$M379)</f>
        <v>}</v>
      </c>
      <c r="AD379">
        <f t="shared" si="5"/>
        <v>0</v>
      </c>
    </row>
    <row r="380" spans="1:30" x14ac:dyDescent="0.25">
      <c r="A380" s="12" t="s">
        <v>4</v>
      </c>
      <c r="B380" s="12">
        <v>-3</v>
      </c>
      <c r="C380" s="12">
        <v>0.93318000000000001</v>
      </c>
      <c r="D380" s="12">
        <v>-4.4275900000000003E-3</v>
      </c>
      <c r="E380" s="12">
        <v>0.73934800000000001</v>
      </c>
      <c r="F380" s="12">
        <v>-3</v>
      </c>
      <c r="G380" s="12">
        <v>2.95018</v>
      </c>
      <c r="H380" s="12">
        <v>72.25</v>
      </c>
      <c r="I380" s="12">
        <v>272.45299999999997</v>
      </c>
      <c r="J380" s="12" t="s">
        <v>3</v>
      </c>
      <c r="K380" s="12">
        <v>0</v>
      </c>
      <c r="M380">
        <f>MATCH(C380,script.out!B:B,0)</f>
        <v>839</v>
      </c>
      <c r="N380">
        <f>INDEX(script.out!B:B,results.txt!$M380)</f>
        <v>0.93318000000000001</v>
      </c>
      <c r="O380">
        <f>INDEX(script.out!C:C,results.txt!$M380)</f>
        <v>-4.4275900000000003E-3</v>
      </c>
      <c r="P380">
        <f>INDEX(script.out!D:D,results.txt!$M380)</f>
        <v>0.73934800000000001</v>
      </c>
      <c r="Q380">
        <f>INDEX(script.out!E:E,results.txt!$M380)</f>
        <v>2.9501791153755601</v>
      </c>
      <c r="R380">
        <f>INDEX(script.out!F:F,results.txt!$M380)</f>
        <v>72.25</v>
      </c>
      <c r="S380">
        <f>INDEX(script.out!G:G,results.txt!$M380)</f>
        <v>272.45346265715801</v>
      </c>
      <c r="T380" t="str">
        <f>INDEX(script.out!H:H,results.txt!$M380)</f>
        <v>{</v>
      </c>
      <c r="U380">
        <f>INDEX(script.out!I:I,results.txt!$M380)</f>
        <v>1.04654</v>
      </c>
      <c r="V380">
        <f>INDEX(script.out!J:J,results.txt!$M380)</f>
        <v>97.786204999999995</v>
      </c>
      <c r="W380">
        <f>INDEX(script.out!K:K,results.txt!$M380)</f>
        <v>446.21532000000002</v>
      </c>
      <c r="X380" t="str">
        <f>INDEX(script.out!L:L,results.txt!$M380)</f>
        <v>}</v>
      </c>
      <c r="Y380" t="str">
        <f>INDEX(script.out!M:M,results.txt!$M380)</f>
        <v>{</v>
      </c>
      <c r="Z380">
        <f>INDEX(script.out!N:N,results.txt!$M380)</f>
        <v>11.717608545441999</v>
      </c>
      <c r="AA380">
        <f>INDEX(script.out!O:O,results.txt!$M380)</f>
        <v>16.5</v>
      </c>
      <c r="AB380">
        <f>INDEX(script.out!P:P,results.txt!$M380)</f>
        <v>1275.25</v>
      </c>
      <c r="AC380" t="str">
        <f>INDEX(script.out!Q:Q,results.txt!$M380)</f>
        <v>}</v>
      </c>
      <c r="AD380">
        <f t="shared" si="5"/>
        <v>0</v>
      </c>
    </row>
    <row r="381" spans="1:30" x14ac:dyDescent="0.25">
      <c r="A381" s="12" t="s">
        <v>4</v>
      </c>
      <c r="B381" s="12">
        <v>-3</v>
      </c>
      <c r="C381" s="12">
        <v>0.56772999999999996</v>
      </c>
      <c r="D381" s="12">
        <v>1.31012E-2</v>
      </c>
      <c r="E381" s="12">
        <v>0.15041099999999999</v>
      </c>
      <c r="F381" s="12">
        <v>-3</v>
      </c>
      <c r="G381" s="12">
        <v>7.66092</v>
      </c>
      <c r="H381" s="12">
        <v>110.25</v>
      </c>
      <c r="I381" s="12">
        <v>1.44665</v>
      </c>
      <c r="J381" s="12" t="s">
        <v>3</v>
      </c>
      <c r="K381" s="12">
        <v>0</v>
      </c>
      <c r="M381">
        <f>MATCH(C381,script.out!B:B,0)</f>
        <v>847</v>
      </c>
      <c r="N381">
        <f>INDEX(script.out!B:B,results.txt!$M381)</f>
        <v>0.56772999999999996</v>
      </c>
      <c r="O381">
        <f>INDEX(script.out!C:C,results.txt!$M381)</f>
        <v>1.31012E-2</v>
      </c>
      <c r="P381">
        <f>INDEX(script.out!D:D,results.txt!$M381)</f>
        <v>0.15041099999999999</v>
      </c>
      <c r="Q381">
        <f>INDEX(script.out!E:E,results.txt!$M381)</f>
        <v>7.6609157028274204</v>
      </c>
      <c r="R381">
        <f>INDEX(script.out!F:F,results.txt!$M381)</f>
        <v>110.25</v>
      </c>
      <c r="S381">
        <f>INDEX(script.out!G:G,results.txt!$M381)</f>
        <v>1.4466487528617</v>
      </c>
      <c r="T381" t="str">
        <f>INDEX(script.out!H:H,results.txt!$M381)</f>
        <v>{</v>
      </c>
      <c r="U381">
        <f>INDEX(script.out!I:I,results.txt!$M381)</f>
        <v>0.75417999999999996</v>
      </c>
      <c r="V381">
        <f>INDEX(script.out!J:J,results.txt!$M381)</f>
        <v>106.5506</v>
      </c>
      <c r="W381">
        <f>INDEX(script.out!K:K,results.txt!$M381)</f>
        <v>98.742490000000004</v>
      </c>
      <c r="X381" t="str">
        <f>INDEX(script.out!L:L,results.txt!$M381)</f>
        <v>}</v>
      </c>
      <c r="Y381" t="str">
        <f>INDEX(script.out!M:M,results.txt!$M381)</f>
        <v>{</v>
      </c>
      <c r="Z381">
        <f>INDEX(script.out!N:N,results.txt!$M381)</f>
        <v>12.767835924116</v>
      </c>
      <c r="AA381">
        <f>INDEX(script.out!O:O,results.txt!$M381)</f>
        <v>18.5</v>
      </c>
      <c r="AB381">
        <f>INDEX(script.out!P:P,results.txt!$M381)</f>
        <v>6860.99</v>
      </c>
      <c r="AC381" t="str">
        <f>INDEX(script.out!Q:Q,results.txt!$M381)</f>
        <v>}</v>
      </c>
      <c r="AD381">
        <f t="shared" si="5"/>
        <v>0</v>
      </c>
    </row>
    <row r="382" spans="1:30" x14ac:dyDescent="0.25">
      <c r="A382" s="12" t="s">
        <v>4</v>
      </c>
      <c r="B382" s="12">
        <v>-3</v>
      </c>
      <c r="C382" s="12">
        <v>0.97969099999999998</v>
      </c>
      <c r="D382" s="12">
        <v>0.118398</v>
      </c>
      <c r="E382" s="12">
        <v>0.53225900000000004</v>
      </c>
      <c r="F382" s="12">
        <v>-3</v>
      </c>
      <c r="G382" s="12">
        <v>82.385300000000001</v>
      </c>
      <c r="H382" s="12">
        <v>42.25</v>
      </c>
      <c r="I382" s="12">
        <v>87.363600000000005</v>
      </c>
      <c r="J382" s="12" t="s">
        <v>3</v>
      </c>
      <c r="K382" s="12">
        <v>0</v>
      </c>
      <c r="M382">
        <f>MATCH(C382,script.out!B:B,0)</f>
        <v>850</v>
      </c>
      <c r="N382">
        <f>INDEX(script.out!B:B,results.txt!$M382)</f>
        <v>0.97969099999999998</v>
      </c>
      <c r="O382">
        <f>INDEX(script.out!C:C,results.txt!$M382)</f>
        <v>0.118398</v>
      </c>
      <c r="P382">
        <f>INDEX(script.out!D:D,results.txt!$M382)</f>
        <v>0.53225900000000004</v>
      </c>
      <c r="Q382">
        <f>INDEX(script.out!E:E,results.txt!$M382)</f>
        <v>82.385269879923001</v>
      </c>
      <c r="R382">
        <f>INDEX(script.out!F:F,results.txt!$M382)</f>
        <v>42.25</v>
      </c>
      <c r="S382">
        <f>INDEX(script.out!G:G,results.txt!$M382)</f>
        <v>87.363592118596301</v>
      </c>
      <c r="T382" t="str">
        <f>INDEX(script.out!H:H,results.txt!$M382)</f>
        <v>{</v>
      </c>
      <c r="U382">
        <f>INDEX(script.out!I:I,results.txt!$M382)</f>
        <v>1.083752</v>
      </c>
      <c r="V382">
        <f>INDEX(script.out!J:J,results.txt!$M382)</f>
        <v>159.19900000000001</v>
      </c>
      <c r="W382">
        <f>INDEX(script.out!K:K,results.txt!$M382)</f>
        <v>324.03280999999998</v>
      </c>
      <c r="X382" t="str">
        <f>INDEX(script.out!L:L,results.txt!$M382)</f>
        <v>}</v>
      </c>
      <c r="Y382" t="str">
        <f>INDEX(script.out!M:M,results.txt!$M382)</f>
        <v>{</v>
      </c>
      <c r="Z382">
        <f>INDEX(script.out!N:N,results.txt!$M382)</f>
        <v>19.076633179760101</v>
      </c>
      <c r="AA382">
        <f>INDEX(script.out!O:O,results.txt!$M382)</f>
        <v>14.5</v>
      </c>
      <c r="AB382">
        <f>INDEX(script.out!P:P,results.txt!$M382)</f>
        <v>3888.4</v>
      </c>
      <c r="AC382" t="str">
        <f>INDEX(script.out!Q:Q,results.txt!$M382)</f>
        <v>}</v>
      </c>
      <c r="AD382">
        <f t="shared" si="5"/>
        <v>0</v>
      </c>
    </row>
    <row r="383" spans="1:30" x14ac:dyDescent="0.25">
      <c r="A383" s="12" t="s">
        <v>4</v>
      </c>
      <c r="B383" s="12">
        <v>-3</v>
      </c>
      <c r="C383" s="12">
        <v>1.0524800000000001</v>
      </c>
      <c r="D383" s="12">
        <v>0.10301200000000001</v>
      </c>
      <c r="E383" s="12">
        <v>0.63381600000000005</v>
      </c>
      <c r="F383" s="12">
        <v>-3</v>
      </c>
      <c r="G383" s="12">
        <v>66.500600000000006</v>
      </c>
      <c r="H383" s="12">
        <v>36</v>
      </c>
      <c r="I383" s="12">
        <v>130.92699999999999</v>
      </c>
      <c r="J383" s="12" t="s">
        <v>3</v>
      </c>
      <c r="K383" s="12">
        <v>0</v>
      </c>
      <c r="M383">
        <f>MATCH(C383,script.out!B:B,0)</f>
        <v>853</v>
      </c>
      <c r="N383">
        <f>INDEX(script.out!B:B,results.txt!$M383)</f>
        <v>1.0524800000000001</v>
      </c>
      <c r="O383">
        <f>INDEX(script.out!C:C,results.txt!$M383)</f>
        <v>0.10301200000000001</v>
      </c>
      <c r="P383">
        <f>INDEX(script.out!D:D,results.txt!$M383)</f>
        <v>0.63381600000000005</v>
      </c>
      <c r="Q383">
        <f>INDEX(script.out!E:E,results.txt!$M383)</f>
        <v>66.500597211074904</v>
      </c>
      <c r="R383">
        <f>INDEX(script.out!F:F,results.txt!$M383)</f>
        <v>36</v>
      </c>
      <c r="S383">
        <f>INDEX(script.out!G:G,results.txt!$M383)</f>
        <v>130.92688761493699</v>
      </c>
      <c r="T383" t="str">
        <f>INDEX(script.out!H:H,results.txt!$M383)</f>
        <v>{</v>
      </c>
      <c r="U383">
        <f>INDEX(script.out!I:I,results.txt!$M383)</f>
        <v>1.14198</v>
      </c>
      <c r="V383">
        <f>INDEX(script.out!J:J,results.txt!$M383)</f>
        <v>151.506</v>
      </c>
      <c r="W383">
        <f>INDEX(script.out!K:K,results.txt!$M383)</f>
        <v>383.95143999999999</v>
      </c>
      <c r="X383" t="str">
        <f>INDEX(script.out!L:L,results.txt!$M383)</f>
        <v>}</v>
      </c>
      <c r="Y383" t="str">
        <f>INDEX(script.out!M:M,results.txt!$M383)</f>
        <v>{</v>
      </c>
      <c r="Z383">
        <f>INDEX(script.out!N:N,results.txt!$M383)</f>
        <v>18.1547898324282</v>
      </c>
      <c r="AA383">
        <f>INDEX(script.out!O:O,results.txt!$M383)</f>
        <v>14</v>
      </c>
      <c r="AB383">
        <f>INDEX(script.out!P:P,results.txt!$M383)</f>
        <v>3123.55</v>
      </c>
      <c r="AC383" t="str">
        <f>INDEX(script.out!Q:Q,results.txt!$M383)</f>
        <v>}</v>
      </c>
      <c r="AD383">
        <f t="shared" si="5"/>
        <v>0</v>
      </c>
    </row>
    <row r="384" spans="1:30" x14ac:dyDescent="0.25">
      <c r="A384" s="12" t="s">
        <v>4</v>
      </c>
      <c r="B384" s="12">
        <v>-3</v>
      </c>
      <c r="C384" s="12">
        <v>1.08623</v>
      </c>
      <c r="D384" s="12">
        <v>0.34494399999999997</v>
      </c>
      <c r="E384" s="12">
        <v>0.58625400000000005</v>
      </c>
      <c r="F384" s="12">
        <v>-3</v>
      </c>
      <c r="G384" s="12">
        <v>513.02300000000002</v>
      </c>
      <c r="H384" s="12">
        <v>25</v>
      </c>
      <c r="I384" s="12">
        <v>2.7747299999999999E-2</v>
      </c>
      <c r="J384" s="12" t="s">
        <v>3</v>
      </c>
      <c r="K384" s="12">
        <v>0</v>
      </c>
      <c r="M384">
        <f>MATCH(C384,script.out!B:B,0)</f>
        <v>856</v>
      </c>
      <c r="N384">
        <f>INDEX(script.out!B:B,results.txt!$M384)</f>
        <v>1.08623</v>
      </c>
      <c r="O384">
        <f>INDEX(script.out!C:C,results.txt!$M384)</f>
        <v>0.34494399999999997</v>
      </c>
      <c r="P384">
        <f>INDEX(script.out!D:D,results.txt!$M384)</f>
        <v>0.58625400000000005</v>
      </c>
      <c r="Q384">
        <f>INDEX(script.out!E:E,results.txt!$M384)</f>
        <v>513.02279756930602</v>
      </c>
      <c r="R384">
        <f>INDEX(script.out!F:F,results.txt!$M384)</f>
        <v>25</v>
      </c>
      <c r="S384">
        <f>INDEX(script.out!G:G,results.txt!$M384)</f>
        <v>2.7747344717583E-2</v>
      </c>
      <c r="T384" t="str">
        <f>INDEX(script.out!H:H,results.txt!$M384)</f>
        <v>{</v>
      </c>
      <c r="U384">
        <f>INDEX(script.out!I:I,results.txt!$M384)</f>
        <v>1.1689799999999999</v>
      </c>
      <c r="V384">
        <f>INDEX(script.out!J:J,results.txt!$M384)</f>
        <v>272.47199999999998</v>
      </c>
      <c r="W384">
        <f>INDEX(script.out!K:K,results.txt!$M384)</f>
        <v>355.88986</v>
      </c>
      <c r="X384" t="str">
        <f>INDEX(script.out!L:L,results.txt!$M384)</f>
        <v>}</v>
      </c>
      <c r="Y384" t="str">
        <f>INDEX(script.out!M:M,results.txt!$M384)</f>
        <v>{</v>
      </c>
      <c r="Z384">
        <f>INDEX(script.out!N:N,results.txt!$M384)</f>
        <v>32.650006568857897</v>
      </c>
      <c r="AA384">
        <f>INDEX(script.out!O:O,results.txt!$M384)</f>
        <v>13</v>
      </c>
      <c r="AB384">
        <f>INDEX(script.out!P:P,results.txt!$M384)</f>
        <v>7239.2</v>
      </c>
      <c r="AC384" t="str">
        <f>INDEX(script.out!Q:Q,results.txt!$M384)</f>
        <v>}</v>
      </c>
      <c r="AD384">
        <f t="shared" si="5"/>
        <v>0</v>
      </c>
    </row>
    <row r="385" spans="1:30" x14ac:dyDescent="0.25">
      <c r="A385" s="12" t="s">
        <v>4</v>
      </c>
      <c r="B385" s="12">
        <v>-3</v>
      </c>
      <c r="C385" s="12">
        <v>9.8384399999999997E-2</v>
      </c>
      <c r="D385" s="12">
        <v>3.41978E-4</v>
      </c>
      <c r="E385" s="12">
        <v>0.22852900000000001</v>
      </c>
      <c r="F385" s="12">
        <v>-3</v>
      </c>
      <c r="G385" s="12">
        <v>4.0135100000000001</v>
      </c>
      <c r="H385" s="12">
        <v>121</v>
      </c>
      <c r="I385" s="12">
        <v>123.22199999999999</v>
      </c>
      <c r="J385" s="12" t="s">
        <v>3</v>
      </c>
      <c r="K385" s="12">
        <v>0</v>
      </c>
      <c r="M385">
        <f>MATCH(C385,script.out!B:B,0)</f>
        <v>858</v>
      </c>
      <c r="N385">
        <f>INDEX(script.out!B:B,results.txt!$M385)</f>
        <v>9.8384399999999997E-2</v>
      </c>
      <c r="O385">
        <f>INDEX(script.out!C:C,results.txt!$M385)</f>
        <v>3.41978E-4</v>
      </c>
      <c r="P385">
        <f>INDEX(script.out!D:D,results.txt!$M385)</f>
        <v>0.22852900000000001</v>
      </c>
      <c r="Q385">
        <f>INDEX(script.out!E:E,results.txt!$M385)</f>
        <v>4.0135092710057299</v>
      </c>
      <c r="R385">
        <f>INDEX(script.out!F:F,results.txt!$M385)</f>
        <v>121</v>
      </c>
      <c r="S385">
        <f>INDEX(script.out!G:G,results.txt!$M385)</f>
        <v>123.22155643535299</v>
      </c>
      <c r="T385" t="str">
        <f>INDEX(script.out!H:H,results.txt!$M385)</f>
        <v>{</v>
      </c>
      <c r="U385">
        <f>INDEX(script.out!I:I,results.txt!$M385)</f>
        <v>0.37870749999999997</v>
      </c>
      <c r="V385">
        <f>INDEX(script.out!J:J,results.txt!$M385)</f>
        <v>100.17098900000001</v>
      </c>
      <c r="W385">
        <f>INDEX(script.out!K:K,results.txt!$M385)</f>
        <v>144.83211</v>
      </c>
      <c r="X385" t="str">
        <f>INDEX(script.out!L:L,results.txt!$M385)</f>
        <v>}</v>
      </c>
      <c r="Y385" t="str">
        <f>INDEX(script.out!M:M,results.txt!$M385)</f>
        <v>{</v>
      </c>
      <c r="Z385">
        <f>INDEX(script.out!N:N,results.txt!$M385)</f>
        <v>12.003374470987801</v>
      </c>
      <c r="AA385">
        <f>INDEX(script.out!O:O,results.txt!$M385)</f>
        <v>19</v>
      </c>
      <c r="AB385">
        <f>INDEX(script.out!P:P,results.txt!$M385)</f>
        <v>3248.31</v>
      </c>
      <c r="AC385" t="str">
        <f>INDEX(script.out!Q:Q,results.txt!$M385)</f>
        <v>}</v>
      </c>
      <c r="AD385">
        <f t="shared" si="5"/>
        <v>0</v>
      </c>
    </row>
    <row r="386" spans="1:30" x14ac:dyDescent="0.25">
      <c r="A386" s="12" t="s">
        <v>4</v>
      </c>
      <c r="B386" s="12">
        <v>-3</v>
      </c>
      <c r="C386" s="12">
        <v>0.82167699999999999</v>
      </c>
      <c r="D386" s="12">
        <v>0.10097</v>
      </c>
      <c r="E386" s="12">
        <v>0.272318</v>
      </c>
      <c r="F386" s="12">
        <v>-3</v>
      </c>
      <c r="G386" s="12">
        <v>64.520200000000003</v>
      </c>
      <c r="H386" s="12">
        <v>56.25</v>
      </c>
      <c r="I386" s="12">
        <v>3.6185399999999999</v>
      </c>
      <c r="J386" s="12" t="s">
        <v>3</v>
      </c>
      <c r="K386" s="12">
        <v>0</v>
      </c>
      <c r="M386">
        <f>MATCH(C386,script.out!B:B,0)</f>
        <v>866</v>
      </c>
      <c r="N386">
        <f>INDEX(script.out!B:B,results.txt!$M386)</f>
        <v>0.82167699999999999</v>
      </c>
      <c r="O386">
        <f>INDEX(script.out!C:C,results.txt!$M386)</f>
        <v>0.10097</v>
      </c>
      <c r="P386">
        <f>INDEX(script.out!D:D,results.txt!$M386)</f>
        <v>0.272318</v>
      </c>
      <c r="Q386">
        <f>INDEX(script.out!E:E,results.txt!$M386)</f>
        <v>64.520165866671604</v>
      </c>
      <c r="R386">
        <f>INDEX(script.out!F:F,results.txt!$M386)</f>
        <v>56.25</v>
      </c>
      <c r="S386">
        <f>INDEX(script.out!G:G,results.txt!$M386)</f>
        <v>3.6185420334021301</v>
      </c>
      <c r="T386" t="str">
        <f>INDEX(script.out!H:H,results.txt!$M386)</f>
        <v>{</v>
      </c>
      <c r="U386">
        <f>INDEX(script.out!I:I,results.txt!$M386)</f>
        <v>0.957341</v>
      </c>
      <c r="V386">
        <f>INDEX(script.out!J:J,results.txt!$M386)</f>
        <v>150.48500000000001</v>
      </c>
      <c r="W386">
        <f>INDEX(script.out!K:K,results.txt!$M386)</f>
        <v>170.66762</v>
      </c>
      <c r="X386" t="str">
        <f>INDEX(script.out!L:L,results.txt!$M386)</f>
        <v>}</v>
      </c>
      <c r="Y386" t="str">
        <f>INDEX(script.out!M:M,results.txt!$M386)</f>
        <v>{</v>
      </c>
      <c r="Z386">
        <f>INDEX(script.out!N:N,results.txt!$M386)</f>
        <v>18.032444576009901</v>
      </c>
      <c r="AA386">
        <f>INDEX(script.out!O:O,results.txt!$M386)</f>
        <v>15.5</v>
      </c>
      <c r="AB386">
        <f>INDEX(script.out!P:P,results.txt!$M386)</f>
        <v>6605.68</v>
      </c>
      <c r="AC386" t="str">
        <f>INDEX(script.out!Q:Q,results.txt!$M386)</f>
        <v>}</v>
      </c>
      <c r="AD386">
        <f t="shared" si="5"/>
        <v>0</v>
      </c>
    </row>
    <row r="387" spans="1:30" x14ac:dyDescent="0.25">
      <c r="A387" s="12" t="s">
        <v>4</v>
      </c>
      <c r="B387" s="12">
        <v>-3</v>
      </c>
      <c r="C387" s="12">
        <v>0.91151400000000005</v>
      </c>
      <c r="D387" s="12">
        <v>6.4492300000000002E-2</v>
      </c>
      <c r="E387" s="12">
        <v>0.55301100000000003</v>
      </c>
      <c r="F387" s="12">
        <v>-3</v>
      </c>
      <c r="G387" s="12">
        <v>34.186300000000003</v>
      </c>
      <c r="H387" s="12">
        <v>56.25</v>
      </c>
      <c r="I387" s="12">
        <v>165.346</v>
      </c>
      <c r="J387" s="12" t="s">
        <v>3</v>
      </c>
      <c r="K387" s="12">
        <v>0</v>
      </c>
      <c r="M387">
        <f>MATCH(C387,script.out!B:B,0)</f>
        <v>867</v>
      </c>
      <c r="N387">
        <f>INDEX(script.out!B:B,results.txt!$M387)</f>
        <v>0.91151400000000005</v>
      </c>
      <c r="O387">
        <f>INDEX(script.out!C:C,results.txt!$M387)</f>
        <v>6.4492300000000002E-2</v>
      </c>
      <c r="P387">
        <f>INDEX(script.out!D:D,results.txt!$M387)</f>
        <v>0.55301100000000003</v>
      </c>
      <c r="Q387">
        <f>INDEX(script.out!E:E,results.txt!$M387)</f>
        <v>34.186288081235702</v>
      </c>
      <c r="R387">
        <f>INDEX(script.out!F:F,results.txt!$M387)</f>
        <v>56.25</v>
      </c>
      <c r="S387">
        <f>INDEX(script.out!G:G,results.txt!$M387)</f>
        <v>165.34577816776101</v>
      </c>
      <c r="T387" t="str">
        <f>INDEX(script.out!H:H,results.txt!$M387)</f>
        <v>{</v>
      </c>
      <c r="U387">
        <f>INDEX(script.out!I:I,results.txt!$M387)</f>
        <v>1.0292110000000001</v>
      </c>
      <c r="V387">
        <f>INDEX(script.out!J:J,results.txt!$M387)</f>
        <v>132.24615</v>
      </c>
      <c r="W387">
        <f>INDEX(script.out!K:K,results.txt!$M387)</f>
        <v>336.27649000000002</v>
      </c>
      <c r="X387" t="str">
        <f>INDEX(script.out!L:L,results.txt!$M387)</f>
        <v>}</v>
      </c>
      <c r="Y387" t="str">
        <f>INDEX(script.out!M:M,results.txt!$M387)</f>
        <v>{</v>
      </c>
      <c r="Z387">
        <f>INDEX(script.out!N:N,results.txt!$M387)</f>
        <v>15.846904145035699</v>
      </c>
      <c r="AA387">
        <f>INDEX(script.out!O:O,results.txt!$M387)</f>
        <v>15.5</v>
      </c>
      <c r="AB387">
        <f>INDEX(script.out!P:P,results.txt!$M387)</f>
        <v>2606.58</v>
      </c>
      <c r="AC387" t="str">
        <f>INDEX(script.out!Q:Q,results.txt!$M387)</f>
        <v>}</v>
      </c>
      <c r="AD387">
        <f t="shared" si="5"/>
        <v>0</v>
      </c>
    </row>
    <row r="388" spans="1:30" x14ac:dyDescent="0.25">
      <c r="A388" s="12" t="s">
        <v>4</v>
      </c>
      <c r="B388" s="12">
        <v>-3</v>
      </c>
      <c r="C388" s="12">
        <v>0.82359000000000004</v>
      </c>
      <c r="D388" s="12">
        <v>7.7856900000000007E-2</v>
      </c>
      <c r="E388" s="12">
        <v>0.65947800000000001</v>
      </c>
      <c r="F388" s="12">
        <v>-3</v>
      </c>
      <c r="G388" s="12">
        <v>44.191099999999999</v>
      </c>
      <c r="H388" s="12">
        <v>56.25</v>
      </c>
      <c r="I388" s="12">
        <v>143.37100000000001</v>
      </c>
      <c r="J388" s="12" t="s">
        <v>3</v>
      </c>
      <c r="K388" s="12">
        <v>0</v>
      </c>
      <c r="M388">
        <f>MATCH(C388,script.out!B:B,0)</f>
        <v>868</v>
      </c>
      <c r="N388">
        <f>INDEX(script.out!B:B,results.txt!$M388)</f>
        <v>0.82359000000000004</v>
      </c>
      <c r="O388">
        <f>INDEX(script.out!C:C,results.txt!$M388)</f>
        <v>7.7856900000000007E-2</v>
      </c>
      <c r="P388">
        <f>INDEX(script.out!D:D,results.txt!$M388)</f>
        <v>0.65947800000000001</v>
      </c>
      <c r="Q388">
        <f>INDEX(script.out!E:E,results.txt!$M388)</f>
        <v>44.191070678623298</v>
      </c>
      <c r="R388">
        <f>INDEX(script.out!F:F,results.txt!$M388)</f>
        <v>56.25</v>
      </c>
      <c r="S388">
        <f>INDEX(script.out!G:G,results.txt!$M388)</f>
        <v>143.37142717132599</v>
      </c>
      <c r="T388" t="str">
        <f>INDEX(script.out!H:H,results.txt!$M388)</f>
        <v>{</v>
      </c>
      <c r="U388">
        <f>INDEX(script.out!I:I,results.txt!$M388)</f>
        <v>0.95887</v>
      </c>
      <c r="V388">
        <f>INDEX(script.out!J:J,results.txt!$M388)</f>
        <v>138.92845</v>
      </c>
      <c r="W388">
        <f>INDEX(script.out!K:K,results.txt!$M388)</f>
        <v>399.09201999999999</v>
      </c>
      <c r="X388" t="str">
        <f>INDEX(script.out!L:L,results.txt!$M388)</f>
        <v>}</v>
      </c>
      <c r="Y388" t="str">
        <f>INDEX(script.out!M:M,results.txt!$M388)</f>
        <v>{</v>
      </c>
      <c r="Z388">
        <f>INDEX(script.out!N:N,results.txt!$M388)</f>
        <v>16.647636473110001</v>
      </c>
      <c r="AA388">
        <f>INDEX(script.out!O:O,results.txt!$M388)</f>
        <v>15.5</v>
      </c>
      <c r="AB388">
        <f>INDEX(script.out!P:P,results.txt!$M388)</f>
        <v>2929.57</v>
      </c>
      <c r="AC388" t="str">
        <f>INDEX(script.out!Q:Q,results.txt!$M388)</f>
        <v>}</v>
      </c>
      <c r="AD388">
        <f t="shared" ref="AD388:AD451" si="6">IF(A388="all",1)+IF(A388="nonDominatedFront",2)</f>
        <v>0</v>
      </c>
    </row>
    <row r="389" spans="1:30" x14ac:dyDescent="0.25">
      <c r="A389" s="12" t="s">
        <v>4</v>
      </c>
      <c r="B389" s="12">
        <v>-3</v>
      </c>
      <c r="C389" s="12">
        <v>0.92065699999999995</v>
      </c>
      <c r="D389" s="12">
        <v>7.0473900000000006E-2</v>
      </c>
      <c r="E389" s="12">
        <v>0.508432</v>
      </c>
      <c r="F389" s="12">
        <v>-3</v>
      </c>
      <c r="G389" s="12">
        <v>38.505600000000001</v>
      </c>
      <c r="H389" s="12">
        <v>56.25</v>
      </c>
      <c r="I389" s="12">
        <v>148.46299999999999</v>
      </c>
      <c r="J389" s="12" t="s">
        <v>3</v>
      </c>
      <c r="K389" s="12">
        <v>0</v>
      </c>
      <c r="M389">
        <f>MATCH(C389,script.out!B:B,0)</f>
        <v>871</v>
      </c>
      <c r="N389">
        <f>INDEX(script.out!B:B,results.txt!$M389)</f>
        <v>0.92065699999999995</v>
      </c>
      <c r="O389">
        <f>INDEX(script.out!C:C,results.txt!$M389)</f>
        <v>7.0473900000000006E-2</v>
      </c>
      <c r="P389">
        <f>INDEX(script.out!D:D,results.txt!$M389)</f>
        <v>0.508432</v>
      </c>
      <c r="Q389">
        <f>INDEX(script.out!E:E,results.txt!$M389)</f>
        <v>38.505602529689902</v>
      </c>
      <c r="R389">
        <f>INDEX(script.out!F:F,results.txt!$M389)</f>
        <v>56.25</v>
      </c>
      <c r="S389">
        <f>INDEX(script.out!G:G,results.txt!$M389)</f>
        <v>148.462540983298</v>
      </c>
      <c r="T389" t="str">
        <f>INDEX(script.out!H:H,results.txt!$M389)</f>
        <v>{</v>
      </c>
      <c r="U389">
        <f>INDEX(script.out!I:I,results.txt!$M389)</f>
        <v>1.0365249999999999</v>
      </c>
      <c r="V389">
        <f>INDEX(script.out!J:J,results.txt!$M389)</f>
        <v>135.23695000000001</v>
      </c>
      <c r="W389">
        <f>INDEX(script.out!K:K,results.txt!$M389)</f>
        <v>309.97487999999998</v>
      </c>
      <c r="X389" t="str">
        <f>INDEX(script.out!L:L,results.txt!$M389)</f>
        <v>}</v>
      </c>
      <c r="Y389" t="str">
        <f>INDEX(script.out!M:M,results.txt!$M389)</f>
        <v>{</v>
      </c>
      <c r="Z389">
        <f>INDEX(script.out!N:N,results.txt!$M389)</f>
        <v>16.205288271280299</v>
      </c>
      <c r="AA389">
        <f>INDEX(script.out!O:O,results.txt!$M389)</f>
        <v>15.5</v>
      </c>
      <c r="AB389">
        <f>INDEX(script.out!P:P,results.txt!$M389)</f>
        <v>2852.65</v>
      </c>
      <c r="AC389" t="str">
        <f>INDEX(script.out!Q:Q,results.txt!$M389)</f>
        <v>}</v>
      </c>
      <c r="AD389">
        <f t="shared" si="6"/>
        <v>0</v>
      </c>
    </row>
    <row r="390" spans="1:30" x14ac:dyDescent="0.25">
      <c r="A390" s="12" t="s">
        <v>4</v>
      </c>
      <c r="B390" s="12">
        <v>-3</v>
      </c>
      <c r="C390" s="12">
        <v>0.94393300000000002</v>
      </c>
      <c r="D390" s="12">
        <v>4.4485299999999998E-2</v>
      </c>
      <c r="E390" s="12">
        <v>0.55251499999999998</v>
      </c>
      <c r="F390" s="12">
        <v>-3</v>
      </c>
      <c r="G390" s="12">
        <v>21.605699999999999</v>
      </c>
      <c r="H390" s="12">
        <v>56.25</v>
      </c>
      <c r="I390" s="12">
        <v>179.14099999999999</v>
      </c>
      <c r="J390" s="12" t="s">
        <v>3</v>
      </c>
      <c r="K390" s="12">
        <v>0</v>
      </c>
      <c r="M390">
        <f>MATCH(C390,script.out!B:B,0)</f>
        <v>873</v>
      </c>
      <c r="N390">
        <f>INDEX(script.out!B:B,results.txt!$M390)</f>
        <v>0.94393300000000002</v>
      </c>
      <c r="O390">
        <f>INDEX(script.out!C:C,results.txt!$M390)</f>
        <v>4.4485299999999998E-2</v>
      </c>
      <c r="P390">
        <f>INDEX(script.out!D:D,results.txt!$M390)</f>
        <v>0.55251499999999998</v>
      </c>
      <c r="Q390">
        <f>INDEX(script.out!E:E,results.txt!$M390)</f>
        <v>21.605728271538201</v>
      </c>
      <c r="R390">
        <f>INDEX(script.out!F:F,results.txt!$M390)</f>
        <v>56.25</v>
      </c>
      <c r="S390">
        <f>INDEX(script.out!G:G,results.txt!$M390)</f>
        <v>179.14098993507201</v>
      </c>
      <c r="T390" t="str">
        <f>INDEX(script.out!H:H,results.txt!$M390)</f>
        <v>{</v>
      </c>
      <c r="U390">
        <f>INDEX(script.out!I:I,results.txt!$M390)</f>
        <v>1.0551459999999999</v>
      </c>
      <c r="V390">
        <f>INDEX(script.out!J:J,results.txt!$M390)</f>
        <v>122.24265</v>
      </c>
      <c r="W390">
        <f>INDEX(script.out!K:K,results.txt!$M390)</f>
        <v>335.98385000000002</v>
      </c>
      <c r="X390" t="str">
        <f>INDEX(script.out!L:L,results.txt!$M390)</f>
        <v>}</v>
      </c>
      <c r="Y390" t="str">
        <f>INDEX(script.out!M:M,results.txt!$M390)</f>
        <v>{</v>
      </c>
      <c r="Z390">
        <f>INDEX(script.out!N:N,results.txt!$M390)</f>
        <v>14.6481962384927</v>
      </c>
      <c r="AA390">
        <f>INDEX(script.out!O:O,results.txt!$M390)</f>
        <v>15.5</v>
      </c>
      <c r="AB390">
        <f>INDEX(script.out!P:P,results.txt!$M390)</f>
        <v>2414.71</v>
      </c>
      <c r="AC390" t="str">
        <f>INDEX(script.out!Q:Q,results.txt!$M390)</f>
        <v>}</v>
      </c>
      <c r="AD390">
        <f t="shared" si="6"/>
        <v>0</v>
      </c>
    </row>
    <row r="391" spans="1:30" x14ac:dyDescent="0.25">
      <c r="A391" s="12" t="s">
        <v>4</v>
      </c>
      <c r="B391" s="12">
        <v>-3</v>
      </c>
      <c r="C391" s="12">
        <v>1.0343</v>
      </c>
      <c r="D391" s="12">
        <v>3.5202600000000001E-2</v>
      </c>
      <c r="E391" s="12">
        <v>0.62040099999999998</v>
      </c>
      <c r="F391" s="12">
        <v>-3</v>
      </c>
      <c r="G391" s="12">
        <v>16.744700000000002</v>
      </c>
      <c r="H391" s="12">
        <v>56.25</v>
      </c>
      <c r="I391" s="12">
        <v>205.66900000000001</v>
      </c>
      <c r="J391" s="12" t="s">
        <v>3</v>
      </c>
      <c r="K391" s="12">
        <v>0</v>
      </c>
      <c r="M391">
        <f>MATCH(C391,script.out!B:B,0)</f>
        <v>879</v>
      </c>
      <c r="N391">
        <f>INDEX(script.out!B:B,results.txt!$M391)</f>
        <v>1.0343</v>
      </c>
      <c r="O391">
        <f>INDEX(script.out!C:C,results.txt!$M391)</f>
        <v>3.5202600000000001E-2</v>
      </c>
      <c r="P391">
        <f>INDEX(script.out!D:D,results.txt!$M391)</f>
        <v>0.62040099999999998</v>
      </c>
      <c r="Q391">
        <f>INDEX(script.out!E:E,results.txt!$M391)</f>
        <v>16.744698087458101</v>
      </c>
      <c r="R391">
        <f>INDEX(script.out!F:F,results.txt!$M391)</f>
        <v>56.25</v>
      </c>
      <c r="S391">
        <f>INDEX(script.out!G:G,results.txt!$M391)</f>
        <v>205.66938878513699</v>
      </c>
      <c r="T391" t="str">
        <f>INDEX(script.out!H:H,results.txt!$M391)</f>
        <v>{</v>
      </c>
      <c r="U391">
        <f>INDEX(script.out!I:I,results.txt!$M391)</f>
        <v>1.1274</v>
      </c>
      <c r="V391">
        <f>INDEX(script.out!J:J,results.txt!$M391)</f>
        <v>117.60129999999999</v>
      </c>
      <c r="W391">
        <f>INDEX(script.out!K:K,results.txt!$M391)</f>
        <v>376.03658999999999</v>
      </c>
      <c r="X391" t="str">
        <f>INDEX(script.out!L:L,results.txt!$M391)</f>
        <v>}</v>
      </c>
      <c r="Y391" t="str">
        <f>INDEX(script.out!M:M,results.txt!$M391)</f>
        <v>{</v>
      </c>
      <c r="Z391">
        <f>INDEX(script.out!N:N,results.txt!$M391)</f>
        <v>14.0920286029618</v>
      </c>
      <c r="AA391">
        <f>INDEX(script.out!O:O,results.txt!$M391)</f>
        <v>15.5</v>
      </c>
      <c r="AB391">
        <f>INDEX(script.out!P:P,results.txt!$M391)</f>
        <v>2065.4699999999998</v>
      </c>
      <c r="AC391" t="str">
        <f>INDEX(script.out!Q:Q,results.txt!$M391)</f>
        <v>}</v>
      </c>
      <c r="AD391">
        <f t="shared" si="6"/>
        <v>0</v>
      </c>
    </row>
    <row r="392" spans="1:30" x14ac:dyDescent="0.25">
      <c r="A392" s="12" t="s">
        <v>4</v>
      </c>
      <c r="B392" s="12">
        <v>-3</v>
      </c>
      <c r="C392" s="12">
        <v>0.95498400000000006</v>
      </c>
      <c r="D392" s="12">
        <v>0.11122</v>
      </c>
      <c r="E392" s="12">
        <v>0.58611599999999997</v>
      </c>
      <c r="F392" s="12">
        <v>-3</v>
      </c>
      <c r="G392" s="12">
        <v>74.763099999999994</v>
      </c>
      <c r="H392" s="12">
        <v>42.25</v>
      </c>
      <c r="I392" s="12">
        <v>108.673</v>
      </c>
      <c r="J392" s="12" t="s">
        <v>3</v>
      </c>
      <c r="K392" s="12">
        <v>0</v>
      </c>
      <c r="M392">
        <f>MATCH(C392,script.out!B:B,0)</f>
        <v>884</v>
      </c>
      <c r="N392">
        <f>INDEX(script.out!B:B,results.txt!$M392)</f>
        <v>0.95498400000000006</v>
      </c>
      <c r="O392">
        <f>INDEX(script.out!C:C,results.txt!$M392)</f>
        <v>0.11122</v>
      </c>
      <c r="P392">
        <f>INDEX(script.out!D:D,results.txt!$M392)</f>
        <v>0.58611599999999997</v>
      </c>
      <c r="Q392">
        <f>INDEX(script.out!E:E,results.txt!$M392)</f>
        <v>74.763128409948393</v>
      </c>
      <c r="R392">
        <f>INDEX(script.out!F:F,results.txt!$M392)</f>
        <v>42.25</v>
      </c>
      <c r="S392">
        <f>INDEX(script.out!G:G,results.txt!$M392)</f>
        <v>108.672913492963</v>
      </c>
      <c r="T392" t="str">
        <f>INDEX(script.out!H:H,results.txt!$M392)</f>
        <v>{</v>
      </c>
      <c r="U392">
        <f>INDEX(script.out!I:I,results.txt!$M392)</f>
        <v>1.063987</v>
      </c>
      <c r="V392">
        <f>INDEX(script.out!J:J,results.txt!$M392)</f>
        <v>155.61000000000001</v>
      </c>
      <c r="W392">
        <f>INDEX(script.out!K:K,results.txt!$M392)</f>
        <v>355.80844000000002</v>
      </c>
      <c r="X392" t="str">
        <f>INDEX(script.out!L:L,results.txt!$M392)</f>
        <v>}</v>
      </c>
      <c r="Y392" t="str">
        <f>INDEX(script.out!M:M,results.txt!$M392)</f>
        <v>{</v>
      </c>
      <c r="Z392">
        <f>INDEX(script.out!N:N,results.txt!$M392)</f>
        <v>18.646567435112502</v>
      </c>
      <c r="AA392">
        <f>INDEX(script.out!O:O,results.txt!$M392)</f>
        <v>14.5</v>
      </c>
      <c r="AB392">
        <f>INDEX(script.out!P:P,results.txt!$M392)</f>
        <v>3495.01</v>
      </c>
      <c r="AC392" t="str">
        <f>INDEX(script.out!Q:Q,results.txt!$M392)</f>
        <v>}</v>
      </c>
      <c r="AD392">
        <f t="shared" si="6"/>
        <v>0</v>
      </c>
    </row>
    <row r="393" spans="1:30" x14ac:dyDescent="0.25">
      <c r="A393" s="12" t="s">
        <v>4</v>
      </c>
      <c r="B393" s="12">
        <v>-3</v>
      </c>
      <c r="C393" s="12">
        <v>0.80746099999999998</v>
      </c>
      <c r="D393" s="12">
        <v>0.19195100000000001</v>
      </c>
      <c r="E393" s="12">
        <v>0.45455699999999999</v>
      </c>
      <c r="F393" s="12">
        <v>-3</v>
      </c>
      <c r="G393" s="12">
        <v>181.80500000000001</v>
      </c>
      <c r="H393" s="12">
        <v>42.25</v>
      </c>
      <c r="I393" s="12">
        <v>1.9673700000000001</v>
      </c>
      <c r="J393" s="12" t="s">
        <v>3</v>
      </c>
      <c r="K393" s="12">
        <v>0</v>
      </c>
      <c r="M393">
        <f>MATCH(C393,script.out!B:B,0)</f>
        <v>889</v>
      </c>
      <c r="N393">
        <f>INDEX(script.out!B:B,results.txt!$M393)</f>
        <v>0.80746099999999998</v>
      </c>
      <c r="O393">
        <f>INDEX(script.out!C:C,results.txt!$M393)</f>
        <v>0.19195100000000001</v>
      </c>
      <c r="P393">
        <f>INDEX(script.out!D:D,results.txt!$M393)</f>
        <v>0.45455699999999999</v>
      </c>
      <c r="Q393">
        <f>INDEX(script.out!E:E,results.txt!$M393)</f>
        <v>181.805281987466</v>
      </c>
      <c r="R393">
        <f>INDEX(script.out!F:F,results.txt!$M393)</f>
        <v>42.25</v>
      </c>
      <c r="S393">
        <f>INDEX(script.out!G:G,results.txt!$M393)</f>
        <v>1.96737130118221</v>
      </c>
      <c r="T393" t="str">
        <f>INDEX(script.out!H:H,results.txt!$M393)</f>
        <v>{</v>
      </c>
      <c r="U393">
        <f>INDEX(script.out!I:I,results.txt!$M393)</f>
        <v>0.94596800000000003</v>
      </c>
      <c r="V393">
        <f>INDEX(script.out!J:J,results.txt!$M393)</f>
        <v>195.97550000000001</v>
      </c>
      <c r="W393">
        <f>INDEX(script.out!K:K,results.txt!$M393)</f>
        <v>278.18862999999999</v>
      </c>
      <c r="X393" t="str">
        <f>INDEX(script.out!L:L,results.txt!$M393)</f>
        <v>}</v>
      </c>
      <c r="Y393" t="str">
        <f>INDEX(script.out!M:M,results.txt!$M393)</f>
        <v>{</v>
      </c>
      <c r="Z393">
        <f>INDEX(script.out!N:N,results.txt!$M393)</f>
        <v>23.4835189022549</v>
      </c>
      <c r="AA393">
        <f>INDEX(script.out!O:O,results.txt!$M393)</f>
        <v>14.5</v>
      </c>
      <c r="AB393">
        <f>INDEX(script.out!P:P,results.txt!$M393)</f>
        <v>6788.04</v>
      </c>
      <c r="AC393" t="str">
        <f>INDEX(script.out!Q:Q,results.txt!$M393)</f>
        <v>}</v>
      </c>
      <c r="AD393">
        <f t="shared" si="6"/>
        <v>0</v>
      </c>
    </row>
    <row r="394" spans="1:30" x14ac:dyDescent="0.25">
      <c r="A394" s="12" t="s">
        <v>4</v>
      </c>
      <c r="B394" s="12">
        <v>-3</v>
      </c>
      <c r="C394" s="12">
        <v>0.87509099999999995</v>
      </c>
      <c r="D394" s="12">
        <v>-1.9753000000000001E-3</v>
      </c>
      <c r="E394" s="12">
        <v>0.70521699999999998</v>
      </c>
      <c r="F394" s="12">
        <v>-3</v>
      </c>
      <c r="G394" s="12">
        <v>3.4764900000000001</v>
      </c>
      <c r="H394" s="12">
        <v>81</v>
      </c>
      <c r="I394" s="12">
        <v>263.36200000000002</v>
      </c>
      <c r="J394" s="12" t="s">
        <v>3</v>
      </c>
      <c r="K394" s="12">
        <v>0</v>
      </c>
      <c r="M394">
        <f>MATCH(C394,script.out!B:B,0)</f>
        <v>891</v>
      </c>
      <c r="N394">
        <f>INDEX(script.out!B:B,results.txt!$M394)</f>
        <v>0.87509099999999995</v>
      </c>
      <c r="O394">
        <f>INDEX(script.out!C:C,results.txt!$M394)</f>
        <v>-1.9753000000000001E-3</v>
      </c>
      <c r="P394">
        <f>INDEX(script.out!D:D,results.txt!$M394)</f>
        <v>0.70521699999999998</v>
      </c>
      <c r="Q394">
        <f>INDEX(script.out!E:E,results.txt!$M394)</f>
        <v>3.4764948361621699</v>
      </c>
      <c r="R394">
        <f>INDEX(script.out!F:F,results.txt!$M394)</f>
        <v>81</v>
      </c>
      <c r="S394">
        <f>INDEX(script.out!G:G,results.txt!$M394)</f>
        <v>263.36221147982701</v>
      </c>
      <c r="T394" t="str">
        <f>INDEX(script.out!H:H,results.txt!$M394)</f>
        <v>{</v>
      </c>
      <c r="U394">
        <f>INDEX(script.out!I:I,results.txt!$M394)</f>
        <v>1.0000720000000001</v>
      </c>
      <c r="V394">
        <f>INDEX(script.out!J:J,results.txt!$M394)</f>
        <v>99.012349999999998</v>
      </c>
      <c r="W394">
        <f>INDEX(script.out!K:K,results.txt!$M394)</f>
        <v>426.07803000000001</v>
      </c>
      <c r="X394" t="str">
        <f>INDEX(script.out!L:L,results.txt!$M394)</f>
        <v>}</v>
      </c>
      <c r="Y394" t="str">
        <f>INDEX(script.out!M:M,results.txt!$M394)</f>
        <v>{</v>
      </c>
      <c r="Z394">
        <f>INDEX(script.out!N:N,results.txt!$M394)</f>
        <v>11.8645360914077</v>
      </c>
      <c r="AA394">
        <f>INDEX(script.out!O:O,results.txt!$M394)</f>
        <v>17</v>
      </c>
      <c r="AB394">
        <f>INDEX(script.out!P:P,results.txt!$M394)</f>
        <v>1376.62</v>
      </c>
      <c r="AC394" t="str">
        <f>INDEX(script.out!Q:Q,results.txt!$M394)</f>
        <v>}</v>
      </c>
      <c r="AD394">
        <f t="shared" si="6"/>
        <v>0</v>
      </c>
    </row>
    <row r="395" spans="1:30" x14ac:dyDescent="0.25">
      <c r="A395" s="12" t="s">
        <v>4</v>
      </c>
      <c r="B395" s="12">
        <v>-3</v>
      </c>
      <c r="C395" s="12">
        <v>1.0394000000000001</v>
      </c>
      <c r="D395" s="12">
        <v>7.0502899999999993E-2</v>
      </c>
      <c r="E395" s="12">
        <v>0.60957899999999998</v>
      </c>
      <c r="F395" s="12">
        <v>-3</v>
      </c>
      <c r="G395" s="12">
        <v>38.527200000000001</v>
      </c>
      <c r="H395" s="12">
        <v>49</v>
      </c>
      <c r="I395" s="12">
        <v>186.542</v>
      </c>
      <c r="J395" s="12" t="s">
        <v>3</v>
      </c>
      <c r="K395" s="12">
        <v>0</v>
      </c>
      <c r="M395">
        <f>MATCH(C395,script.out!B:B,0)</f>
        <v>892</v>
      </c>
      <c r="N395">
        <f>INDEX(script.out!B:B,results.txt!$M395)</f>
        <v>1.0394000000000001</v>
      </c>
      <c r="O395">
        <f>INDEX(script.out!C:C,results.txt!$M395)</f>
        <v>7.0502899999999993E-2</v>
      </c>
      <c r="P395">
        <f>INDEX(script.out!D:D,results.txt!$M395)</f>
        <v>0.60957899999999998</v>
      </c>
      <c r="Q395">
        <f>INDEX(script.out!E:E,results.txt!$M395)</f>
        <v>38.527169152926497</v>
      </c>
      <c r="R395">
        <f>INDEX(script.out!F:F,results.txt!$M395)</f>
        <v>49</v>
      </c>
      <c r="S395">
        <f>INDEX(script.out!G:G,results.txt!$M395)</f>
        <v>186.54171238431201</v>
      </c>
      <c r="T395" t="str">
        <f>INDEX(script.out!H:H,results.txt!$M395)</f>
        <v>{</v>
      </c>
      <c r="U395">
        <f>INDEX(script.out!I:I,results.txt!$M395)</f>
        <v>1.1315</v>
      </c>
      <c r="V395">
        <f>INDEX(script.out!J:J,results.txt!$M395)</f>
        <v>135.25145000000001</v>
      </c>
      <c r="W395">
        <f>INDEX(script.out!K:K,results.txt!$M395)</f>
        <v>369.65161000000001</v>
      </c>
      <c r="X395" t="str">
        <f>INDEX(script.out!L:L,results.txt!$M395)</f>
        <v>}</v>
      </c>
      <c r="Y395" t="str">
        <f>INDEX(script.out!M:M,results.txt!$M395)</f>
        <v>{</v>
      </c>
      <c r="Z395">
        <f>INDEX(script.out!N:N,results.txt!$M395)</f>
        <v>16.2070257896134</v>
      </c>
      <c r="AA395">
        <f>INDEX(script.out!O:O,results.txt!$M395)</f>
        <v>15</v>
      </c>
      <c r="AB395">
        <f>INDEX(script.out!P:P,results.txt!$M395)</f>
        <v>2314.8200000000002</v>
      </c>
      <c r="AC395" t="str">
        <f>INDEX(script.out!Q:Q,results.txt!$M395)</f>
        <v>}</v>
      </c>
      <c r="AD395">
        <f t="shared" si="6"/>
        <v>0</v>
      </c>
    </row>
    <row r="396" spans="1:30" x14ac:dyDescent="0.25">
      <c r="A396" s="12" t="s">
        <v>4</v>
      </c>
      <c r="B396" s="12">
        <v>-3</v>
      </c>
      <c r="C396" s="12">
        <v>1.02312</v>
      </c>
      <c r="D396" s="12">
        <v>-8.36658E-4</v>
      </c>
      <c r="E396" s="12">
        <v>0.66092499999999998</v>
      </c>
      <c r="F396" s="12">
        <v>-3</v>
      </c>
      <c r="G396" s="12">
        <v>3.7355499999999999</v>
      </c>
      <c r="H396" s="12">
        <v>64</v>
      </c>
      <c r="I396" s="12">
        <v>263.12200000000001</v>
      </c>
      <c r="J396" s="12" t="s">
        <v>3</v>
      </c>
      <c r="K396" s="12">
        <v>0</v>
      </c>
      <c r="M396">
        <f>MATCH(C396,script.out!B:B,0)</f>
        <v>896</v>
      </c>
      <c r="N396">
        <f>INDEX(script.out!B:B,results.txt!$M396)</f>
        <v>1.02312</v>
      </c>
      <c r="O396">
        <f>INDEX(script.out!C:C,results.txt!$M396)</f>
        <v>-8.36658E-4</v>
      </c>
      <c r="P396">
        <f>INDEX(script.out!D:D,results.txt!$M396)</f>
        <v>0.66092499999999998</v>
      </c>
      <c r="Q396">
        <f>INDEX(script.out!E:E,results.txt!$M396)</f>
        <v>3.7355502876008999</v>
      </c>
      <c r="R396">
        <f>INDEX(script.out!F:F,results.txt!$M396)</f>
        <v>64</v>
      </c>
      <c r="S396">
        <f>INDEX(script.out!G:G,results.txt!$M396)</f>
        <v>263.12217423456502</v>
      </c>
      <c r="T396" t="str">
        <f>INDEX(script.out!H:H,results.txt!$M396)</f>
        <v>{</v>
      </c>
      <c r="U396">
        <f>INDEX(script.out!I:I,results.txt!$M396)</f>
        <v>1.11849</v>
      </c>
      <c r="V396">
        <f>INDEX(script.out!J:J,results.txt!$M396)</f>
        <v>99.581671</v>
      </c>
      <c r="W396">
        <f>INDEX(script.out!K:K,results.txt!$M396)</f>
        <v>399.94574999999998</v>
      </c>
      <c r="X396" t="str">
        <f>INDEX(script.out!L:L,results.txt!$M396)</f>
        <v>}</v>
      </c>
      <c r="Y396" t="str">
        <f>INDEX(script.out!M:M,results.txt!$M396)</f>
        <v>{</v>
      </c>
      <c r="Z396">
        <f>INDEX(script.out!N:N,results.txt!$M396)</f>
        <v>11.932757172435499</v>
      </c>
      <c r="AA396">
        <f>INDEX(script.out!O:O,results.txt!$M396)</f>
        <v>16</v>
      </c>
      <c r="AB396">
        <f>INDEX(script.out!P:P,results.txt!$M396)</f>
        <v>1379.32</v>
      </c>
      <c r="AC396" t="str">
        <f>INDEX(script.out!Q:Q,results.txt!$M396)</f>
        <v>}</v>
      </c>
      <c r="AD396">
        <f t="shared" si="6"/>
        <v>0</v>
      </c>
    </row>
    <row r="397" spans="1:30" x14ac:dyDescent="0.25">
      <c r="A397" s="12" t="s">
        <v>4</v>
      </c>
      <c r="B397" s="12">
        <v>-3</v>
      </c>
      <c r="C397" s="12">
        <v>1.0448599999999999</v>
      </c>
      <c r="D397" s="12">
        <v>4.4613800000000002E-2</v>
      </c>
      <c r="E397" s="12">
        <v>0.57506999999999997</v>
      </c>
      <c r="F397" s="12">
        <v>-3</v>
      </c>
      <c r="G397" s="12">
        <v>21.677399999999999</v>
      </c>
      <c r="H397" s="12">
        <v>49</v>
      </c>
      <c r="I397" s="12">
        <v>191.77500000000001</v>
      </c>
      <c r="J397" s="12" t="s">
        <v>3</v>
      </c>
      <c r="K397" s="12">
        <v>0</v>
      </c>
      <c r="M397">
        <f>MATCH(C397,script.out!B:B,0)</f>
        <v>897</v>
      </c>
      <c r="N397">
        <f>INDEX(script.out!B:B,results.txt!$M397)</f>
        <v>1.0448599999999999</v>
      </c>
      <c r="O397">
        <f>INDEX(script.out!C:C,results.txt!$M397)</f>
        <v>4.4613800000000002E-2</v>
      </c>
      <c r="P397">
        <f>INDEX(script.out!D:D,results.txt!$M397)</f>
        <v>0.57506999999999997</v>
      </c>
      <c r="Q397">
        <f>INDEX(script.out!E:E,results.txt!$M397)</f>
        <v>21.677360505791299</v>
      </c>
      <c r="R397">
        <f>INDEX(script.out!F:F,results.txt!$M397)</f>
        <v>49</v>
      </c>
      <c r="S397">
        <f>INDEX(script.out!G:G,results.txt!$M397)</f>
        <v>191.775450830549</v>
      </c>
      <c r="T397" t="str">
        <f>INDEX(script.out!H:H,results.txt!$M397)</f>
        <v>{</v>
      </c>
      <c r="U397">
        <f>INDEX(script.out!I:I,results.txt!$M397)</f>
        <v>1.13588</v>
      </c>
      <c r="V397">
        <f>INDEX(script.out!J:J,results.txt!$M397)</f>
        <v>122.3069</v>
      </c>
      <c r="W397">
        <f>INDEX(script.out!K:K,results.txt!$M397)</f>
        <v>349.29129999999998</v>
      </c>
      <c r="X397" t="str">
        <f>INDEX(script.out!L:L,results.txt!$M397)</f>
        <v>}</v>
      </c>
      <c r="Y397" t="str">
        <f>INDEX(script.out!M:M,results.txt!$M397)</f>
        <v>{</v>
      </c>
      <c r="Z397">
        <f>INDEX(script.out!N:N,results.txt!$M397)</f>
        <v>14.655895242141</v>
      </c>
      <c r="AA397">
        <f>INDEX(script.out!O:O,results.txt!$M397)</f>
        <v>15</v>
      </c>
      <c r="AB397">
        <f>INDEX(script.out!P:P,results.txt!$M397)</f>
        <v>2245.37</v>
      </c>
      <c r="AC397" t="str">
        <f>INDEX(script.out!Q:Q,results.txt!$M397)</f>
        <v>}</v>
      </c>
      <c r="AD397">
        <f t="shared" si="6"/>
        <v>0</v>
      </c>
    </row>
    <row r="398" spans="1:30" x14ac:dyDescent="0.25">
      <c r="A398" s="12" t="s">
        <v>4</v>
      </c>
      <c r="B398" s="12">
        <v>-3</v>
      </c>
      <c r="C398" s="12">
        <v>0.96236600000000005</v>
      </c>
      <c r="D398" s="12">
        <v>0.37607299999999999</v>
      </c>
      <c r="E398" s="12">
        <v>0.62033099999999997</v>
      </c>
      <c r="F398" s="12">
        <v>-3</v>
      </c>
      <c r="G398" s="12">
        <v>600.98900000000003</v>
      </c>
      <c r="H398" s="12">
        <v>30.25</v>
      </c>
      <c r="I398" s="13">
        <v>3.3694899999999998E-6</v>
      </c>
      <c r="J398" s="12" t="s">
        <v>3</v>
      </c>
      <c r="K398" s="12">
        <v>0</v>
      </c>
      <c r="M398">
        <f>MATCH(C398,script.out!B:B,0)</f>
        <v>900</v>
      </c>
      <c r="N398">
        <f>INDEX(script.out!B:B,results.txt!$M398)</f>
        <v>0.96236600000000005</v>
      </c>
      <c r="O398">
        <f>INDEX(script.out!C:C,results.txt!$M398)</f>
        <v>0.37607299999999999</v>
      </c>
      <c r="P398">
        <f>INDEX(script.out!D:D,results.txt!$M398)</f>
        <v>0.62033099999999997</v>
      </c>
      <c r="Q398">
        <f>INDEX(script.out!E:E,results.txt!$M398)</f>
        <v>600.98928044220099</v>
      </c>
      <c r="R398">
        <f>INDEX(script.out!F:F,results.txt!$M398)</f>
        <v>30.25</v>
      </c>
      <c r="S398">
        <f>INDEX(script.out!G:G,results.txt!$M398)</f>
        <v>3.3694877087633702E-6</v>
      </c>
      <c r="T398" t="str">
        <f>INDEX(script.out!H:H,results.txt!$M398)</f>
        <v>{</v>
      </c>
      <c r="U398">
        <f>INDEX(script.out!I:I,results.txt!$M398)</f>
        <v>1.0698920000000001</v>
      </c>
      <c r="V398">
        <f>INDEX(script.out!J:J,results.txt!$M398)</f>
        <v>288.03649999999999</v>
      </c>
      <c r="W398">
        <f>INDEX(script.out!K:K,results.txt!$M398)</f>
        <v>375.99529000000001</v>
      </c>
      <c r="X398" t="str">
        <f>INDEX(script.out!L:L,results.txt!$M398)</f>
        <v>}</v>
      </c>
      <c r="Y398" t="str">
        <f>INDEX(script.out!M:M,results.txt!$M398)</f>
        <v>{</v>
      </c>
      <c r="Z398">
        <f>INDEX(script.out!N:N,results.txt!$M398)</f>
        <v>34.515082713346096</v>
      </c>
      <c r="AA398">
        <f>INDEX(script.out!O:O,results.txt!$M398)</f>
        <v>13.5</v>
      </c>
      <c r="AB398">
        <f>INDEX(script.out!P:P,results.txt!$M398)</f>
        <v>7299.33</v>
      </c>
      <c r="AC398" t="str">
        <f>INDEX(script.out!Q:Q,results.txt!$M398)</f>
        <v>}</v>
      </c>
      <c r="AD398">
        <f t="shared" si="6"/>
        <v>0</v>
      </c>
    </row>
    <row r="399" spans="1:30" x14ac:dyDescent="0.25">
      <c r="A399" s="12" t="s">
        <v>4</v>
      </c>
      <c r="B399" s="12">
        <v>-3</v>
      </c>
      <c r="C399" s="12">
        <v>0.98332799999999998</v>
      </c>
      <c r="D399" s="12">
        <v>6.7680199999999996E-3</v>
      </c>
      <c r="E399" s="12">
        <v>0.57731600000000005</v>
      </c>
      <c r="F399" s="12">
        <v>-3</v>
      </c>
      <c r="G399" s="12">
        <v>5.7043900000000001</v>
      </c>
      <c r="H399" s="12">
        <v>72.25</v>
      </c>
      <c r="I399" s="12">
        <v>240.023</v>
      </c>
      <c r="J399" s="12" t="s">
        <v>3</v>
      </c>
      <c r="K399" s="12">
        <v>0</v>
      </c>
      <c r="M399">
        <f>MATCH(C399,script.out!B:B,0)</f>
        <v>901</v>
      </c>
      <c r="N399">
        <f>INDEX(script.out!B:B,results.txt!$M399)</f>
        <v>0.98332799999999998</v>
      </c>
      <c r="O399">
        <f>INDEX(script.out!C:C,results.txt!$M399)</f>
        <v>6.7680199999999996E-3</v>
      </c>
      <c r="P399">
        <f>INDEX(script.out!D:D,results.txt!$M399)</f>
        <v>0.57731600000000005</v>
      </c>
      <c r="Q399">
        <f>INDEX(script.out!E:E,results.txt!$M399)</f>
        <v>5.7043928641264197</v>
      </c>
      <c r="R399">
        <f>INDEX(script.out!F:F,results.txt!$M399)</f>
        <v>72.25</v>
      </c>
      <c r="S399">
        <f>INDEX(script.out!G:G,results.txt!$M399)</f>
        <v>240.02328638693899</v>
      </c>
      <c r="T399" t="str">
        <f>INDEX(script.out!H:H,results.txt!$M399)</f>
        <v>{</v>
      </c>
      <c r="U399">
        <f>INDEX(script.out!I:I,results.txt!$M399)</f>
        <v>1.086662</v>
      </c>
      <c r="V399">
        <f>INDEX(script.out!J:J,results.txt!$M399)</f>
        <v>103.38401</v>
      </c>
      <c r="W399">
        <f>INDEX(script.out!K:K,results.txt!$M399)</f>
        <v>350.61644000000001</v>
      </c>
      <c r="X399" t="str">
        <f>INDEX(script.out!L:L,results.txt!$M399)</f>
        <v>}</v>
      </c>
      <c r="Y399" t="str">
        <f>INDEX(script.out!M:M,results.txt!$M399)</f>
        <v>{</v>
      </c>
      <c r="Z399">
        <f>INDEX(script.out!N:N,results.txt!$M399)</f>
        <v>12.388387084232001</v>
      </c>
      <c r="AA399">
        <f>INDEX(script.out!O:O,results.txt!$M399)</f>
        <v>16.5</v>
      </c>
      <c r="AB399">
        <f>INDEX(script.out!P:P,results.txt!$M399)</f>
        <v>1645.17</v>
      </c>
      <c r="AC399" t="str">
        <f>INDEX(script.out!Q:Q,results.txt!$M399)</f>
        <v>}</v>
      </c>
      <c r="AD399">
        <f t="shared" si="6"/>
        <v>0</v>
      </c>
    </row>
    <row r="400" spans="1:30" x14ac:dyDescent="0.25">
      <c r="A400" s="12" t="s">
        <v>4</v>
      </c>
      <c r="B400" s="12">
        <v>-3</v>
      </c>
      <c r="C400" s="12">
        <v>1.00725</v>
      </c>
      <c r="D400" s="12">
        <v>7.9275300000000007E-2</v>
      </c>
      <c r="E400" s="12">
        <v>0.53861199999999998</v>
      </c>
      <c r="F400" s="12">
        <v>-3</v>
      </c>
      <c r="G400" s="12">
        <v>45.328200000000002</v>
      </c>
      <c r="H400" s="12">
        <v>49</v>
      </c>
      <c r="I400" s="12">
        <v>158.298</v>
      </c>
      <c r="J400" s="12" t="s">
        <v>3</v>
      </c>
      <c r="K400" s="12">
        <v>0</v>
      </c>
      <c r="M400">
        <f>MATCH(C400,script.out!B:B,0)</f>
        <v>902</v>
      </c>
      <c r="N400">
        <f>INDEX(script.out!B:B,results.txt!$M400)</f>
        <v>1.00725</v>
      </c>
      <c r="O400">
        <f>INDEX(script.out!C:C,results.txt!$M400)</f>
        <v>7.9275300000000007E-2</v>
      </c>
      <c r="P400">
        <f>INDEX(script.out!D:D,results.txt!$M400)</f>
        <v>0.53861199999999998</v>
      </c>
      <c r="Q400">
        <f>INDEX(script.out!E:E,results.txt!$M400)</f>
        <v>45.328159863880998</v>
      </c>
      <c r="R400">
        <f>INDEX(script.out!F:F,results.txt!$M400)</f>
        <v>49</v>
      </c>
      <c r="S400">
        <f>INDEX(script.out!G:G,results.txt!$M400)</f>
        <v>158.29845101219701</v>
      </c>
      <c r="T400" t="str">
        <f>INDEX(script.out!H:H,results.txt!$M400)</f>
        <v>{</v>
      </c>
      <c r="U400">
        <f>INDEX(script.out!I:I,results.txt!$M400)</f>
        <v>1.1057999999999999</v>
      </c>
      <c r="V400">
        <f>INDEX(script.out!J:J,results.txt!$M400)</f>
        <v>139.63765000000001</v>
      </c>
      <c r="W400">
        <f>INDEX(script.out!K:K,results.txt!$M400)</f>
        <v>327.78107999999997</v>
      </c>
      <c r="X400" t="str">
        <f>INDEX(script.out!L:L,results.txt!$M400)</f>
        <v>}</v>
      </c>
      <c r="Y400" t="str">
        <f>INDEX(script.out!M:M,results.txt!$M400)</f>
        <v>{</v>
      </c>
      <c r="Z400">
        <f>INDEX(script.out!N:N,results.txt!$M400)</f>
        <v>16.7326190939248</v>
      </c>
      <c r="AA400">
        <f>INDEX(script.out!O:O,results.txt!$M400)</f>
        <v>15</v>
      </c>
      <c r="AB400">
        <f>INDEX(script.out!P:P,results.txt!$M400)</f>
        <v>2707.69</v>
      </c>
      <c r="AC400" t="str">
        <f>INDEX(script.out!Q:Q,results.txt!$M400)</f>
        <v>}</v>
      </c>
      <c r="AD400">
        <f t="shared" si="6"/>
        <v>0</v>
      </c>
    </row>
    <row r="401" spans="1:30" x14ac:dyDescent="0.25">
      <c r="A401" s="12" t="s">
        <v>4</v>
      </c>
      <c r="B401" s="12">
        <v>-3</v>
      </c>
      <c r="C401" s="12">
        <v>3.0988000000000002E-2</v>
      </c>
      <c r="D401" s="12">
        <v>8.30901E-2</v>
      </c>
      <c r="E401" s="12">
        <v>9.5490400000000003E-2</v>
      </c>
      <c r="F401" s="12">
        <v>-3</v>
      </c>
      <c r="G401" s="12">
        <v>48.457999999999998</v>
      </c>
      <c r="H401" s="12">
        <v>72.25</v>
      </c>
      <c r="I401" s="12">
        <v>2.2495099999999999</v>
      </c>
      <c r="J401" s="12" t="s">
        <v>3</v>
      </c>
      <c r="K401" s="12">
        <v>0</v>
      </c>
      <c r="M401">
        <f>MATCH(C401,script.out!B:B,0)</f>
        <v>903</v>
      </c>
      <c r="N401">
        <f>INDEX(script.out!B:B,results.txt!$M401)</f>
        <v>3.0988000000000002E-2</v>
      </c>
      <c r="O401">
        <f>INDEX(script.out!C:C,results.txt!$M401)</f>
        <v>8.30901E-2</v>
      </c>
      <c r="P401">
        <f>INDEX(script.out!D:D,results.txt!$M401)</f>
        <v>9.5490400000000003E-2</v>
      </c>
      <c r="Q401">
        <f>INDEX(script.out!E:E,results.txt!$M401)</f>
        <v>48.458035951111498</v>
      </c>
      <c r="R401">
        <f>INDEX(script.out!F:F,results.txt!$M401)</f>
        <v>72.25</v>
      </c>
      <c r="S401">
        <f>INDEX(script.out!G:G,results.txt!$M401)</f>
        <v>2.2495068763370201</v>
      </c>
      <c r="T401" t="str">
        <f>INDEX(script.out!H:H,results.txt!$M401)</f>
        <v>{</v>
      </c>
      <c r="U401">
        <f>INDEX(script.out!I:I,results.txt!$M401)</f>
        <v>0.32479000000000002</v>
      </c>
      <c r="V401">
        <f>INDEX(script.out!J:J,results.txt!$M401)</f>
        <v>141.54505</v>
      </c>
      <c r="W401">
        <f>INDEX(script.out!K:K,results.txt!$M401)</f>
        <v>66.339336000000003</v>
      </c>
      <c r="X401" t="str">
        <f>INDEX(script.out!L:L,results.txt!$M401)</f>
        <v>}</v>
      </c>
      <c r="Y401" t="str">
        <f>INDEX(script.out!M:M,results.txt!$M401)</f>
        <v>{</v>
      </c>
      <c r="Z401">
        <f>INDEX(script.out!N:N,results.txt!$M401)</f>
        <v>16.9611806434764</v>
      </c>
      <c r="AA401">
        <f>INDEX(script.out!O:O,results.txt!$M401)</f>
        <v>16.5</v>
      </c>
      <c r="AB401">
        <f>INDEX(script.out!P:P,results.txt!$M401)</f>
        <v>7847.44</v>
      </c>
      <c r="AC401" t="str">
        <f>INDEX(script.out!Q:Q,results.txt!$M401)</f>
        <v>}</v>
      </c>
      <c r="AD401">
        <f t="shared" si="6"/>
        <v>0</v>
      </c>
    </row>
    <row r="402" spans="1:30" x14ac:dyDescent="0.25">
      <c r="A402" s="12" t="s">
        <v>4</v>
      </c>
      <c r="B402" s="12">
        <v>-3</v>
      </c>
      <c r="C402" s="12">
        <v>1.2294400000000001</v>
      </c>
      <c r="D402" s="12">
        <v>0.69001100000000004</v>
      </c>
      <c r="E402" s="12">
        <v>0.88799700000000004</v>
      </c>
      <c r="F402" s="12">
        <v>-3</v>
      </c>
      <c r="G402" s="12">
        <v>1877.01</v>
      </c>
      <c r="H402" s="12">
        <v>20.25</v>
      </c>
      <c r="I402" s="12">
        <v>2.9089399999999999</v>
      </c>
      <c r="J402" s="12" t="s">
        <v>3</v>
      </c>
      <c r="K402" s="12">
        <v>0</v>
      </c>
      <c r="M402">
        <f>MATCH(C402,script.out!B:B,0)</f>
        <v>904</v>
      </c>
      <c r="N402">
        <f>INDEX(script.out!B:B,results.txt!$M402)</f>
        <v>1.2294400000000001</v>
      </c>
      <c r="O402">
        <f>INDEX(script.out!C:C,results.txt!$M402)</f>
        <v>0.69001100000000004</v>
      </c>
      <c r="P402">
        <f>INDEX(script.out!D:D,results.txt!$M402)</f>
        <v>0.88799700000000004</v>
      </c>
      <c r="Q402">
        <f>INDEX(script.out!E:E,results.txt!$M402)</f>
        <v>1877.01208851148</v>
      </c>
      <c r="R402">
        <f>INDEX(script.out!F:F,results.txt!$M402)</f>
        <v>20.25</v>
      </c>
      <c r="S402">
        <f>INDEX(script.out!G:G,results.txt!$M402)</f>
        <v>2.9089405209232502</v>
      </c>
      <c r="T402" t="str">
        <f>INDEX(script.out!H:H,results.txt!$M402)</f>
        <v>{</v>
      </c>
      <c r="U402">
        <f>INDEX(script.out!I:I,results.txt!$M402)</f>
        <v>1.28355</v>
      </c>
      <c r="V402">
        <f>INDEX(script.out!J:J,results.txt!$M402)</f>
        <v>445.00549999999998</v>
      </c>
      <c r="W402">
        <f>INDEX(script.out!K:K,results.txt!$M402)</f>
        <v>533.91822999999999</v>
      </c>
      <c r="X402" t="str">
        <f>INDEX(script.out!L:L,results.txt!$M402)</f>
        <v>}</v>
      </c>
      <c r="Y402" t="str">
        <f>INDEX(script.out!M:M,results.txt!$M402)</f>
        <v>{</v>
      </c>
      <c r="Z402">
        <f>INDEX(script.out!N:N,results.txt!$M402)</f>
        <v>53.324497556365003</v>
      </c>
      <c r="AA402">
        <f>INDEX(script.out!O:O,results.txt!$M402)</f>
        <v>12.5</v>
      </c>
      <c r="AB402">
        <f>INDEX(script.out!P:P,results.txt!$M402)</f>
        <v>7922.53</v>
      </c>
      <c r="AC402" t="str">
        <f>INDEX(script.out!Q:Q,results.txt!$M402)</f>
        <v>}</v>
      </c>
      <c r="AD402">
        <f t="shared" si="6"/>
        <v>0</v>
      </c>
    </row>
    <row r="403" spans="1:30" x14ac:dyDescent="0.25">
      <c r="A403" s="12" t="s">
        <v>4</v>
      </c>
      <c r="B403" s="12">
        <v>-3</v>
      </c>
      <c r="C403" s="12">
        <v>0.54430599999999996</v>
      </c>
      <c r="D403" s="12">
        <v>-2.3185000000000001E-2</v>
      </c>
      <c r="E403" s="12">
        <v>8.7140400000000007E-2</v>
      </c>
      <c r="F403" s="12">
        <v>-3</v>
      </c>
      <c r="G403" s="12">
        <v>0.35256199999999999</v>
      </c>
      <c r="H403" s="12">
        <v>144</v>
      </c>
      <c r="I403" s="12">
        <v>4.4353499999999997</v>
      </c>
      <c r="J403" s="12" t="s">
        <v>3</v>
      </c>
      <c r="K403" s="12">
        <v>0</v>
      </c>
      <c r="M403">
        <f>MATCH(C403,script.out!B:B,0)</f>
        <v>905</v>
      </c>
      <c r="N403">
        <f>INDEX(script.out!B:B,results.txt!$M403)</f>
        <v>0.54430599999999996</v>
      </c>
      <c r="O403">
        <f>INDEX(script.out!C:C,results.txt!$M403)</f>
        <v>-2.3185000000000001E-2</v>
      </c>
      <c r="P403">
        <f>INDEX(script.out!D:D,results.txt!$M403)</f>
        <v>8.7140400000000007E-2</v>
      </c>
      <c r="Q403">
        <f>INDEX(script.out!E:E,results.txt!$M403)</f>
        <v>0.35256175074437801</v>
      </c>
      <c r="R403">
        <f>INDEX(script.out!F:F,results.txt!$M403)</f>
        <v>144</v>
      </c>
      <c r="S403">
        <f>INDEX(script.out!G:G,results.txt!$M403)</f>
        <v>4.4353513980108801</v>
      </c>
      <c r="T403" t="str">
        <f>INDEX(script.out!H:H,results.txt!$M403)</f>
        <v>{</v>
      </c>
      <c r="U403">
        <f>INDEX(script.out!I:I,results.txt!$M403)</f>
        <v>0.73544399999999999</v>
      </c>
      <c r="V403">
        <f>INDEX(script.out!J:J,results.txt!$M403)</f>
        <v>88.407499999999999</v>
      </c>
      <c r="W403">
        <f>INDEX(script.out!K:K,results.txt!$M403)</f>
        <v>61.412835999999999</v>
      </c>
      <c r="X403" t="str">
        <f>INDEX(script.out!L:L,results.txt!$M403)</f>
        <v>}</v>
      </c>
      <c r="Y403" t="str">
        <f>INDEX(script.out!M:M,results.txt!$M403)</f>
        <v>{</v>
      </c>
      <c r="Z403">
        <f>INDEX(script.out!N:N,results.txt!$M403)</f>
        <v>10.5937691055826</v>
      </c>
      <c r="AA403">
        <f>INDEX(script.out!O:O,results.txt!$M403)</f>
        <v>20</v>
      </c>
      <c r="AB403">
        <f>INDEX(script.out!P:P,results.txt!$M403)</f>
        <v>8068.7</v>
      </c>
      <c r="AC403" t="str">
        <f>INDEX(script.out!Q:Q,results.txt!$M403)</f>
        <v>}</v>
      </c>
      <c r="AD403">
        <f t="shared" si="6"/>
        <v>0</v>
      </c>
    </row>
    <row r="404" spans="1:30" x14ac:dyDescent="0.25">
      <c r="A404" s="12" t="s">
        <v>4</v>
      </c>
      <c r="B404" s="12">
        <v>-3</v>
      </c>
      <c r="C404" s="12">
        <v>0.93054300000000001</v>
      </c>
      <c r="D404" s="12">
        <v>0.16476299999999999</v>
      </c>
      <c r="E404" s="12">
        <v>0.32097799999999999</v>
      </c>
      <c r="F404" s="12">
        <v>-3</v>
      </c>
      <c r="G404" s="12">
        <v>140.53100000000001</v>
      </c>
      <c r="H404" s="12">
        <v>42.25</v>
      </c>
      <c r="I404" s="12">
        <v>3.80464</v>
      </c>
      <c r="J404" s="12" t="s">
        <v>3</v>
      </c>
      <c r="K404" s="12">
        <v>0</v>
      </c>
      <c r="M404">
        <f>MATCH(C404,script.out!B:B,0)</f>
        <v>909</v>
      </c>
      <c r="N404">
        <f>INDEX(script.out!B:B,results.txt!$M404)</f>
        <v>0.93054300000000001</v>
      </c>
      <c r="O404">
        <f>INDEX(script.out!C:C,results.txt!$M404)</f>
        <v>0.16476299999999999</v>
      </c>
      <c r="P404">
        <f>INDEX(script.out!D:D,results.txt!$M404)</f>
        <v>0.32097799999999999</v>
      </c>
      <c r="Q404">
        <f>INDEX(script.out!E:E,results.txt!$M404)</f>
        <v>140.53072337844901</v>
      </c>
      <c r="R404">
        <f>INDEX(script.out!F:F,results.txt!$M404)</f>
        <v>42.25</v>
      </c>
      <c r="S404">
        <f>INDEX(script.out!G:G,results.txt!$M404)</f>
        <v>3.8046372865453102</v>
      </c>
      <c r="T404" t="str">
        <f>INDEX(script.out!H:H,results.txt!$M404)</f>
        <v>{</v>
      </c>
      <c r="U404">
        <f>INDEX(script.out!I:I,results.txt!$M404)</f>
        <v>1.0444340000000001</v>
      </c>
      <c r="V404">
        <f>INDEX(script.out!J:J,results.txt!$M404)</f>
        <v>182.38149999999999</v>
      </c>
      <c r="W404">
        <f>INDEX(script.out!K:K,results.txt!$M404)</f>
        <v>199.37701999999999</v>
      </c>
      <c r="X404" t="str">
        <f>INDEX(script.out!L:L,results.txt!$M404)</f>
        <v>}</v>
      </c>
      <c r="Y404" t="str">
        <f>INDEX(script.out!M:M,results.txt!$M404)</f>
        <v>{</v>
      </c>
      <c r="Z404">
        <f>INDEX(script.out!N:N,results.txt!$M404)</f>
        <v>21.8545655077885</v>
      </c>
      <c r="AA404">
        <f>INDEX(script.out!O:O,results.txt!$M404)</f>
        <v>14.5</v>
      </c>
      <c r="AB404">
        <f>INDEX(script.out!P:P,results.txt!$M404)</f>
        <v>6588.05</v>
      </c>
      <c r="AC404" t="str">
        <f>INDEX(script.out!Q:Q,results.txt!$M404)</f>
        <v>}</v>
      </c>
      <c r="AD404">
        <f t="shared" si="6"/>
        <v>0</v>
      </c>
    </row>
    <row r="405" spans="1:30" x14ac:dyDescent="0.25">
      <c r="A405" s="12" t="s">
        <v>4</v>
      </c>
      <c r="B405" s="12">
        <v>-3</v>
      </c>
      <c r="C405" s="12">
        <v>1.04057</v>
      </c>
      <c r="D405" s="12">
        <v>1.7361700000000001E-2</v>
      </c>
      <c r="E405" s="12">
        <v>0.59651399999999999</v>
      </c>
      <c r="F405" s="12">
        <v>-3</v>
      </c>
      <c r="G405" s="12">
        <v>9.1391399999999994</v>
      </c>
      <c r="H405" s="12">
        <v>64</v>
      </c>
      <c r="I405" s="12">
        <v>242.643</v>
      </c>
      <c r="J405" s="12" t="s">
        <v>3</v>
      </c>
      <c r="K405" s="12">
        <v>0</v>
      </c>
      <c r="M405">
        <f>MATCH(C405,script.out!B:B,0)</f>
        <v>910</v>
      </c>
      <c r="N405">
        <f>INDEX(script.out!B:B,results.txt!$M405)</f>
        <v>1.04057</v>
      </c>
      <c r="O405">
        <f>INDEX(script.out!C:C,results.txt!$M405)</f>
        <v>1.7361700000000001E-2</v>
      </c>
      <c r="P405">
        <f>INDEX(script.out!D:D,results.txt!$M405)</f>
        <v>0.59651399999999999</v>
      </c>
      <c r="Q405">
        <f>INDEX(script.out!E:E,results.txt!$M405)</f>
        <v>9.1391416696726004</v>
      </c>
      <c r="R405">
        <f>INDEX(script.out!F:F,results.txt!$M405)</f>
        <v>64</v>
      </c>
      <c r="S405">
        <f>INDEX(script.out!G:G,results.txt!$M405)</f>
        <v>242.64250223306399</v>
      </c>
      <c r="T405" t="str">
        <f>INDEX(script.out!H:H,results.txt!$M405)</f>
        <v>{</v>
      </c>
      <c r="U405">
        <f>INDEX(script.out!I:I,results.txt!$M405)</f>
        <v>1.13245</v>
      </c>
      <c r="V405">
        <f>INDEX(script.out!J:J,results.txt!$M405)</f>
        <v>108.68085000000001</v>
      </c>
      <c r="W405">
        <f>INDEX(script.out!K:K,results.txt!$M405)</f>
        <v>361.94326000000001</v>
      </c>
      <c r="X405" t="str">
        <f>INDEX(script.out!L:L,results.txt!$M405)</f>
        <v>}</v>
      </c>
      <c r="Y405" t="str">
        <f>INDEX(script.out!M:M,results.txt!$M405)</f>
        <v>{</v>
      </c>
      <c r="Z405">
        <f>INDEX(script.out!N:N,results.txt!$M405)</f>
        <v>13.0231013330142</v>
      </c>
      <c r="AA405">
        <f>INDEX(script.out!O:O,results.txt!$M405)</f>
        <v>16</v>
      </c>
      <c r="AB405">
        <f>INDEX(script.out!P:P,results.txt!$M405)</f>
        <v>1614.4</v>
      </c>
      <c r="AC405" t="str">
        <f>INDEX(script.out!Q:Q,results.txt!$M405)</f>
        <v>}</v>
      </c>
      <c r="AD405">
        <f t="shared" si="6"/>
        <v>0</v>
      </c>
    </row>
    <row r="406" spans="1:30" x14ac:dyDescent="0.25">
      <c r="A406" s="12" t="s">
        <v>4</v>
      </c>
      <c r="B406" s="12">
        <v>-3</v>
      </c>
      <c r="C406" s="12">
        <v>1.1651899999999999</v>
      </c>
      <c r="D406" s="12">
        <v>-2.8292100000000001E-2</v>
      </c>
      <c r="E406" s="12">
        <v>0.60011700000000001</v>
      </c>
      <c r="F406" s="12">
        <v>-3</v>
      </c>
      <c r="G406" s="12">
        <v>8.2817399999999999E-2</v>
      </c>
      <c r="H406" s="12">
        <v>72.25</v>
      </c>
      <c r="I406" s="12">
        <v>287.10700000000003</v>
      </c>
      <c r="J406" s="12" t="s">
        <v>3</v>
      </c>
      <c r="K406" s="12">
        <v>0</v>
      </c>
      <c r="M406">
        <f>MATCH(C406,script.out!B:B,0)</f>
        <v>913</v>
      </c>
      <c r="N406">
        <f>INDEX(script.out!B:B,results.txt!$M406)</f>
        <v>1.1651899999999999</v>
      </c>
      <c r="O406">
        <f>INDEX(script.out!C:C,results.txt!$M406)</f>
        <v>-2.8292100000000001E-2</v>
      </c>
      <c r="P406">
        <f>INDEX(script.out!D:D,results.txt!$M406)</f>
        <v>0.60011700000000001</v>
      </c>
      <c r="Q406">
        <f>INDEX(script.out!E:E,results.txt!$M406)</f>
        <v>8.2817411420987197E-2</v>
      </c>
      <c r="R406">
        <f>INDEX(script.out!F:F,results.txt!$M406)</f>
        <v>72.25</v>
      </c>
      <c r="S406">
        <f>INDEX(script.out!G:G,results.txt!$M406)</f>
        <v>287.106563554888</v>
      </c>
      <c r="T406" t="str">
        <f>INDEX(script.out!H:H,results.txt!$M406)</f>
        <v>{</v>
      </c>
      <c r="U406">
        <f>INDEX(script.out!I:I,results.txt!$M406)</f>
        <v>1.2321500000000001</v>
      </c>
      <c r="V406">
        <f>INDEX(script.out!J:J,results.txt!$M406)</f>
        <v>85.853949999999998</v>
      </c>
      <c r="W406">
        <f>INDEX(script.out!K:K,results.txt!$M406)</f>
        <v>364.06903</v>
      </c>
      <c r="X406" t="str">
        <f>INDEX(script.out!L:L,results.txt!$M406)</f>
        <v>}</v>
      </c>
      <c r="Y406" t="str">
        <f>INDEX(script.out!M:M,results.txt!$M406)</f>
        <v>{</v>
      </c>
      <c r="Z406">
        <f>INDEX(script.out!N:N,results.txt!$M406)</f>
        <v>10.287780144243801</v>
      </c>
      <c r="AA406">
        <f>INDEX(script.out!O:O,results.txt!$M406)</f>
        <v>16.5</v>
      </c>
      <c r="AB406">
        <f>INDEX(script.out!P:P,results.txt!$M406)</f>
        <v>1115.3599999999999</v>
      </c>
      <c r="AC406" t="str">
        <f>INDEX(script.out!Q:Q,results.txt!$M406)</f>
        <v>}</v>
      </c>
      <c r="AD406">
        <f t="shared" si="6"/>
        <v>0</v>
      </c>
    </row>
    <row r="407" spans="1:30" x14ac:dyDescent="0.25">
      <c r="A407" s="12" t="s">
        <v>4</v>
      </c>
      <c r="B407" s="12">
        <v>-3</v>
      </c>
      <c r="C407" s="12">
        <v>1.0889200000000001</v>
      </c>
      <c r="D407" s="12">
        <v>0.17537900000000001</v>
      </c>
      <c r="E407" s="12">
        <v>0.53934199999999999</v>
      </c>
      <c r="F407" s="12">
        <v>-3</v>
      </c>
      <c r="G407" s="12">
        <v>156.01599999999999</v>
      </c>
      <c r="H407" s="12">
        <v>36</v>
      </c>
      <c r="I407" s="12">
        <v>66.450199999999995</v>
      </c>
      <c r="J407" s="12" t="s">
        <v>3</v>
      </c>
      <c r="K407" s="12">
        <v>0</v>
      </c>
      <c r="M407">
        <f>MATCH(C407,script.out!B:B,0)</f>
        <v>918</v>
      </c>
      <c r="N407">
        <f>INDEX(script.out!B:B,results.txt!$M407)</f>
        <v>1.0889200000000001</v>
      </c>
      <c r="O407">
        <f>INDEX(script.out!C:C,results.txt!$M407)</f>
        <v>0.17537900000000001</v>
      </c>
      <c r="P407">
        <f>INDEX(script.out!D:D,results.txt!$M407)</f>
        <v>0.53934199999999999</v>
      </c>
      <c r="Q407">
        <f>INDEX(script.out!E:E,results.txt!$M407)</f>
        <v>156.01551420338899</v>
      </c>
      <c r="R407">
        <f>INDEX(script.out!F:F,results.txt!$M407)</f>
        <v>36</v>
      </c>
      <c r="S407">
        <f>INDEX(script.out!G:G,results.txt!$M407)</f>
        <v>66.450190556577198</v>
      </c>
      <c r="T407" t="str">
        <f>INDEX(script.out!H:H,results.txt!$M407)</f>
        <v>{</v>
      </c>
      <c r="U407">
        <f>INDEX(script.out!I:I,results.txt!$M407)</f>
        <v>1.17113</v>
      </c>
      <c r="V407">
        <f>INDEX(script.out!J:J,results.txt!$M407)</f>
        <v>187.68950000000001</v>
      </c>
      <c r="W407">
        <f>INDEX(script.out!K:K,results.txt!$M407)</f>
        <v>328.21177999999998</v>
      </c>
      <c r="X407" t="str">
        <f>INDEX(script.out!L:L,results.txt!$M407)</f>
        <v>}</v>
      </c>
      <c r="Y407" t="str">
        <f>INDEX(script.out!M:M,results.txt!$M407)</f>
        <v>{</v>
      </c>
      <c r="Z407">
        <f>INDEX(script.out!N:N,results.txt!$M407)</f>
        <v>22.490617046542901</v>
      </c>
      <c r="AA407">
        <f>INDEX(script.out!O:O,results.txt!$M407)</f>
        <v>14</v>
      </c>
      <c r="AB407">
        <f>INDEX(script.out!P:P,results.txt!$M407)</f>
        <v>4324.63</v>
      </c>
      <c r="AC407" t="str">
        <f>INDEX(script.out!Q:Q,results.txt!$M407)</f>
        <v>}</v>
      </c>
      <c r="AD407">
        <f t="shared" si="6"/>
        <v>0</v>
      </c>
    </row>
    <row r="408" spans="1:30" x14ac:dyDescent="0.25">
      <c r="A408" s="12" t="s">
        <v>4</v>
      </c>
      <c r="B408" s="12">
        <v>-3</v>
      </c>
      <c r="C408" s="12">
        <v>1.03054</v>
      </c>
      <c r="D408" s="12">
        <v>1.22057E-2</v>
      </c>
      <c r="E408" s="12">
        <v>0.62687000000000004</v>
      </c>
      <c r="F408" s="12">
        <v>-3</v>
      </c>
      <c r="G408" s="12">
        <v>7.3667899999999999</v>
      </c>
      <c r="H408" s="12">
        <v>64</v>
      </c>
      <c r="I408" s="12">
        <v>251.80500000000001</v>
      </c>
      <c r="J408" s="12" t="s">
        <v>3</v>
      </c>
      <c r="K408" s="12">
        <v>0</v>
      </c>
      <c r="M408">
        <f>MATCH(C408,script.out!B:B,0)</f>
        <v>921</v>
      </c>
      <c r="N408">
        <f>INDEX(script.out!B:B,results.txt!$M408)</f>
        <v>1.03054</v>
      </c>
      <c r="O408">
        <f>INDEX(script.out!C:C,results.txt!$M408)</f>
        <v>1.22057E-2</v>
      </c>
      <c r="P408">
        <f>INDEX(script.out!D:D,results.txt!$M408)</f>
        <v>0.62687000000000004</v>
      </c>
      <c r="Q408">
        <f>INDEX(script.out!E:E,results.txt!$M408)</f>
        <v>7.3667869488110798</v>
      </c>
      <c r="R408">
        <f>INDEX(script.out!F:F,results.txt!$M408)</f>
        <v>64</v>
      </c>
      <c r="S408">
        <f>INDEX(script.out!G:G,results.txt!$M408)</f>
        <v>251.80472735972899</v>
      </c>
      <c r="T408" t="str">
        <f>INDEX(script.out!H:H,results.txt!$M408)</f>
        <v>{</v>
      </c>
      <c r="U408">
        <f>INDEX(script.out!I:I,results.txt!$M408)</f>
        <v>1.12443</v>
      </c>
      <c r="V408">
        <f>INDEX(script.out!J:J,results.txt!$M408)</f>
        <v>106.10285</v>
      </c>
      <c r="W408">
        <f>INDEX(script.out!K:K,results.txt!$M408)</f>
        <v>379.85329999999999</v>
      </c>
      <c r="X408" t="str">
        <f>INDEX(script.out!L:L,results.txt!$M408)</f>
        <v>}</v>
      </c>
      <c r="Y408" t="str">
        <f>INDEX(script.out!M:M,results.txt!$M408)</f>
        <v>{</v>
      </c>
      <c r="Z408">
        <f>INDEX(script.out!N:N,results.txt!$M408)</f>
        <v>12.714182556279299</v>
      </c>
      <c r="AA408">
        <f>INDEX(script.out!O:O,results.txt!$M408)</f>
        <v>16</v>
      </c>
      <c r="AB408">
        <f>INDEX(script.out!P:P,results.txt!$M408)</f>
        <v>1508.05</v>
      </c>
      <c r="AC408" t="str">
        <f>INDEX(script.out!Q:Q,results.txt!$M408)</f>
        <v>}</v>
      </c>
      <c r="AD408">
        <f t="shared" si="6"/>
        <v>0</v>
      </c>
    </row>
    <row r="409" spans="1:30" x14ac:dyDescent="0.25">
      <c r="A409" s="12" t="s">
        <v>4</v>
      </c>
      <c r="B409" s="12">
        <v>-3</v>
      </c>
      <c r="C409" s="12">
        <v>1.15981</v>
      </c>
      <c r="D409" s="12">
        <v>0.24931400000000001</v>
      </c>
      <c r="E409" s="12">
        <v>0.50706200000000001</v>
      </c>
      <c r="F409" s="12">
        <v>-3</v>
      </c>
      <c r="G409" s="12">
        <v>286.3</v>
      </c>
      <c r="H409" s="12">
        <v>30.25</v>
      </c>
      <c r="I409" s="12">
        <v>33.745899999999999</v>
      </c>
      <c r="J409" s="12" t="s">
        <v>3</v>
      </c>
      <c r="K409" s="12">
        <v>0</v>
      </c>
      <c r="M409">
        <f>MATCH(C409,script.out!B:B,0)</f>
        <v>923</v>
      </c>
      <c r="N409">
        <f>INDEX(script.out!B:B,results.txt!$M409)</f>
        <v>1.15981</v>
      </c>
      <c r="O409">
        <f>INDEX(script.out!C:C,results.txt!$M409)</f>
        <v>0.24931400000000001</v>
      </c>
      <c r="P409">
        <f>INDEX(script.out!D:D,results.txt!$M409)</f>
        <v>0.50706200000000001</v>
      </c>
      <c r="Q409">
        <f>INDEX(script.out!E:E,results.txt!$M409)</f>
        <v>286.299600442241</v>
      </c>
      <c r="R409">
        <f>INDEX(script.out!F:F,results.txt!$M409)</f>
        <v>30.25</v>
      </c>
      <c r="S409">
        <f>INDEX(script.out!G:G,results.txt!$M409)</f>
        <v>33.745913371364203</v>
      </c>
      <c r="T409" t="str">
        <f>INDEX(script.out!H:H,results.txt!$M409)</f>
        <v>{</v>
      </c>
      <c r="U409">
        <f>INDEX(script.out!I:I,results.txt!$M409)</f>
        <v>1.22784</v>
      </c>
      <c r="V409">
        <f>INDEX(script.out!J:J,results.txt!$M409)</f>
        <v>224.65700000000001</v>
      </c>
      <c r="W409">
        <f>INDEX(script.out!K:K,results.txt!$M409)</f>
        <v>309.16658000000001</v>
      </c>
      <c r="X409" t="str">
        <f>INDEX(script.out!L:L,results.txt!$M409)</f>
        <v>}</v>
      </c>
      <c r="Y409" t="str">
        <f>INDEX(script.out!M:M,results.txt!$M409)</f>
        <v>{</v>
      </c>
      <c r="Z409">
        <f>INDEX(script.out!N:N,results.txt!$M409)</f>
        <v>26.920390079493998</v>
      </c>
      <c r="AA409">
        <f>INDEX(script.out!O:O,results.txt!$M409)</f>
        <v>13.5</v>
      </c>
      <c r="AB409">
        <f>INDEX(script.out!P:P,results.txt!$M409)</f>
        <v>5179.67</v>
      </c>
      <c r="AC409" t="str">
        <f>INDEX(script.out!Q:Q,results.txt!$M409)</f>
        <v>}</v>
      </c>
      <c r="AD409">
        <f t="shared" si="6"/>
        <v>0</v>
      </c>
    </row>
    <row r="410" spans="1:30" x14ac:dyDescent="0.25">
      <c r="A410" s="12" t="s">
        <v>5</v>
      </c>
      <c r="B410" s="12">
        <v>-3</v>
      </c>
      <c r="C410" s="12">
        <v>1.06053</v>
      </c>
      <c r="D410" s="12">
        <v>0.101386</v>
      </c>
      <c r="E410" s="12">
        <v>0.88423499999999999</v>
      </c>
      <c r="F410" s="12">
        <v>-3</v>
      </c>
      <c r="G410" s="12">
        <v>64.921199999999999</v>
      </c>
      <c r="H410" s="12">
        <v>36</v>
      </c>
      <c r="I410" s="12">
        <v>190.482</v>
      </c>
      <c r="J410" s="12" t="s">
        <v>3</v>
      </c>
      <c r="K410" s="12">
        <v>0</v>
      </c>
      <c r="M410" t="e">
        <f>MATCH(C410,script.out!B:B,0)</f>
        <v>#N/A</v>
      </c>
      <c r="N410" t="e">
        <f>INDEX(script.out!B:B,results.txt!$M410)</f>
        <v>#N/A</v>
      </c>
      <c r="O410" t="e">
        <f>INDEX(script.out!C:C,results.txt!$M410)</f>
        <v>#N/A</v>
      </c>
      <c r="P410" t="e">
        <f>INDEX(script.out!D:D,results.txt!$M410)</f>
        <v>#N/A</v>
      </c>
      <c r="Q410" t="e">
        <f>INDEX(script.out!E:E,results.txt!$M410)</f>
        <v>#N/A</v>
      </c>
      <c r="R410" t="e">
        <f>INDEX(script.out!F:F,results.txt!$M410)</f>
        <v>#N/A</v>
      </c>
      <c r="S410" t="e">
        <f>INDEX(script.out!G:G,results.txt!$M410)</f>
        <v>#N/A</v>
      </c>
      <c r="T410" t="e">
        <f>INDEX(script.out!H:H,results.txt!$M410)</f>
        <v>#N/A</v>
      </c>
      <c r="U410" t="e">
        <f>INDEX(script.out!I:I,results.txt!$M410)</f>
        <v>#N/A</v>
      </c>
      <c r="V410" t="e">
        <f>INDEX(script.out!J:J,results.txt!$M410)</f>
        <v>#N/A</v>
      </c>
      <c r="W410" t="e">
        <f>INDEX(script.out!K:K,results.txt!$M410)</f>
        <v>#N/A</v>
      </c>
      <c r="X410" t="e">
        <f>INDEX(script.out!L:L,results.txt!$M410)</f>
        <v>#N/A</v>
      </c>
      <c r="Y410" t="e">
        <f>INDEX(script.out!M:M,results.txt!$M410)</f>
        <v>#N/A</v>
      </c>
      <c r="Z410" t="e">
        <f>INDEX(script.out!N:N,results.txt!$M410)</f>
        <v>#N/A</v>
      </c>
      <c r="AA410" t="e">
        <f>INDEX(script.out!O:O,results.txt!$M410)</f>
        <v>#N/A</v>
      </c>
      <c r="AB410" t="e">
        <f>INDEX(script.out!P:P,results.txt!$M410)</f>
        <v>#N/A</v>
      </c>
      <c r="AC410" t="e">
        <f>INDEX(script.out!Q:Q,results.txt!$M410)</f>
        <v>#N/A</v>
      </c>
      <c r="AD410">
        <f t="shared" si="6"/>
        <v>2</v>
      </c>
    </row>
    <row r="411" spans="1:30" x14ac:dyDescent="0.25">
      <c r="A411" s="12" t="s">
        <v>5</v>
      </c>
      <c r="B411" s="12">
        <v>-3</v>
      </c>
      <c r="C411" s="12">
        <v>0.29924800000000001</v>
      </c>
      <c r="D411" s="12">
        <v>-3.3107200000000003E-2</v>
      </c>
      <c r="E411" s="12">
        <v>0.48025099999999998</v>
      </c>
      <c r="F411" s="12">
        <v>-3</v>
      </c>
      <c r="G411" s="13">
        <v>5.09517E-7</v>
      </c>
      <c r="H411" s="12">
        <v>144</v>
      </c>
      <c r="I411" s="12">
        <v>214.59399999999999</v>
      </c>
      <c r="J411" s="12" t="s">
        <v>3</v>
      </c>
      <c r="K411" s="12">
        <v>0</v>
      </c>
      <c r="M411" t="e">
        <f>MATCH(C411,script.out!B:B,0)</f>
        <v>#N/A</v>
      </c>
      <c r="N411" t="e">
        <f>INDEX(script.out!B:B,results.txt!$M411)</f>
        <v>#N/A</v>
      </c>
      <c r="O411" t="e">
        <f>INDEX(script.out!C:C,results.txt!$M411)</f>
        <v>#N/A</v>
      </c>
      <c r="P411" t="e">
        <f>INDEX(script.out!D:D,results.txt!$M411)</f>
        <v>#N/A</v>
      </c>
      <c r="Q411" t="e">
        <f>INDEX(script.out!E:E,results.txt!$M411)</f>
        <v>#N/A</v>
      </c>
      <c r="R411" t="e">
        <f>INDEX(script.out!F:F,results.txt!$M411)</f>
        <v>#N/A</v>
      </c>
      <c r="S411" t="e">
        <f>INDEX(script.out!G:G,results.txt!$M411)</f>
        <v>#N/A</v>
      </c>
      <c r="T411" t="e">
        <f>INDEX(script.out!H:H,results.txt!$M411)</f>
        <v>#N/A</v>
      </c>
      <c r="U411" t="e">
        <f>INDEX(script.out!I:I,results.txt!$M411)</f>
        <v>#N/A</v>
      </c>
      <c r="V411" t="e">
        <f>INDEX(script.out!J:J,results.txt!$M411)</f>
        <v>#N/A</v>
      </c>
      <c r="W411" t="e">
        <f>INDEX(script.out!K:K,results.txt!$M411)</f>
        <v>#N/A</v>
      </c>
      <c r="X411" t="e">
        <f>INDEX(script.out!L:L,results.txt!$M411)</f>
        <v>#N/A</v>
      </c>
      <c r="Y411" t="e">
        <f>INDEX(script.out!M:M,results.txt!$M411)</f>
        <v>#N/A</v>
      </c>
      <c r="Z411" t="e">
        <f>INDEX(script.out!N:N,results.txt!$M411)</f>
        <v>#N/A</v>
      </c>
      <c r="AA411" t="e">
        <f>INDEX(script.out!O:O,results.txt!$M411)</f>
        <v>#N/A</v>
      </c>
      <c r="AB411" t="e">
        <f>INDEX(script.out!P:P,results.txt!$M411)</f>
        <v>#N/A</v>
      </c>
      <c r="AC411" t="e">
        <f>INDEX(script.out!Q:Q,results.txt!$M411)</f>
        <v>#N/A</v>
      </c>
      <c r="AD411">
        <f t="shared" si="6"/>
        <v>2</v>
      </c>
    </row>
    <row r="412" spans="1:30" x14ac:dyDescent="0.25">
      <c r="A412" s="12" t="s">
        <v>5</v>
      </c>
      <c r="B412" s="12">
        <v>-3</v>
      </c>
      <c r="C412" s="12">
        <v>0.21041199999999999</v>
      </c>
      <c r="D412" s="12">
        <v>9.7856200000000004E-2</v>
      </c>
      <c r="E412" s="12">
        <v>0.18779199999999999</v>
      </c>
      <c r="F412" s="12">
        <v>-3</v>
      </c>
      <c r="G412" s="12">
        <v>61.557899999999997</v>
      </c>
      <c r="H412" s="12">
        <v>90.25</v>
      </c>
      <c r="I412" s="12">
        <v>1.4730599999999999E-4</v>
      </c>
      <c r="J412" s="12" t="s">
        <v>3</v>
      </c>
      <c r="K412" s="12">
        <v>0</v>
      </c>
      <c r="M412" t="e">
        <f>MATCH(C412,script.out!B:B,0)</f>
        <v>#N/A</v>
      </c>
      <c r="N412" t="e">
        <f>INDEX(script.out!B:B,results.txt!$M412)</f>
        <v>#N/A</v>
      </c>
      <c r="O412" t="e">
        <f>INDEX(script.out!C:C,results.txt!$M412)</f>
        <v>#N/A</v>
      </c>
      <c r="P412" t="e">
        <f>INDEX(script.out!D:D,results.txt!$M412)</f>
        <v>#N/A</v>
      </c>
      <c r="Q412" t="e">
        <f>INDEX(script.out!E:E,results.txt!$M412)</f>
        <v>#N/A</v>
      </c>
      <c r="R412" t="e">
        <f>INDEX(script.out!F:F,results.txt!$M412)</f>
        <v>#N/A</v>
      </c>
      <c r="S412" t="e">
        <f>INDEX(script.out!G:G,results.txt!$M412)</f>
        <v>#N/A</v>
      </c>
      <c r="T412" t="e">
        <f>INDEX(script.out!H:H,results.txt!$M412)</f>
        <v>#N/A</v>
      </c>
      <c r="U412" t="e">
        <f>INDEX(script.out!I:I,results.txt!$M412)</f>
        <v>#N/A</v>
      </c>
      <c r="V412" t="e">
        <f>INDEX(script.out!J:J,results.txt!$M412)</f>
        <v>#N/A</v>
      </c>
      <c r="W412" t="e">
        <f>INDEX(script.out!K:K,results.txt!$M412)</f>
        <v>#N/A</v>
      </c>
      <c r="X412" t="e">
        <f>INDEX(script.out!L:L,results.txt!$M412)</f>
        <v>#N/A</v>
      </c>
      <c r="Y412" t="e">
        <f>INDEX(script.out!M:M,results.txt!$M412)</f>
        <v>#N/A</v>
      </c>
      <c r="Z412" t="e">
        <f>INDEX(script.out!N:N,results.txt!$M412)</f>
        <v>#N/A</v>
      </c>
      <c r="AA412" t="e">
        <f>INDEX(script.out!O:O,results.txt!$M412)</f>
        <v>#N/A</v>
      </c>
      <c r="AB412" t="e">
        <f>INDEX(script.out!P:P,results.txt!$M412)</f>
        <v>#N/A</v>
      </c>
      <c r="AC412" t="e">
        <f>INDEX(script.out!Q:Q,results.txt!$M412)</f>
        <v>#N/A</v>
      </c>
      <c r="AD412">
        <f t="shared" si="6"/>
        <v>2</v>
      </c>
    </row>
    <row r="413" spans="1:30" x14ac:dyDescent="0.25">
      <c r="A413" s="12" t="s">
        <v>5</v>
      </c>
      <c r="B413" s="12">
        <v>-3</v>
      </c>
      <c r="C413" s="12">
        <v>0.52426700000000004</v>
      </c>
      <c r="D413" s="12">
        <v>7.5487100000000001E-2</v>
      </c>
      <c r="E413" s="12">
        <v>0.233462</v>
      </c>
      <c r="F413" s="12">
        <v>-3</v>
      </c>
      <c r="G413" s="12">
        <v>42.323500000000003</v>
      </c>
      <c r="H413" s="12">
        <v>81</v>
      </c>
      <c r="I413" s="12">
        <v>2.1263999999999998</v>
      </c>
      <c r="J413" s="12" t="s">
        <v>3</v>
      </c>
      <c r="K413" s="12">
        <v>0</v>
      </c>
      <c r="M413" t="e">
        <f>MATCH(C413,script.out!B:B,0)</f>
        <v>#N/A</v>
      </c>
      <c r="N413" t="e">
        <f>INDEX(script.out!B:B,results.txt!$M413)</f>
        <v>#N/A</v>
      </c>
      <c r="O413" t="e">
        <f>INDEX(script.out!C:C,results.txt!$M413)</f>
        <v>#N/A</v>
      </c>
      <c r="P413" t="e">
        <f>INDEX(script.out!D:D,results.txt!$M413)</f>
        <v>#N/A</v>
      </c>
      <c r="Q413" t="e">
        <f>INDEX(script.out!E:E,results.txt!$M413)</f>
        <v>#N/A</v>
      </c>
      <c r="R413" t="e">
        <f>INDEX(script.out!F:F,results.txt!$M413)</f>
        <v>#N/A</v>
      </c>
      <c r="S413" t="e">
        <f>INDEX(script.out!G:G,results.txt!$M413)</f>
        <v>#N/A</v>
      </c>
      <c r="T413" t="e">
        <f>INDEX(script.out!H:H,results.txt!$M413)</f>
        <v>#N/A</v>
      </c>
      <c r="U413" t="e">
        <f>INDEX(script.out!I:I,results.txt!$M413)</f>
        <v>#N/A</v>
      </c>
      <c r="V413" t="e">
        <f>INDEX(script.out!J:J,results.txt!$M413)</f>
        <v>#N/A</v>
      </c>
      <c r="W413" t="e">
        <f>INDEX(script.out!K:K,results.txt!$M413)</f>
        <v>#N/A</v>
      </c>
      <c r="X413" t="e">
        <f>INDEX(script.out!L:L,results.txt!$M413)</f>
        <v>#N/A</v>
      </c>
      <c r="Y413" t="e">
        <f>INDEX(script.out!M:M,results.txt!$M413)</f>
        <v>#N/A</v>
      </c>
      <c r="Z413" t="e">
        <f>INDEX(script.out!N:N,results.txt!$M413)</f>
        <v>#N/A</v>
      </c>
      <c r="AA413" t="e">
        <f>INDEX(script.out!O:O,results.txt!$M413)</f>
        <v>#N/A</v>
      </c>
      <c r="AB413" t="e">
        <f>INDEX(script.out!P:P,results.txt!$M413)</f>
        <v>#N/A</v>
      </c>
      <c r="AC413" t="e">
        <f>INDEX(script.out!Q:Q,results.txt!$M413)</f>
        <v>#N/A</v>
      </c>
      <c r="AD413">
        <f t="shared" si="6"/>
        <v>2</v>
      </c>
    </row>
    <row r="414" spans="1:30" x14ac:dyDescent="0.25">
      <c r="A414" s="12" t="s">
        <v>5</v>
      </c>
      <c r="B414" s="12">
        <v>-3</v>
      </c>
      <c r="C414" s="12">
        <v>0.27617000000000003</v>
      </c>
      <c r="D414" s="12">
        <v>-3.1364999999999997E-2</v>
      </c>
      <c r="E414" s="12">
        <v>0.428589</v>
      </c>
      <c r="F414" s="12">
        <v>-3</v>
      </c>
      <c r="G414" s="12">
        <v>1.07473E-2</v>
      </c>
      <c r="H414" s="12">
        <v>132.25</v>
      </c>
      <c r="I414" s="12">
        <v>202.4</v>
      </c>
      <c r="J414" s="12" t="s">
        <v>3</v>
      </c>
      <c r="K414" s="12">
        <v>0</v>
      </c>
      <c r="M414" t="e">
        <f>MATCH(C414,script.out!B:B,0)</f>
        <v>#N/A</v>
      </c>
      <c r="N414" t="e">
        <f>INDEX(script.out!B:B,results.txt!$M414)</f>
        <v>#N/A</v>
      </c>
      <c r="O414" t="e">
        <f>INDEX(script.out!C:C,results.txt!$M414)</f>
        <v>#N/A</v>
      </c>
      <c r="P414" t="e">
        <f>INDEX(script.out!D:D,results.txt!$M414)</f>
        <v>#N/A</v>
      </c>
      <c r="Q414" t="e">
        <f>INDEX(script.out!E:E,results.txt!$M414)</f>
        <v>#N/A</v>
      </c>
      <c r="R414" t="e">
        <f>INDEX(script.out!F:F,results.txt!$M414)</f>
        <v>#N/A</v>
      </c>
      <c r="S414" t="e">
        <f>INDEX(script.out!G:G,results.txt!$M414)</f>
        <v>#N/A</v>
      </c>
      <c r="T414" t="e">
        <f>INDEX(script.out!H:H,results.txt!$M414)</f>
        <v>#N/A</v>
      </c>
      <c r="U414" t="e">
        <f>INDEX(script.out!I:I,results.txt!$M414)</f>
        <v>#N/A</v>
      </c>
      <c r="V414" t="e">
        <f>INDEX(script.out!J:J,results.txt!$M414)</f>
        <v>#N/A</v>
      </c>
      <c r="W414" t="e">
        <f>INDEX(script.out!K:K,results.txt!$M414)</f>
        <v>#N/A</v>
      </c>
      <c r="X414" t="e">
        <f>INDEX(script.out!L:L,results.txt!$M414)</f>
        <v>#N/A</v>
      </c>
      <c r="Y414" t="e">
        <f>INDEX(script.out!M:M,results.txt!$M414)</f>
        <v>#N/A</v>
      </c>
      <c r="Z414" t="e">
        <f>INDEX(script.out!N:N,results.txt!$M414)</f>
        <v>#N/A</v>
      </c>
      <c r="AA414" t="e">
        <f>INDEX(script.out!O:O,results.txt!$M414)</f>
        <v>#N/A</v>
      </c>
      <c r="AB414" t="e">
        <f>INDEX(script.out!P:P,results.txt!$M414)</f>
        <v>#N/A</v>
      </c>
      <c r="AC414" t="e">
        <f>INDEX(script.out!Q:Q,results.txt!$M414)</f>
        <v>#N/A</v>
      </c>
      <c r="AD414">
        <f t="shared" si="6"/>
        <v>2</v>
      </c>
    </row>
    <row r="415" spans="1:30" x14ac:dyDescent="0.25">
      <c r="A415" s="12" t="s">
        <v>5</v>
      </c>
      <c r="B415" s="12">
        <v>-3</v>
      </c>
      <c r="C415" s="12">
        <v>0.163518</v>
      </c>
      <c r="D415" s="12">
        <v>-3.15538E-2</v>
      </c>
      <c r="E415" s="12">
        <v>0.166688</v>
      </c>
      <c r="F415" s="12">
        <v>-3</v>
      </c>
      <c r="G415" s="12">
        <v>8.5298600000000002E-3</v>
      </c>
      <c r="H415" s="12">
        <v>144</v>
      </c>
      <c r="I415" s="12">
        <v>85.587299999999999</v>
      </c>
      <c r="J415" s="12" t="s">
        <v>3</v>
      </c>
      <c r="K415" s="12">
        <v>0</v>
      </c>
      <c r="M415" t="e">
        <f>MATCH(C415,script.out!B:B,0)</f>
        <v>#N/A</v>
      </c>
      <c r="N415" t="e">
        <f>INDEX(script.out!B:B,results.txt!$M415)</f>
        <v>#N/A</v>
      </c>
      <c r="O415" t="e">
        <f>INDEX(script.out!C:C,results.txt!$M415)</f>
        <v>#N/A</v>
      </c>
      <c r="P415" t="e">
        <f>INDEX(script.out!D:D,results.txt!$M415)</f>
        <v>#N/A</v>
      </c>
      <c r="Q415" t="e">
        <f>INDEX(script.out!E:E,results.txt!$M415)</f>
        <v>#N/A</v>
      </c>
      <c r="R415" t="e">
        <f>INDEX(script.out!F:F,results.txt!$M415)</f>
        <v>#N/A</v>
      </c>
      <c r="S415" t="e">
        <f>INDEX(script.out!G:G,results.txt!$M415)</f>
        <v>#N/A</v>
      </c>
      <c r="T415" t="e">
        <f>INDEX(script.out!H:H,results.txt!$M415)</f>
        <v>#N/A</v>
      </c>
      <c r="U415" t="e">
        <f>INDEX(script.out!I:I,results.txt!$M415)</f>
        <v>#N/A</v>
      </c>
      <c r="V415" t="e">
        <f>INDEX(script.out!J:J,results.txt!$M415)</f>
        <v>#N/A</v>
      </c>
      <c r="W415" t="e">
        <f>INDEX(script.out!K:K,results.txt!$M415)</f>
        <v>#N/A</v>
      </c>
      <c r="X415" t="e">
        <f>INDEX(script.out!L:L,results.txt!$M415)</f>
        <v>#N/A</v>
      </c>
      <c r="Y415" t="e">
        <f>INDEX(script.out!M:M,results.txt!$M415)</f>
        <v>#N/A</v>
      </c>
      <c r="Z415" t="e">
        <f>INDEX(script.out!N:N,results.txt!$M415)</f>
        <v>#N/A</v>
      </c>
      <c r="AA415" t="e">
        <f>INDEX(script.out!O:O,results.txt!$M415)</f>
        <v>#N/A</v>
      </c>
      <c r="AB415" t="e">
        <f>INDEX(script.out!P:P,results.txt!$M415)</f>
        <v>#N/A</v>
      </c>
      <c r="AC415" t="e">
        <f>INDEX(script.out!Q:Q,results.txt!$M415)</f>
        <v>#N/A</v>
      </c>
      <c r="AD415">
        <f t="shared" si="6"/>
        <v>2</v>
      </c>
    </row>
    <row r="416" spans="1:30" x14ac:dyDescent="0.25">
      <c r="A416" s="12" t="s">
        <v>5</v>
      </c>
      <c r="B416" s="12">
        <v>-3</v>
      </c>
      <c r="C416" s="12">
        <v>0.80062599999999995</v>
      </c>
      <c r="D416" s="12">
        <v>0.204704</v>
      </c>
      <c r="E416" s="12">
        <v>0.44295600000000002</v>
      </c>
      <c r="F416" s="12">
        <v>-3</v>
      </c>
      <c r="G416" s="12">
        <v>202.994</v>
      </c>
      <c r="H416" s="12">
        <v>42.25</v>
      </c>
      <c r="I416" s="12">
        <v>0.201048</v>
      </c>
      <c r="J416" s="12" t="s">
        <v>3</v>
      </c>
      <c r="K416" s="12">
        <v>0</v>
      </c>
      <c r="M416" t="e">
        <f>MATCH(C416,script.out!B:B,0)</f>
        <v>#N/A</v>
      </c>
      <c r="N416" t="e">
        <f>INDEX(script.out!B:B,results.txt!$M416)</f>
        <v>#N/A</v>
      </c>
      <c r="O416" t="e">
        <f>INDEX(script.out!C:C,results.txt!$M416)</f>
        <v>#N/A</v>
      </c>
      <c r="P416" t="e">
        <f>INDEX(script.out!D:D,results.txt!$M416)</f>
        <v>#N/A</v>
      </c>
      <c r="Q416" t="e">
        <f>INDEX(script.out!E:E,results.txt!$M416)</f>
        <v>#N/A</v>
      </c>
      <c r="R416" t="e">
        <f>INDEX(script.out!F:F,results.txt!$M416)</f>
        <v>#N/A</v>
      </c>
      <c r="S416" t="e">
        <f>INDEX(script.out!G:G,results.txt!$M416)</f>
        <v>#N/A</v>
      </c>
      <c r="T416" t="e">
        <f>INDEX(script.out!H:H,results.txt!$M416)</f>
        <v>#N/A</v>
      </c>
      <c r="U416" t="e">
        <f>INDEX(script.out!I:I,results.txt!$M416)</f>
        <v>#N/A</v>
      </c>
      <c r="V416" t="e">
        <f>INDEX(script.out!J:J,results.txt!$M416)</f>
        <v>#N/A</v>
      </c>
      <c r="W416" t="e">
        <f>INDEX(script.out!K:K,results.txt!$M416)</f>
        <v>#N/A</v>
      </c>
      <c r="X416" t="e">
        <f>INDEX(script.out!L:L,results.txt!$M416)</f>
        <v>#N/A</v>
      </c>
      <c r="Y416" t="e">
        <f>INDEX(script.out!M:M,results.txt!$M416)</f>
        <v>#N/A</v>
      </c>
      <c r="Z416" t="e">
        <f>INDEX(script.out!N:N,results.txt!$M416)</f>
        <v>#N/A</v>
      </c>
      <c r="AA416" t="e">
        <f>INDEX(script.out!O:O,results.txt!$M416)</f>
        <v>#N/A</v>
      </c>
      <c r="AB416" t="e">
        <f>INDEX(script.out!P:P,results.txt!$M416)</f>
        <v>#N/A</v>
      </c>
      <c r="AC416" t="e">
        <f>INDEX(script.out!Q:Q,results.txt!$M416)</f>
        <v>#N/A</v>
      </c>
      <c r="AD416">
        <f t="shared" si="6"/>
        <v>2</v>
      </c>
    </row>
    <row r="417" spans="1:30" x14ac:dyDescent="0.25">
      <c r="A417" s="12" t="s">
        <v>5</v>
      </c>
      <c r="B417" s="12">
        <v>-3</v>
      </c>
      <c r="C417" s="12">
        <v>1.0947</v>
      </c>
      <c r="D417" s="12">
        <v>-3.1268799999999999E-2</v>
      </c>
      <c r="E417" s="12">
        <v>0.68372699999999997</v>
      </c>
      <c r="F417" s="12">
        <v>-3</v>
      </c>
      <c r="G417" s="12">
        <v>1.1975599999999999E-2</v>
      </c>
      <c r="H417" s="12">
        <v>72.25</v>
      </c>
      <c r="I417" s="12">
        <v>296.69799999999998</v>
      </c>
      <c r="J417" s="12" t="s">
        <v>3</v>
      </c>
      <c r="K417" s="12">
        <v>0</v>
      </c>
      <c r="M417" t="e">
        <f>MATCH(C417,script.out!B:B,0)</f>
        <v>#N/A</v>
      </c>
      <c r="N417" t="e">
        <f>INDEX(script.out!B:B,results.txt!$M417)</f>
        <v>#N/A</v>
      </c>
      <c r="O417" t="e">
        <f>INDEX(script.out!C:C,results.txt!$M417)</f>
        <v>#N/A</v>
      </c>
      <c r="P417" t="e">
        <f>INDEX(script.out!D:D,results.txt!$M417)</f>
        <v>#N/A</v>
      </c>
      <c r="Q417" t="e">
        <f>INDEX(script.out!E:E,results.txt!$M417)</f>
        <v>#N/A</v>
      </c>
      <c r="R417" t="e">
        <f>INDEX(script.out!F:F,results.txt!$M417)</f>
        <v>#N/A</v>
      </c>
      <c r="S417" t="e">
        <f>INDEX(script.out!G:G,results.txt!$M417)</f>
        <v>#N/A</v>
      </c>
      <c r="T417" t="e">
        <f>INDEX(script.out!H:H,results.txt!$M417)</f>
        <v>#N/A</v>
      </c>
      <c r="U417" t="e">
        <f>INDEX(script.out!I:I,results.txt!$M417)</f>
        <v>#N/A</v>
      </c>
      <c r="V417" t="e">
        <f>INDEX(script.out!J:J,results.txt!$M417)</f>
        <v>#N/A</v>
      </c>
      <c r="W417" t="e">
        <f>INDEX(script.out!K:K,results.txt!$M417)</f>
        <v>#N/A</v>
      </c>
      <c r="X417" t="e">
        <f>INDEX(script.out!L:L,results.txt!$M417)</f>
        <v>#N/A</v>
      </c>
      <c r="Y417" t="e">
        <f>INDEX(script.out!M:M,results.txt!$M417)</f>
        <v>#N/A</v>
      </c>
      <c r="Z417" t="e">
        <f>INDEX(script.out!N:N,results.txt!$M417)</f>
        <v>#N/A</v>
      </c>
      <c r="AA417" t="e">
        <f>INDEX(script.out!O:O,results.txt!$M417)</f>
        <v>#N/A</v>
      </c>
      <c r="AB417" t="e">
        <f>INDEX(script.out!P:P,results.txt!$M417)</f>
        <v>#N/A</v>
      </c>
      <c r="AC417" t="e">
        <f>INDEX(script.out!Q:Q,results.txt!$M417)</f>
        <v>#N/A</v>
      </c>
      <c r="AD417">
        <f t="shared" si="6"/>
        <v>2</v>
      </c>
    </row>
    <row r="418" spans="1:30" x14ac:dyDescent="0.25">
      <c r="A418" s="12" t="s">
        <v>5</v>
      </c>
      <c r="B418" s="12">
        <v>-3</v>
      </c>
      <c r="C418" s="12">
        <v>0.97575800000000001</v>
      </c>
      <c r="D418" s="12">
        <v>9.5766500000000004E-2</v>
      </c>
      <c r="E418" s="12">
        <v>0.71336900000000003</v>
      </c>
      <c r="F418" s="12">
        <v>-3</v>
      </c>
      <c r="G418" s="12">
        <v>59.608899999999998</v>
      </c>
      <c r="H418" s="12">
        <v>42.25</v>
      </c>
      <c r="I418" s="12">
        <v>152.69399999999999</v>
      </c>
      <c r="J418" s="12" t="s">
        <v>3</v>
      </c>
      <c r="K418" s="12">
        <v>0</v>
      </c>
      <c r="M418" t="e">
        <f>MATCH(C418,script.out!B:B,0)</f>
        <v>#N/A</v>
      </c>
      <c r="N418" t="e">
        <f>INDEX(script.out!B:B,results.txt!$M418)</f>
        <v>#N/A</v>
      </c>
      <c r="O418" t="e">
        <f>INDEX(script.out!C:C,results.txt!$M418)</f>
        <v>#N/A</v>
      </c>
      <c r="P418" t="e">
        <f>INDEX(script.out!D:D,results.txt!$M418)</f>
        <v>#N/A</v>
      </c>
      <c r="Q418" t="e">
        <f>INDEX(script.out!E:E,results.txt!$M418)</f>
        <v>#N/A</v>
      </c>
      <c r="R418" t="e">
        <f>INDEX(script.out!F:F,results.txt!$M418)</f>
        <v>#N/A</v>
      </c>
      <c r="S418" t="e">
        <f>INDEX(script.out!G:G,results.txt!$M418)</f>
        <v>#N/A</v>
      </c>
      <c r="T418" t="e">
        <f>INDEX(script.out!H:H,results.txt!$M418)</f>
        <v>#N/A</v>
      </c>
      <c r="U418" t="e">
        <f>INDEX(script.out!I:I,results.txt!$M418)</f>
        <v>#N/A</v>
      </c>
      <c r="V418" t="e">
        <f>INDEX(script.out!J:J,results.txt!$M418)</f>
        <v>#N/A</v>
      </c>
      <c r="W418" t="e">
        <f>INDEX(script.out!K:K,results.txt!$M418)</f>
        <v>#N/A</v>
      </c>
      <c r="X418" t="e">
        <f>INDEX(script.out!L:L,results.txt!$M418)</f>
        <v>#N/A</v>
      </c>
      <c r="Y418" t="e">
        <f>INDEX(script.out!M:M,results.txt!$M418)</f>
        <v>#N/A</v>
      </c>
      <c r="Z418" t="e">
        <f>INDEX(script.out!N:N,results.txt!$M418)</f>
        <v>#N/A</v>
      </c>
      <c r="AA418" t="e">
        <f>INDEX(script.out!O:O,results.txt!$M418)</f>
        <v>#N/A</v>
      </c>
      <c r="AB418" t="e">
        <f>INDEX(script.out!P:P,results.txt!$M418)</f>
        <v>#N/A</v>
      </c>
      <c r="AC418" t="e">
        <f>INDEX(script.out!Q:Q,results.txt!$M418)</f>
        <v>#N/A</v>
      </c>
      <c r="AD418">
        <f t="shared" si="6"/>
        <v>2</v>
      </c>
    </row>
    <row r="419" spans="1:30" x14ac:dyDescent="0.25">
      <c r="A419" s="12" t="s">
        <v>5</v>
      </c>
      <c r="B419" s="12">
        <v>-3</v>
      </c>
      <c r="C419" s="12">
        <v>0.89536700000000002</v>
      </c>
      <c r="D419" s="12">
        <v>0.30930099999999999</v>
      </c>
      <c r="E419" s="12">
        <v>0.56837400000000005</v>
      </c>
      <c r="F419" s="12">
        <v>-3</v>
      </c>
      <c r="G419" s="12">
        <v>420.84399999999999</v>
      </c>
      <c r="H419" s="12">
        <v>36</v>
      </c>
      <c r="I419" s="12">
        <v>0.43206299999999997</v>
      </c>
      <c r="J419" s="12" t="s">
        <v>3</v>
      </c>
      <c r="K419" s="12">
        <v>0</v>
      </c>
      <c r="M419" t="e">
        <f>MATCH(C419,script.out!B:B,0)</f>
        <v>#N/A</v>
      </c>
      <c r="N419" t="e">
        <f>INDEX(script.out!B:B,results.txt!$M419)</f>
        <v>#N/A</v>
      </c>
      <c r="O419" t="e">
        <f>INDEX(script.out!C:C,results.txt!$M419)</f>
        <v>#N/A</v>
      </c>
      <c r="P419" t="e">
        <f>INDEX(script.out!D:D,results.txt!$M419)</f>
        <v>#N/A</v>
      </c>
      <c r="Q419" t="e">
        <f>INDEX(script.out!E:E,results.txt!$M419)</f>
        <v>#N/A</v>
      </c>
      <c r="R419" t="e">
        <f>INDEX(script.out!F:F,results.txt!$M419)</f>
        <v>#N/A</v>
      </c>
      <c r="S419" t="e">
        <f>INDEX(script.out!G:G,results.txt!$M419)</f>
        <v>#N/A</v>
      </c>
      <c r="T419" t="e">
        <f>INDEX(script.out!H:H,results.txt!$M419)</f>
        <v>#N/A</v>
      </c>
      <c r="U419" t="e">
        <f>INDEX(script.out!I:I,results.txt!$M419)</f>
        <v>#N/A</v>
      </c>
      <c r="V419" t="e">
        <f>INDEX(script.out!J:J,results.txt!$M419)</f>
        <v>#N/A</v>
      </c>
      <c r="W419" t="e">
        <f>INDEX(script.out!K:K,results.txt!$M419)</f>
        <v>#N/A</v>
      </c>
      <c r="X419" t="e">
        <f>INDEX(script.out!L:L,results.txt!$M419)</f>
        <v>#N/A</v>
      </c>
      <c r="Y419" t="e">
        <f>INDEX(script.out!M:M,results.txt!$M419)</f>
        <v>#N/A</v>
      </c>
      <c r="Z419" t="e">
        <f>INDEX(script.out!N:N,results.txt!$M419)</f>
        <v>#N/A</v>
      </c>
      <c r="AA419" t="e">
        <f>INDEX(script.out!O:O,results.txt!$M419)</f>
        <v>#N/A</v>
      </c>
      <c r="AB419" t="e">
        <f>INDEX(script.out!P:P,results.txt!$M419)</f>
        <v>#N/A</v>
      </c>
      <c r="AC419" t="e">
        <f>INDEX(script.out!Q:Q,results.txt!$M419)</f>
        <v>#N/A</v>
      </c>
      <c r="AD419">
        <f t="shared" si="6"/>
        <v>2</v>
      </c>
    </row>
    <row r="420" spans="1:30" x14ac:dyDescent="0.25">
      <c r="A420" s="12" t="s">
        <v>5</v>
      </c>
      <c r="B420" s="12">
        <v>-3</v>
      </c>
      <c r="C420" s="12">
        <v>0.27349400000000001</v>
      </c>
      <c r="D420" s="12">
        <v>-2.9712100000000002E-2</v>
      </c>
      <c r="E420" s="12">
        <v>0.42296099999999998</v>
      </c>
      <c r="F420" s="12">
        <v>-3</v>
      </c>
      <c r="G420" s="12">
        <v>4.1088E-2</v>
      </c>
      <c r="H420" s="12">
        <v>132.25</v>
      </c>
      <c r="I420" s="12">
        <v>198.87200000000001</v>
      </c>
      <c r="J420" s="12" t="s">
        <v>3</v>
      </c>
      <c r="K420" s="12">
        <v>0</v>
      </c>
      <c r="M420" t="e">
        <f>MATCH(C420,script.out!B:B,0)</f>
        <v>#N/A</v>
      </c>
      <c r="N420" t="e">
        <f>INDEX(script.out!B:B,results.txt!$M420)</f>
        <v>#N/A</v>
      </c>
      <c r="O420" t="e">
        <f>INDEX(script.out!C:C,results.txt!$M420)</f>
        <v>#N/A</v>
      </c>
      <c r="P420" t="e">
        <f>INDEX(script.out!D:D,results.txt!$M420)</f>
        <v>#N/A</v>
      </c>
      <c r="Q420" t="e">
        <f>INDEX(script.out!E:E,results.txt!$M420)</f>
        <v>#N/A</v>
      </c>
      <c r="R420" t="e">
        <f>INDEX(script.out!F:F,results.txt!$M420)</f>
        <v>#N/A</v>
      </c>
      <c r="S420" t="e">
        <f>INDEX(script.out!G:G,results.txt!$M420)</f>
        <v>#N/A</v>
      </c>
      <c r="T420" t="e">
        <f>INDEX(script.out!H:H,results.txt!$M420)</f>
        <v>#N/A</v>
      </c>
      <c r="U420" t="e">
        <f>INDEX(script.out!I:I,results.txt!$M420)</f>
        <v>#N/A</v>
      </c>
      <c r="V420" t="e">
        <f>INDEX(script.out!J:J,results.txt!$M420)</f>
        <v>#N/A</v>
      </c>
      <c r="W420" t="e">
        <f>INDEX(script.out!K:K,results.txt!$M420)</f>
        <v>#N/A</v>
      </c>
      <c r="X420" t="e">
        <f>INDEX(script.out!L:L,results.txt!$M420)</f>
        <v>#N/A</v>
      </c>
      <c r="Y420" t="e">
        <f>INDEX(script.out!M:M,results.txt!$M420)</f>
        <v>#N/A</v>
      </c>
      <c r="Z420" t="e">
        <f>INDEX(script.out!N:N,results.txt!$M420)</f>
        <v>#N/A</v>
      </c>
      <c r="AA420" t="e">
        <f>INDEX(script.out!O:O,results.txt!$M420)</f>
        <v>#N/A</v>
      </c>
      <c r="AB420" t="e">
        <f>INDEX(script.out!P:P,results.txt!$M420)</f>
        <v>#N/A</v>
      </c>
      <c r="AC420" t="e">
        <f>INDEX(script.out!Q:Q,results.txt!$M420)</f>
        <v>#N/A</v>
      </c>
      <c r="AD420">
        <f t="shared" si="6"/>
        <v>2</v>
      </c>
    </row>
    <row r="421" spans="1:30" x14ac:dyDescent="0.25">
      <c r="A421" s="12" t="s">
        <v>5</v>
      </c>
      <c r="B421" s="12">
        <v>-3</v>
      </c>
      <c r="C421" s="12">
        <v>0.87458899999999995</v>
      </c>
      <c r="D421" s="12">
        <v>-4.8260100000000004E-3</v>
      </c>
      <c r="E421" s="12">
        <v>0.70409100000000002</v>
      </c>
      <c r="F421" s="12">
        <v>-3</v>
      </c>
      <c r="G421" s="12">
        <v>2.8687499999999999</v>
      </c>
      <c r="H421" s="12">
        <v>81</v>
      </c>
      <c r="I421" s="12">
        <v>266.50099999999998</v>
      </c>
      <c r="J421" s="12" t="s">
        <v>3</v>
      </c>
      <c r="K421" s="12">
        <v>0</v>
      </c>
      <c r="M421" t="e">
        <f>MATCH(C421,script.out!B:B,0)</f>
        <v>#N/A</v>
      </c>
      <c r="N421" t="e">
        <f>INDEX(script.out!B:B,results.txt!$M421)</f>
        <v>#N/A</v>
      </c>
      <c r="O421" t="e">
        <f>INDEX(script.out!C:C,results.txt!$M421)</f>
        <v>#N/A</v>
      </c>
      <c r="P421" t="e">
        <f>INDEX(script.out!D:D,results.txt!$M421)</f>
        <v>#N/A</v>
      </c>
      <c r="Q421" t="e">
        <f>INDEX(script.out!E:E,results.txt!$M421)</f>
        <v>#N/A</v>
      </c>
      <c r="R421" t="e">
        <f>INDEX(script.out!F:F,results.txt!$M421)</f>
        <v>#N/A</v>
      </c>
      <c r="S421" t="e">
        <f>INDEX(script.out!G:G,results.txt!$M421)</f>
        <v>#N/A</v>
      </c>
      <c r="T421" t="e">
        <f>INDEX(script.out!H:H,results.txt!$M421)</f>
        <v>#N/A</v>
      </c>
      <c r="U421" t="e">
        <f>INDEX(script.out!I:I,results.txt!$M421)</f>
        <v>#N/A</v>
      </c>
      <c r="V421" t="e">
        <f>INDEX(script.out!J:J,results.txt!$M421)</f>
        <v>#N/A</v>
      </c>
      <c r="W421" t="e">
        <f>INDEX(script.out!K:K,results.txt!$M421)</f>
        <v>#N/A</v>
      </c>
      <c r="X421" t="e">
        <f>INDEX(script.out!L:L,results.txt!$M421)</f>
        <v>#N/A</v>
      </c>
      <c r="Y421" t="e">
        <f>INDEX(script.out!M:M,results.txt!$M421)</f>
        <v>#N/A</v>
      </c>
      <c r="Z421" t="e">
        <f>INDEX(script.out!N:N,results.txt!$M421)</f>
        <v>#N/A</v>
      </c>
      <c r="AA421" t="e">
        <f>INDEX(script.out!O:O,results.txt!$M421)</f>
        <v>#N/A</v>
      </c>
      <c r="AB421" t="e">
        <f>INDEX(script.out!P:P,results.txt!$M421)</f>
        <v>#N/A</v>
      </c>
      <c r="AC421" t="e">
        <f>INDEX(script.out!Q:Q,results.txt!$M421)</f>
        <v>#N/A</v>
      </c>
      <c r="AD421">
        <f t="shared" si="6"/>
        <v>2</v>
      </c>
    </row>
    <row r="422" spans="1:30" x14ac:dyDescent="0.25">
      <c r="A422" s="12" t="s">
        <v>5</v>
      </c>
      <c r="B422" s="12">
        <v>-3</v>
      </c>
      <c r="C422" s="12">
        <v>0.97817200000000004</v>
      </c>
      <c r="D422" s="12">
        <v>0.36422700000000002</v>
      </c>
      <c r="E422" s="12">
        <v>0.60778500000000002</v>
      </c>
      <c r="F422" s="12">
        <v>-3</v>
      </c>
      <c r="G422" s="12">
        <v>566.69399999999996</v>
      </c>
      <c r="H422" s="12">
        <v>30.25</v>
      </c>
      <c r="I422" s="12">
        <v>1.5978100000000001E-3</v>
      </c>
      <c r="J422" s="12" t="s">
        <v>3</v>
      </c>
      <c r="K422" s="12">
        <v>0</v>
      </c>
      <c r="M422">
        <f>MATCH(C422,script.out!B:B,0)</f>
        <v>58</v>
      </c>
      <c r="N422">
        <f>INDEX(script.out!B:B,results.txt!$M422)</f>
        <v>0.97817200000000004</v>
      </c>
      <c r="O422">
        <f>INDEX(script.out!C:C,results.txt!$M422)</f>
        <v>0.36422700000000002</v>
      </c>
      <c r="P422">
        <f>INDEX(script.out!D:D,results.txt!$M422)</f>
        <v>0.60778500000000002</v>
      </c>
      <c r="Q422">
        <f>INDEX(script.out!E:E,results.txt!$M422)</f>
        <v>566.694042616871</v>
      </c>
      <c r="R422">
        <f>INDEX(script.out!F:F,results.txt!$M422)</f>
        <v>30.25</v>
      </c>
      <c r="S422">
        <f>INDEX(script.out!G:G,results.txt!$M422)</f>
        <v>1.5978089697879501E-3</v>
      </c>
      <c r="T422" t="str">
        <f>INDEX(script.out!H:H,results.txt!$M422)</f>
        <v>{</v>
      </c>
      <c r="U422">
        <f>INDEX(script.out!I:I,results.txt!$M422)</f>
        <v>1.0825370000000001</v>
      </c>
      <c r="V422">
        <f>INDEX(script.out!J:J,results.txt!$M422)</f>
        <v>282.11349999999999</v>
      </c>
      <c r="W422">
        <f>INDEX(script.out!K:K,results.txt!$M422)</f>
        <v>368.59314999999998</v>
      </c>
      <c r="X422" t="str">
        <f>INDEX(script.out!L:L,results.txt!$M422)</f>
        <v>}</v>
      </c>
      <c r="Y422" t="str">
        <f>INDEX(script.out!M:M,results.txt!$M422)</f>
        <v>{</v>
      </c>
      <c r="Z422">
        <f>INDEX(script.out!N:N,results.txt!$M422)</f>
        <v>33.805336431499299</v>
      </c>
      <c r="AA422">
        <f>INDEX(script.out!O:O,results.txt!$M422)</f>
        <v>13.5</v>
      </c>
      <c r="AB422">
        <f>INDEX(script.out!P:P,results.txt!$M422)</f>
        <v>7285.41</v>
      </c>
      <c r="AC422" t="str">
        <f>INDEX(script.out!Q:Q,results.txt!$M422)</f>
        <v>}</v>
      </c>
      <c r="AD422">
        <f t="shared" si="6"/>
        <v>2</v>
      </c>
    </row>
    <row r="423" spans="1:30" x14ac:dyDescent="0.25">
      <c r="A423" s="12" t="s">
        <v>5</v>
      </c>
      <c r="B423" s="12">
        <v>-3</v>
      </c>
      <c r="C423" s="12">
        <v>0.81675799999999998</v>
      </c>
      <c r="D423" s="12">
        <v>0.215696</v>
      </c>
      <c r="E423" s="12">
        <v>0.444135</v>
      </c>
      <c r="F423" s="12">
        <v>-3</v>
      </c>
      <c r="G423" s="12">
        <v>222.19399999999999</v>
      </c>
      <c r="H423" s="12">
        <v>42.25</v>
      </c>
      <c r="I423" s="12">
        <v>2.5082300000000002E-3</v>
      </c>
      <c r="J423" s="12" t="s">
        <v>3</v>
      </c>
      <c r="K423" s="12">
        <v>0</v>
      </c>
      <c r="M423">
        <f>MATCH(C423,script.out!B:B,0)</f>
        <v>83</v>
      </c>
      <c r="N423">
        <f>INDEX(script.out!B:B,results.txt!$M423)</f>
        <v>0.81675799999999998</v>
      </c>
      <c r="O423">
        <f>INDEX(script.out!C:C,results.txt!$M423)</f>
        <v>0.215696</v>
      </c>
      <c r="P423">
        <f>INDEX(script.out!D:D,results.txt!$M423)</f>
        <v>0.444135</v>
      </c>
      <c r="Q423">
        <f>INDEX(script.out!E:E,results.txt!$M423)</f>
        <v>222.19440880665701</v>
      </c>
      <c r="R423">
        <f>INDEX(script.out!F:F,results.txt!$M423)</f>
        <v>42.25</v>
      </c>
      <c r="S423">
        <f>INDEX(script.out!G:G,results.txt!$M423)</f>
        <v>2.5082259335710202E-3</v>
      </c>
      <c r="T423" t="str">
        <f>INDEX(script.out!H:H,results.txt!$M423)</f>
        <v>{</v>
      </c>
      <c r="U423">
        <f>INDEX(script.out!I:I,results.txt!$M423)</f>
        <v>0.95340599999999998</v>
      </c>
      <c r="V423">
        <f>INDEX(script.out!J:J,results.txt!$M423)</f>
        <v>207.84800000000001</v>
      </c>
      <c r="W423">
        <f>INDEX(script.out!K:K,results.txt!$M423)</f>
        <v>272.03964999999999</v>
      </c>
      <c r="X423" t="str">
        <f>INDEX(script.out!L:L,results.txt!$M423)</f>
        <v>}</v>
      </c>
      <c r="Y423" t="str">
        <f>INDEX(script.out!M:M,results.txt!$M423)</f>
        <v>{</v>
      </c>
      <c r="Z423">
        <f>INDEX(script.out!N:N,results.txt!$M423)</f>
        <v>24.906186930488101</v>
      </c>
      <c r="AA423">
        <f>INDEX(script.out!O:O,results.txt!$M423)</f>
        <v>14.5</v>
      </c>
      <c r="AB423">
        <f>INDEX(script.out!P:P,results.txt!$M423)</f>
        <v>7281.72</v>
      </c>
      <c r="AC423" t="str">
        <f>INDEX(script.out!Q:Q,results.txt!$M423)</f>
        <v>}</v>
      </c>
      <c r="AD423">
        <f t="shared" si="6"/>
        <v>2</v>
      </c>
    </row>
    <row r="424" spans="1:30" x14ac:dyDescent="0.25">
      <c r="A424" s="12" t="s">
        <v>5</v>
      </c>
      <c r="B424" s="12">
        <v>-3</v>
      </c>
      <c r="C424" s="12">
        <v>0.97564399999999996</v>
      </c>
      <c r="D424" s="12">
        <v>0.30814999999999998</v>
      </c>
      <c r="E424" s="12">
        <v>0.60311199999999998</v>
      </c>
      <c r="F424" s="12">
        <v>-3</v>
      </c>
      <c r="G424" s="12">
        <v>418.01900000000001</v>
      </c>
      <c r="H424" s="12">
        <v>30.25</v>
      </c>
      <c r="I424" s="12">
        <v>3.0168400000000002</v>
      </c>
      <c r="J424" s="12" t="s">
        <v>3</v>
      </c>
      <c r="K424" s="12">
        <v>0</v>
      </c>
      <c r="M424">
        <f>MATCH(C424,script.out!B:B,0)</f>
        <v>114</v>
      </c>
      <c r="N424">
        <f>INDEX(script.out!B:B,results.txt!$M424)</f>
        <v>0.97564399999999996</v>
      </c>
      <c r="O424">
        <f>INDEX(script.out!C:C,results.txt!$M424)</f>
        <v>0.30814999999999998</v>
      </c>
      <c r="P424">
        <f>INDEX(script.out!D:D,results.txt!$M424)</f>
        <v>0.60311199999999998</v>
      </c>
      <c r="Q424">
        <f>INDEX(script.out!E:E,results.txt!$M424)</f>
        <v>418.01909200476098</v>
      </c>
      <c r="R424">
        <f>INDEX(script.out!F:F,results.txt!$M424)</f>
        <v>30.25</v>
      </c>
      <c r="S424">
        <f>INDEX(script.out!G:G,results.txt!$M424)</f>
        <v>3.0168358859072901</v>
      </c>
      <c r="T424" t="str">
        <f>INDEX(script.out!H:H,results.txt!$M424)</f>
        <v>{</v>
      </c>
      <c r="U424">
        <f>INDEX(script.out!I:I,results.txt!$M424)</f>
        <v>1.0805149999999999</v>
      </c>
      <c r="V424">
        <f>INDEX(script.out!J:J,results.txt!$M424)</f>
        <v>254.07499999999999</v>
      </c>
      <c r="W424">
        <f>INDEX(script.out!K:K,results.txt!$M424)</f>
        <v>365.83607999999998</v>
      </c>
      <c r="X424" t="str">
        <f>INDEX(script.out!L:L,results.txt!$M424)</f>
        <v>}</v>
      </c>
      <c r="Y424" t="str">
        <f>INDEX(script.out!M:M,results.txt!$M424)</f>
        <v>{</v>
      </c>
      <c r="Z424">
        <f>INDEX(script.out!N:N,results.txt!$M424)</f>
        <v>30.4455152051681</v>
      </c>
      <c r="AA424">
        <f>INDEX(script.out!O:O,results.txt!$M424)</f>
        <v>13.5</v>
      </c>
      <c r="AB424">
        <f>INDEX(script.out!P:P,results.txt!$M424)</f>
        <v>6666.03</v>
      </c>
      <c r="AC424" t="str">
        <f>INDEX(script.out!Q:Q,results.txt!$M424)</f>
        <v>}</v>
      </c>
      <c r="AD424">
        <f t="shared" si="6"/>
        <v>2</v>
      </c>
    </row>
    <row r="425" spans="1:30" x14ac:dyDescent="0.25">
      <c r="A425" s="12" t="s">
        <v>5</v>
      </c>
      <c r="B425" s="12">
        <v>-3</v>
      </c>
      <c r="C425" s="12">
        <v>0.15789</v>
      </c>
      <c r="D425" s="12">
        <v>6.3966999999999996E-2</v>
      </c>
      <c r="E425" s="12">
        <v>0.136075</v>
      </c>
      <c r="F425" s="12">
        <v>-3</v>
      </c>
      <c r="G425" s="12">
        <v>33.819200000000002</v>
      </c>
      <c r="H425" s="12">
        <v>90.25</v>
      </c>
      <c r="I425" s="12">
        <v>0.11262</v>
      </c>
      <c r="J425" s="12" t="s">
        <v>3</v>
      </c>
      <c r="K425" s="12">
        <v>0</v>
      </c>
      <c r="M425">
        <f>MATCH(C425,script.out!B:B,0)</f>
        <v>163</v>
      </c>
      <c r="N425">
        <f>INDEX(script.out!B:B,results.txt!$M425)</f>
        <v>0.15789</v>
      </c>
      <c r="O425">
        <f>INDEX(script.out!C:C,results.txt!$M425)</f>
        <v>6.3966999999999996E-2</v>
      </c>
      <c r="P425">
        <f>INDEX(script.out!D:D,results.txt!$M425)</f>
        <v>0.136075</v>
      </c>
      <c r="Q425">
        <f>INDEX(script.out!E:E,results.txt!$M425)</f>
        <v>33.819238849037397</v>
      </c>
      <c r="R425">
        <f>INDEX(script.out!F:F,results.txt!$M425)</f>
        <v>90.25</v>
      </c>
      <c r="S425">
        <f>INDEX(script.out!G:G,results.txt!$M425)</f>
        <v>0.112620004503659</v>
      </c>
      <c r="T425" t="str">
        <f>INDEX(script.out!H:H,results.txt!$M425)</f>
        <v>{</v>
      </c>
      <c r="U425">
        <f>INDEX(script.out!I:I,results.txt!$M425)</f>
        <v>0.42631000000000002</v>
      </c>
      <c r="V425">
        <f>INDEX(script.out!J:J,results.txt!$M425)</f>
        <v>131.98349999999999</v>
      </c>
      <c r="W425">
        <f>INDEX(script.out!K:K,results.txt!$M425)</f>
        <v>90.28425</v>
      </c>
      <c r="X425" t="str">
        <f>INDEX(script.out!L:L,results.txt!$M425)</f>
        <v>}</v>
      </c>
      <c r="Y425" t="str">
        <f>INDEX(script.out!M:M,results.txt!$M425)</f>
        <v>{</v>
      </c>
      <c r="Z425">
        <f>INDEX(script.out!N:N,results.txt!$M425)</f>
        <v>15.815431097436999</v>
      </c>
      <c r="AA425">
        <f>INDEX(script.out!O:O,results.txt!$M425)</f>
        <v>17.5</v>
      </c>
      <c r="AB425">
        <f>INDEX(script.out!P:P,results.txt!$M425)</f>
        <v>7177.51</v>
      </c>
      <c r="AC425" t="str">
        <f>INDEX(script.out!Q:Q,results.txt!$M425)</f>
        <v>}</v>
      </c>
      <c r="AD425">
        <f t="shared" si="6"/>
        <v>2</v>
      </c>
    </row>
    <row r="426" spans="1:30" x14ac:dyDescent="0.25">
      <c r="A426" s="12" t="s">
        <v>5</v>
      </c>
      <c r="B426" s="12">
        <v>-3</v>
      </c>
      <c r="C426" s="12">
        <v>0.55693199999999998</v>
      </c>
      <c r="D426" s="12">
        <v>4.9422099999999997E-2</v>
      </c>
      <c r="E426" s="12">
        <v>0.25722699999999998</v>
      </c>
      <c r="F426" s="12">
        <v>-3</v>
      </c>
      <c r="G426" s="12">
        <v>24.443000000000001</v>
      </c>
      <c r="H426" s="12">
        <v>90.25</v>
      </c>
      <c r="I426" s="12">
        <v>17.435099999999998</v>
      </c>
      <c r="J426" s="12" t="s">
        <v>3</v>
      </c>
      <c r="K426" s="12">
        <v>0</v>
      </c>
      <c r="M426">
        <f>MATCH(C426,script.out!B:B,0)</f>
        <v>169</v>
      </c>
      <c r="N426">
        <f>INDEX(script.out!B:B,results.txt!$M426)</f>
        <v>0.55693199999999998</v>
      </c>
      <c r="O426">
        <f>INDEX(script.out!C:C,results.txt!$M426)</f>
        <v>4.9422099999999997E-2</v>
      </c>
      <c r="P426">
        <f>INDEX(script.out!D:D,results.txt!$M426)</f>
        <v>0.25722699999999998</v>
      </c>
      <c r="Q426">
        <f>INDEX(script.out!E:E,results.txt!$M426)</f>
        <v>24.442955773799699</v>
      </c>
      <c r="R426">
        <f>INDEX(script.out!F:F,results.txt!$M426)</f>
        <v>90.25</v>
      </c>
      <c r="S426">
        <f>INDEX(script.out!G:G,results.txt!$M426)</f>
        <v>17.4350862443235</v>
      </c>
      <c r="T426" t="str">
        <f>INDEX(script.out!H:H,results.txt!$M426)</f>
        <v>{</v>
      </c>
      <c r="U426">
        <f>INDEX(script.out!I:I,results.txt!$M426)</f>
        <v>0.74554500000000001</v>
      </c>
      <c r="V426">
        <f>INDEX(script.out!J:J,results.txt!$M426)</f>
        <v>124.71105</v>
      </c>
      <c r="W426">
        <f>INDEX(script.out!K:K,results.txt!$M426)</f>
        <v>161.76392999999999</v>
      </c>
      <c r="X426" t="str">
        <f>INDEX(script.out!L:L,results.txt!$M426)</f>
        <v>}</v>
      </c>
      <c r="Y426" t="str">
        <f>INDEX(script.out!M:M,results.txt!$M426)</f>
        <v>{</v>
      </c>
      <c r="Z426">
        <f>INDEX(script.out!N:N,results.txt!$M426)</f>
        <v>14.9439817732066</v>
      </c>
      <c r="AA426">
        <f>INDEX(script.out!O:O,results.txt!$M426)</f>
        <v>17.5</v>
      </c>
      <c r="AB426">
        <f>INDEX(script.out!P:P,results.txt!$M426)</f>
        <v>5775.93</v>
      </c>
      <c r="AC426" t="str">
        <f>INDEX(script.out!Q:Q,results.txt!$M426)</f>
        <v>}</v>
      </c>
      <c r="AD426">
        <f t="shared" si="6"/>
        <v>2</v>
      </c>
    </row>
    <row r="427" spans="1:30" x14ac:dyDescent="0.25">
      <c r="A427" s="12" t="s">
        <v>5</v>
      </c>
      <c r="B427" s="12">
        <v>-3</v>
      </c>
      <c r="C427" s="12">
        <v>0.88540700000000006</v>
      </c>
      <c r="D427" s="12">
        <v>0.34323300000000001</v>
      </c>
      <c r="E427" s="12">
        <v>0.57381899999999997</v>
      </c>
      <c r="F427" s="12">
        <v>-3</v>
      </c>
      <c r="G427" s="12">
        <v>508.38900000000001</v>
      </c>
      <c r="H427" s="12">
        <v>36</v>
      </c>
      <c r="I427" s="12">
        <v>9.5134200000000002E-2</v>
      </c>
      <c r="J427" s="12" t="s">
        <v>3</v>
      </c>
      <c r="K427" s="12">
        <v>0</v>
      </c>
      <c r="M427">
        <f>MATCH(C427,script.out!B:B,0)</f>
        <v>195</v>
      </c>
      <c r="N427">
        <f>INDEX(script.out!B:B,results.txt!$M427)</f>
        <v>0.88540700000000006</v>
      </c>
      <c r="O427">
        <f>INDEX(script.out!C:C,results.txt!$M427)</f>
        <v>0.34323300000000001</v>
      </c>
      <c r="P427">
        <f>INDEX(script.out!D:D,results.txt!$M427)</f>
        <v>0.57381899999999997</v>
      </c>
      <c r="Q427">
        <f>INDEX(script.out!E:E,results.txt!$M427)</f>
        <v>508.389440008137</v>
      </c>
      <c r="R427">
        <f>INDEX(script.out!F:F,results.txt!$M427)</f>
        <v>36</v>
      </c>
      <c r="S427">
        <f>INDEX(script.out!G:G,results.txt!$M427)</f>
        <v>9.5134219553387106E-2</v>
      </c>
      <c r="T427" t="str">
        <f>INDEX(script.out!H:H,results.txt!$M427)</f>
        <v>{</v>
      </c>
      <c r="U427">
        <f>INDEX(script.out!I:I,results.txt!$M427)</f>
        <v>1.0083249999999999</v>
      </c>
      <c r="V427">
        <f>INDEX(script.out!J:J,results.txt!$M427)</f>
        <v>271.61649999999997</v>
      </c>
      <c r="W427">
        <f>INDEX(script.out!K:K,results.txt!$M427)</f>
        <v>348.55320999999998</v>
      </c>
      <c r="X427" t="str">
        <f>INDEX(script.out!L:L,results.txt!$M427)</f>
        <v>}</v>
      </c>
      <c r="Y427" t="str">
        <f>INDEX(script.out!M:M,results.txt!$M427)</f>
        <v>{</v>
      </c>
      <c r="Z427">
        <f>INDEX(script.out!N:N,results.txt!$M427)</f>
        <v>32.547492987206702</v>
      </c>
      <c r="AA427">
        <f>INDEX(script.out!O:O,results.txt!$M427)</f>
        <v>14</v>
      </c>
      <c r="AB427">
        <f>INDEX(script.out!P:P,results.txt!$M427)</f>
        <v>7412.58</v>
      </c>
      <c r="AC427" t="str">
        <f>INDEX(script.out!Q:Q,results.txt!$M427)</f>
        <v>}</v>
      </c>
      <c r="AD427">
        <f t="shared" si="6"/>
        <v>2</v>
      </c>
    </row>
    <row r="428" spans="1:30" x14ac:dyDescent="0.25">
      <c r="A428" s="12" t="s">
        <v>5</v>
      </c>
      <c r="B428" s="12">
        <v>-3</v>
      </c>
      <c r="C428" s="12">
        <v>0.526084</v>
      </c>
      <c r="D428" s="12">
        <v>7.9363400000000001E-2</v>
      </c>
      <c r="E428" s="12">
        <v>0.23890800000000001</v>
      </c>
      <c r="F428" s="12">
        <v>-3</v>
      </c>
      <c r="G428" s="12">
        <v>45.399299999999997</v>
      </c>
      <c r="H428" s="12">
        <v>81</v>
      </c>
      <c r="I428" s="12">
        <v>1.67266</v>
      </c>
      <c r="J428" s="12" t="s">
        <v>3</v>
      </c>
      <c r="K428" s="12">
        <v>0</v>
      </c>
      <c r="M428">
        <f>MATCH(C428,script.out!B:B,0)</f>
        <v>205</v>
      </c>
      <c r="N428">
        <f>INDEX(script.out!B:B,results.txt!$M428)</f>
        <v>0.526084</v>
      </c>
      <c r="O428">
        <f>INDEX(script.out!C:C,results.txt!$M428)</f>
        <v>7.9363400000000001E-2</v>
      </c>
      <c r="P428">
        <f>INDEX(script.out!D:D,results.txt!$M428)</f>
        <v>0.23890800000000001</v>
      </c>
      <c r="Q428">
        <f>INDEX(script.out!E:E,results.txt!$M428)</f>
        <v>45.399263458869697</v>
      </c>
      <c r="R428">
        <f>INDEX(script.out!F:F,results.txt!$M428)</f>
        <v>81</v>
      </c>
      <c r="S428">
        <f>INDEX(script.out!G:G,results.txt!$M428)</f>
        <v>1.6726638663914399</v>
      </c>
      <c r="T428" t="str">
        <f>INDEX(script.out!H:H,results.txt!$M428)</f>
        <v>{</v>
      </c>
      <c r="U428">
        <f>INDEX(script.out!I:I,results.txt!$M428)</f>
        <v>0.72086700000000004</v>
      </c>
      <c r="V428">
        <f>INDEX(script.out!J:J,results.txt!$M428)</f>
        <v>139.68170000000001</v>
      </c>
      <c r="W428">
        <f>INDEX(script.out!K:K,results.txt!$M428)</f>
        <v>150.95572000000001</v>
      </c>
      <c r="X428" t="str">
        <f>INDEX(script.out!L:L,results.txt!$M428)</f>
        <v>}</v>
      </c>
      <c r="Y428" t="str">
        <f>INDEX(script.out!M:M,results.txt!$M428)</f>
        <v>{</v>
      </c>
      <c r="Z428">
        <f>INDEX(script.out!N:N,results.txt!$M428)</f>
        <v>16.7378975547918</v>
      </c>
      <c r="AA428">
        <f>INDEX(script.out!O:O,results.txt!$M428)</f>
        <v>17</v>
      </c>
      <c r="AB428">
        <f>INDEX(script.out!P:P,results.txt!$M428)</f>
        <v>7772.06</v>
      </c>
      <c r="AC428" t="str">
        <f>INDEX(script.out!Q:Q,results.txt!$M428)</f>
        <v>}</v>
      </c>
      <c r="AD428">
        <f t="shared" si="6"/>
        <v>2</v>
      </c>
    </row>
    <row r="429" spans="1:30" x14ac:dyDescent="0.25">
      <c r="A429" s="12" t="s">
        <v>5</v>
      </c>
      <c r="B429" s="12">
        <v>-3</v>
      </c>
      <c r="C429" s="12">
        <v>0.45910299999999998</v>
      </c>
      <c r="D429" s="12">
        <v>4.5348699999999999E-2</v>
      </c>
      <c r="E429" s="12">
        <v>0.179395</v>
      </c>
      <c r="F429" s="12">
        <v>-3</v>
      </c>
      <c r="G429" s="12">
        <v>22.089300000000001</v>
      </c>
      <c r="H429" s="12">
        <v>110.25</v>
      </c>
      <c r="I429" s="12">
        <v>1.8310199999999999E-2</v>
      </c>
      <c r="J429" s="12" t="s">
        <v>3</v>
      </c>
      <c r="K429" s="12">
        <v>0</v>
      </c>
      <c r="M429">
        <f>MATCH(C429,script.out!B:B,0)</f>
        <v>218</v>
      </c>
      <c r="N429">
        <f>INDEX(script.out!B:B,results.txt!$M429)</f>
        <v>0.45910299999999998</v>
      </c>
      <c r="O429">
        <f>INDEX(script.out!C:C,results.txt!$M429)</f>
        <v>4.5348699999999999E-2</v>
      </c>
      <c r="P429">
        <f>INDEX(script.out!D:D,results.txt!$M429)</f>
        <v>0.179395</v>
      </c>
      <c r="Q429">
        <f>INDEX(script.out!E:E,results.txt!$M429)</f>
        <v>22.089307726237401</v>
      </c>
      <c r="R429">
        <f>INDEX(script.out!F:F,results.txt!$M429)</f>
        <v>110.25</v>
      </c>
      <c r="S429">
        <f>INDEX(script.out!G:G,results.txt!$M429)</f>
        <v>1.8310167761306E-2</v>
      </c>
      <c r="T429" t="str">
        <f>INDEX(script.out!H:H,results.txt!$M429)</f>
        <v>{</v>
      </c>
      <c r="U429">
        <f>INDEX(script.out!I:I,results.txt!$M429)</f>
        <v>0.66728200000000004</v>
      </c>
      <c r="V429">
        <f>INDEX(script.out!J:J,results.txt!$M429)</f>
        <v>122.67435</v>
      </c>
      <c r="W429">
        <f>INDEX(script.out!K:K,results.txt!$M429)</f>
        <v>115.84305000000001</v>
      </c>
      <c r="X429" t="str">
        <f>INDEX(script.out!L:L,results.txt!$M429)</f>
        <v>}</v>
      </c>
      <c r="Y429" t="str">
        <f>INDEX(script.out!M:M,results.txt!$M429)</f>
        <v>{</v>
      </c>
      <c r="Z429">
        <f>INDEX(script.out!N:N,results.txt!$M429)</f>
        <v>14.699926353278</v>
      </c>
      <c r="AA429">
        <f>INDEX(script.out!O:O,results.txt!$M429)</f>
        <v>18.5</v>
      </c>
      <c r="AB429">
        <f>INDEX(script.out!P:P,results.txt!$M429)</f>
        <v>7250.61</v>
      </c>
      <c r="AC429" t="str">
        <f>INDEX(script.out!Q:Q,results.txt!$M429)</f>
        <v>}</v>
      </c>
      <c r="AD429">
        <f t="shared" si="6"/>
        <v>2</v>
      </c>
    </row>
    <row r="430" spans="1:30" x14ac:dyDescent="0.25">
      <c r="A430" s="12" t="s">
        <v>5</v>
      </c>
      <c r="B430" s="12">
        <v>-3</v>
      </c>
      <c r="C430" s="12">
        <v>9.0392100000000003E-2</v>
      </c>
      <c r="D430" s="12">
        <v>4.2994900000000003E-2</v>
      </c>
      <c r="E430" s="12">
        <v>0.19017999999999999</v>
      </c>
      <c r="F430" s="12">
        <v>-3</v>
      </c>
      <c r="G430" s="12">
        <v>20.7836</v>
      </c>
      <c r="H430" s="12">
        <v>90.25</v>
      </c>
      <c r="I430" s="12">
        <v>56.951999999999998</v>
      </c>
      <c r="J430" s="12" t="s">
        <v>3</v>
      </c>
      <c r="K430" s="12">
        <v>0</v>
      </c>
      <c r="M430">
        <f>MATCH(C430,script.out!B:B,0)</f>
        <v>272</v>
      </c>
      <c r="N430">
        <f>INDEX(script.out!B:B,results.txt!$M430)</f>
        <v>9.0392100000000003E-2</v>
      </c>
      <c r="O430">
        <f>INDEX(script.out!C:C,results.txt!$M430)</f>
        <v>4.2994900000000003E-2</v>
      </c>
      <c r="P430">
        <f>INDEX(script.out!D:D,results.txt!$M430)</f>
        <v>0.19017999999999999</v>
      </c>
      <c r="Q430">
        <f>INDEX(script.out!E:E,results.txt!$M430)</f>
        <v>20.7835671954949</v>
      </c>
      <c r="R430">
        <f>INDEX(script.out!F:F,results.txt!$M430)</f>
        <v>90.25</v>
      </c>
      <c r="S430">
        <f>INDEX(script.out!G:G,results.txt!$M430)</f>
        <v>56.952039939200603</v>
      </c>
      <c r="T430" t="str">
        <f>INDEX(script.out!H:H,results.txt!$M430)</f>
        <v>{</v>
      </c>
      <c r="U430">
        <f>INDEX(script.out!I:I,results.txt!$M430)</f>
        <v>0.37231360000000002</v>
      </c>
      <c r="V430">
        <f>INDEX(script.out!J:J,results.txt!$M430)</f>
        <v>121.49745</v>
      </c>
      <c r="W430">
        <f>INDEX(script.out!K:K,results.txt!$M430)</f>
        <v>122.2062</v>
      </c>
      <c r="X430" t="str">
        <f>INDEX(script.out!L:L,results.txt!$M430)</f>
        <v>}</v>
      </c>
      <c r="Y430" t="str">
        <f>INDEX(script.out!M:M,results.txt!$M430)</f>
        <v>{</v>
      </c>
      <c r="Z430">
        <f>INDEX(script.out!N:N,results.txt!$M430)</f>
        <v>14.558899779057899</v>
      </c>
      <c r="AA430">
        <f>INDEX(script.out!O:O,results.txt!$M430)</f>
        <v>17.5</v>
      </c>
      <c r="AB430">
        <f>INDEX(script.out!P:P,results.txt!$M430)</f>
        <v>4545.47</v>
      </c>
      <c r="AC430" t="str">
        <f>INDEX(script.out!Q:Q,results.txt!$M430)</f>
        <v>}</v>
      </c>
      <c r="AD430">
        <f t="shared" si="6"/>
        <v>2</v>
      </c>
    </row>
    <row r="431" spans="1:30" x14ac:dyDescent="0.25">
      <c r="A431" s="12" t="s">
        <v>5</v>
      </c>
      <c r="B431" s="12">
        <v>-3</v>
      </c>
      <c r="C431" s="12">
        <v>1.1128100000000001</v>
      </c>
      <c r="D431" s="12">
        <v>1.16729E-2</v>
      </c>
      <c r="E431" s="12">
        <v>0.65715800000000002</v>
      </c>
      <c r="F431" s="12">
        <v>-3</v>
      </c>
      <c r="G431" s="12">
        <v>7.1945199999999998</v>
      </c>
      <c r="H431" s="12">
        <v>56.25</v>
      </c>
      <c r="I431" s="12">
        <v>257.84500000000003</v>
      </c>
      <c r="J431" s="12" t="s">
        <v>3</v>
      </c>
      <c r="K431" s="12">
        <v>0</v>
      </c>
      <c r="M431">
        <f>MATCH(C431,script.out!B:B,0)</f>
        <v>278</v>
      </c>
      <c r="N431">
        <f>INDEX(script.out!B:B,results.txt!$M431)</f>
        <v>1.1128100000000001</v>
      </c>
      <c r="O431">
        <f>INDEX(script.out!C:C,results.txt!$M431)</f>
        <v>1.16729E-2</v>
      </c>
      <c r="P431">
        <f>INDEX(script.out!D:D,results.txt!$M431)</f>
        <v>0.65715800000000002</v>
      </c>
      <c r="Q431">
        <f>INDEX(script.out!E:E,results.txt!$M431)</f>
        <v>7.1945195149123604</v>
      </c>
      <c r="R431">
        <f>INDEX(script.out!F:F,results.txt!$M431)</f>
        <v>56.25</v>
      </c>
      <c r="S431">
        <f>INDEX(script.out!G:G,results.txt!$M431)</f>
        <v>257.84528594557997</v>
      </c>
      <c r="T431" t="str">
        <f>INDEX(script.out!H:H,results.txt!$M431)</f>
        <v>{</v>
      </c>
      <c r="U431">
        <f>INDEX(script.out!I:I,results.txt!$M431)</f>
        <v>1.19024</v>
      </c>
      <c r="V431">
        <f>INDEX(script.out!J:J,results.txt!$M431)</f>
        <v>105.83645</v>
      </c>
      <c r="W431">
        <f>INDEX(script.out!K:K,results.txt!$M431)</f>
        <v>397.72322000000003</v>
      </c>
      <c r="X431" t="str">
        <f>INDEX(script.out!L:L,results.txt!$M431)</f>
        <v>}</v>
      </c>
      <c r="Y431" t="str">
        <f>INDEX(script.out!M:M,results.txt!$M431)</f>
        <v>{</v>
      </c>
      <c r="Z431">
        <f>INDEX(script.out!N:N,results.txt!$M431)</f>
        <v>12.682260150491</v>
      </c>
      <c r="AA431">
        <f>INDEX(script.out!O:O,results.txt!$M431)</f>
        <v>15.5</v>
      </c>
      <c r="AB431">
        <f>INDEX(script.out!P:P,results.txt!$M431)</f>
        <v>1438.99</v>
      </c>
      <c r="AC431" t="str">
        <f>INDEX(script.out!Q:Q,results.txt!$M431)</f>
        <v>}</v>
      </c>
      <c r="AD431">
        <f t="shared" si="6"/>
        <v>2</v>
      </c>
    </row>
    <row r="432" spans="1:30" x14ac:dyDescent="0.25">
      <c r="A432" s="12" t="s">
        <v>5</v>
      </c>
      <c r="B432" s="12">
        <v>-3</v>
      </c>
      <c r="C432" s="12">
        <v>0.98371500000000001</v>
      </c>
      <c r="D432" s="12">
        <v>0.310859</v>
      </c>
      <c r="E432" s="12">
        <v>0.60073299999999996</v>
      </c>
      <c r="F432" s="12">
        <v>-3</v>
      </c>
      <c r="G432" s="12">
        <v>424.68200000000002</v>
      </c>
      <c r="H432" s="12">
        <v>30.25</v>
      </c>
      <c r="I432" s="12">
        <v>2.37168</v>
      </c>
      <c r="J432" s="12" t="s">
        <v>3</v>
      </c>
      <c r="K432" s="12">
        <v>0</v>
      </c>
      <c r="M432">
        <f>MATCH(C432,script.out!B:B,0)</f>
        <v>284</v>
      </c>
      <c r="N432">
        <f>INDEX(script.out!B:B,results.txt!$M432)</f>
        <v>0.98371500000000001</v>
      </c>
      <c r="O432">
        <f>INDEX(script.out!C:C,results.txt!$M432)</f>
        <v>0.310859</v>
      </c>
      <c r="P432">
        <f>INDEX(script.out!D:D,results.txt!$M432)</f>
        <v>0.60073299999999996</v>
      </c>
      <c r="Q432">
        <f>INDEX(script.out!E:E,results.txt!$M432)</f>
        <v>424.682384595104</v>
      </c>
      <c r="R432">
        <f>INDEX(script.out!F:F,results.txt!$M432)</f>
        <v>30.25</v>
      </c>
      <c r="S432">
        <f>INDEX(script.out!G:G,results.txt!$M432)</f>
        <v>2.3716843843122501</v>
      </c>
      <c r="T432" t="str">
        <f>INDEX(script.out!H:H,results.txt!$M432)</f>
        <v>{</v>
      </c>
      <c r="U432">
        <f>INDEX(script.out!I:I,results.txt!$M432)</f>
        <v>1.086972</v>
      </c>
      <c r="V432">
        <f>INDEX(script.out!J:J,results.txt!$M432)</f>
        <v>255.42949999999999</v>
      </c>
      <c r="W432">
        <f>INDEX(script.out!K:K,results.txt!$M432)</f>
        <v>364.43247000000002</v>
      </c>
      <c r="X432" t="str">
        <f>INDEX(script.out!L:L,results.txt!$M432)</f>
        <v>}</v>
      </c>
      <c r="Y432" t="str">
        <f>INDEX(script.out!M:M,results.txt!$M432)</f>
        <v>{</v>
      </c>
      <c r="Z432">
        <f>INDEX(script.out!N:N,results.txt!$M432)</f>
        <v>30.607823383246998</v>
      </c>
      <c r="AA432">
        <f>INDEX(script.out!O:O,results.txt!$M432)</f>
        <v>13.5</v>
      </c>
      <c r="AB432">
        <f>INDEX(script.out!P:P,results.txt!$M432)</f>
        <v>6737.89</v>
      </c>
      <c r="AC432" t="str">
        <f>INDEX(script.out!Q:Q,results.txt!$M432)</f>
        <v>}</v>
      </c>
      <c r="AD432">
        <f t="shared" si="6"/>
        <v>2</v>
      </c>
    </row>
    <row r="433" spans="1:30" x14ac:dyDescent="0.25">
      <c r="A433" s="12" t="s">
        <v>5</v>
      </c>
      <c r="B433" s="12">
        <v>-3</v>
      </c>
      <c r="C433" s="12">
        <v>1.0400199999999999</v>
      </c>
      <c r="D433" s="12">
        <v>1.41253E-2</v>
      </c>
      <c r="E433" s="12">
        <v>0.622471</v>
      </c>
      <c r="F433" s="12">
        <v>-3</v>
      </c>
      <c r="G433" s="12">
        <v>8.0043399999999991</v>
      </c>
      <c r="H433" s="12">
        <v>64</v>
      </c>
      <c r="I433" s="12">
        <v>248.83099999999999</v>
      </c>
      <c r="J433" s="12" t="s">
        <v>3</v>
      </c>
      <c r="K433" s="12">
        <v>0</v>
      </c>
      <c r="M433">
        <f>MATCH(C433,script.out!B:B,0)</f>
        <v>293</v>
      </c>
      <c r="N433">
        <f>INDEX(script.out!B:B,results.txt!$M433)</f>
        <v>1.0400199999999999</v>
      </c>
      <c r="O433">
        <f>INDEX(script.out!C:C,results.txt!$M433)</f>
        <v>1.41253E-2</v>
      </c>
      <c r="P433">
        <f>INDEX(script.out!D:D,results.txt!$M433)</f>
        <v>0.622471</v>
      </c>
      <c r="Q433">
        <f>INDEX(script.out!E:E,results.txt!$M433)</f>
        <v>8.00434031383997</v>
      </c>
      <c r="R433">
        <f>INDEX(script.out!F:F,results.txt!$M433)</f>
        <v>64</v>
      </c>
      <c r="S433">
        <f>INDEX(script.out!G:G,results.txt!$M433)</f>
        <v>248.831176749859</v>
      </c>
      <c r="T433" t="str">
        <f>INDEX(script.out!H:H,results.txt!$M433)</f>
        <v>{</v>
      </c>
      <c r="U433">
        <f>INDEX(script.out!I:I,results.txt!$M433)</f>
        <v>1.13201</v>
      </c>
      <c r="V433">
        <f>INDEX(script.out!J:J,results.txt!$M433)</f>
        <v>107.06265</v>
      </c>
      <c r="W433">
        <f>INDEX(script.out!K:K,results.txt!$M433)</f>
        <v>377.25788999999997</v>
      </c>
      <c r="X433" t="str">
        <f>INDEX(script.out!L:L,results.txt!$M433)</f>
        <v>}</v>
      </c>
      <c r="Y433" t="str">
        <f>INDEX(script.out!M:M,results.txt!$M433)</f>
        <v>{</v>
      </c>
      <c r="Z433">
        <f>INDEX(script.out!N:N,results.txt!$M433)</f>
        <v>12.829194287043499</v>
      </c>
      <c r="AA433">
        <f>INDEX(script.out!O:O,results.txt!$M433)</f>
        <v>16</v>
      </c>
      <c r="AB433">
        <f>INDEX(script.out!P:P,results.txt!$M433)</f>
        <v>1542.35</v>
      </c>
      <c r="AC433" t="str">
        <f>INDEX(script.out!Q:Q,results.txt!$M433)</f>
        <v>}</v>
      </c>
      <c r="AD433">
        <f t="shared" si="6"/>
        <v>2</v>
      </c>
    </row>
    <row r="434" spans="1:30" x14ac:dyDescent="0.25">
      <c r="A434" s="12" t="s">
        <v>5</v>
      </c>
      <c r="B434" s="12">
        <v>-3</v>
      </c>
      <c r="C434" s="12">
        <v>0.162244</v>
      </c>
      <c r="D434" s="12">
        <v>-3.34326E-2</v>
      </c>
      <c r="E434" s="12">
        <v>0.18544099999999999</v>
      </c>
      <c r="F434" s="12">
        <v>-3</v>
      </c>
      <c r="G434" s="12">
        <v>4.0844200000000002E-4</v>
      </c>
      <c r="H434" s="12">
        <v>144</v>
      </c>
      <c r="I434" s="12">
        <v>103.658</v>
      </c>
      <c r="J434" s="12" t="s">
        <v>3</v>
      </c>
      <c r="K434" s="12">
        <v>0</v>
      </c>
      <c r="M434">
        <f>MATCH(C434,script.out!B:B,0)</f>
        <v>300</v>
      </c>
      <c r="N434">
        <f>INDEX(script.out!B:B,results.txt!$M434)</f>
        <v>0.162244</v>
      </c>
      <c r="O434">
        <f>INDEX(script.out!C:C,results.txt!$M434)</f>
        <v>-3.34326E-2</v>
      </c>
      <c r="P434">
        <f>INDEX(script.out!D:D,results.txt!$M434)</f>
        <v>0.18544099999999999</v>
      </c>
      <c r="Q434">
        <f>INDEX(script.out!E:E,results.txt!$M434)</f>
        <v>4.0844243871109498E-4</v>
      </c>
      <c r="R434">
        <f>INDEX(script.out!F:F,results.txt!$M434)</f>
        <v>144</v>
      </c>
      <c r="S434">
        <f>INDEX(script.out!G:G,results.txt!$M434)</f>
        <v>103.657502889848</v>
      </c>
      <c r="T434" t="str">
        <f>INDEX(script.out!H:H,results.txt!$M434)</f>
        <v>{</v>
      </c>
      <c r="U434">
        <f>INDEX(script.out!I:I,results.txt!$M434)</f>
        <v>0.42979499999999998</v>
      </c>
      <c r="V434">
        <f>INDEX(script.out!J:J,results.txt!$M434)</f>
        <v>83.283699999999996</v>
      </c>
      <c r="W434">
        <f>INDEX(script.out!K:K,results.txt!$M434)</f>
        <v>119.41019</v>
      </c>
      <c r="X434" t="str">
        <f>INDEX(script.out!L:L,results.txt!$M434)</f>
        <v>}</v>
      </c>
      <c r="Y434" t="str">
        <f>INDEX(script.out!M:M,results.txt!$M434)</f>
        <v>{</v>
      </c>
      <c r="Z434">
        <f>INDEX(script.out!N:N,results.txt!$M434)</f>
        <v>9.9797900411006992</v>
      </c>
      <c r="AA434">
        <f>INDEX(script.out!O:O,results.txt!$M434)</f>
        <v>20</v>
      </c>
      <c r="AB434">
        <f>INDEX(script.out!P:P,results.txt!$M434)</f>
        <v>3583.85</v>
      </c>
      <c r="AC434" t="str">
        <f>INDEX(script.out!Q:Q,results.txt!$M434)</f>
        <v>}</v>
      </c>
      <c r="AD434">
        <f t="shared" si="6"/>
        <v>2</v>
      </c>
    </row>
    <row r="435" spans="1:30" x14ac:dyDescent="0.25">
      <c r="A435" s="12" t="s">
        <v>5</v>
      </c>
      <c r="B435" s="12">
        <v>-3</v>
      </c>
      <c r="C435" s="12">
        <v>0.83097100000000002</v>
      </c>
      <c r="D435" s="12">
        <v>-8.7953000000000007E-3</v>
      </c>
      <c r="E435" s="12">
        <v>0.77599300000000004</v>
      </c>
      <c r="F435" s="12">
        <v>-3</v>
      </c>
      <c r="G435" s="12">
        <v>2.1196999999999999</v>
      </c>
      <c r="H435" s="12">
        <v>90.25</v>
      </c>
      <c r="I435" s="12">
        <v>277.08100000000002</v>
      </c>
      <c r="J435" s="12" t="s">
        <v>3</v>
      </c>
      <c r="K435" s="12">
        <v>0</v>
      </c>
      <c r="M435">
        <f>MATCH(C435,script.out!B:B,0)</f>
        <v>301</v>
      </c>
      <c r="N435">
        <f>INDEX(script.out!B:B,results.txt!$M435)</f>
        <v>0.83097100000000002</v>
      </c>
      <c r="O435">
        <f>INDEX(script.out!C:C,results.txt!$M435)</f>
        <v>-8.7953000000000007E-3</v>
      </c>
      <c r="P435">
        <f>INDEX(script.out!D:D,results.txt!$M435)</f>
        <v>0.77599300000000004</v>
      </c>
      <c r="Q435">
        <f>INDEX(script.out!E:E,results.txt!$M435)</f>
        <v>2.1197022049067602</v>
      </c>
      <c r="R435">
        <f>INDEX(script.out!F:F,results.txt!$M435)</f>
        <v>90.25</v>
      </c>
      <c r="S435">
        <f>INDEX(script.out!G:G,results.txt!$M435)</f>
        <v>277.08110707449799</v>
      </c>
      <c r="T435" t="str">
        <f>INDEX(script.out!H:H,results.txt!$M435)</f>
        <v>{</v>
      </c>
      <c r="U435">
        <f>INDEX(script.out!I:I,results.txt!$M435)</f>
        <v>0.96477599999999997</v>
      </c>
      <c r="V435">
        <f>INDEX(script.out!J:J,results.txt!$M435)</f>
        <v>95.602350000000001</v>
      </c>
      <c r="W435">
        <f>INDEX(script.out!K:K,results.txt!$M435)</f>
        <v>467.83587</v>
      </c>
      <c r="X435" t="str">
        <f>INDEX(script.out!L:L,results.txt!$M435)</f>
        <v>}</v>
      </c>
      <c r="Y435" t="str">
        <f>INDEX(script.out!M:M,results.txt!$M435)</f>
        <v>{</v>
      </c>
      <c r="Z435">
        <f>INDEX(script.out!N:N,results.txt!$M435)</f>
        <v>11.455919711009701</v>
      </c>
      <c r="AA435">
        <f>INDEX(script.out!O:O,results.txt!$M435)</f>
        <v>17.5</v>
      </c>
      <c r="AB435">
        <f>INDEX(script.out!P:P,results.txt!$M435)</f>
        <v>1224.3</v>
      </c>
      <c r="AC435" t="str">
        <f>INDEX(script.out!Q:Q,results.txt!$M435)</f>
        <v>}</v>
      </c>
      <c r="AD435">
        <f t="shared" si="6"/>
        <v>2</v>
      </c>
    </row>
    <row r="436" spans="1:30" x14ac:dyDescent="0.25">
      <c r="A436" s="12" t="s">
        <v>5</v>
      </c>
      <c r="B436" s="12">
        <v>-3</v>
      </c>
      <c r="C436" s="12">
        <v>1.0307900000000001</v>
      </c>
      <c r="D436" s="12">
        <v>3.1551500000000003E-2</v>
      </c>
      <c r="E436" s="12">
        <v>0.65731399999999995</v>
      </c>
      <c r="F436" s="12">
        <v>-3</v>
      </c>
      <c r="G436" s="12">
        <v>15.0023</v>
      </c>
      <c r="H436" s="12">
        <v>56.25</v>
      </c>
      <c r="I436" s="12">
        <v>219.416</v>
      </c>
      <c r="J436" s="12" t="s">
        <v>3</v>
      </c>
      <c r="K436" s="12">
        <v>0</v>
      </c>
      <c r="M436">
        <f>MATCH(C436,script.out!B:B,0)</f>
        <v>333</v>
      </c>
      <c r="N436">
        <f>INDEX(script.out!B:B,results.txt!$M436)</f>
        <v>1.0307900000000001</v>
      </c>
      <c r="O436">
        <f>INDEX(script.out!C:C,results.txt!$M436)</f>
        <v>3.1551500000000003E-2</v>
      </c>
      <c r="P436">
        <f>INDEX(script.out!D:D,results.txt!$M436)</f>
        <v>0.65731399999999995</v>
      </c>
      <c r="Q436">
        <f>INDEX(script.out!E:E,results.txt!$M436)</f>
        <v>15.0022595728895</v>
      </c>
      <c r="R436">
        <f>INDEX(script.out!F:F,results.txt!$M436)</f>
        <v>56.25</v>
      </c>
      <c r="S436">
        <f>INDEX(script.out!G:G,results.txt!$M436)</f>
        <v>219.41644653480901</v>
      </c>
      <c r="T436" t="str">
        <f>INDEX(script.out!H:H,results.txt!$M436)</f>
        <v>{</v>
      </c>
      <c r="U436">
        <f>INDEX(script.out!I:I,results.txt!$M436)</f>
        <v>1.12463</v>
      </c>
      <c r="V436">
        <f>INDEX(script.out!J:J,results.txt!$M436)</f>
        <v>115.77575</v>
      </c>
      <c r="W436">
        <f>INDEX(script.out!K:K,results.txt!$M436)</f>
        <v>397.81526000000002</v>
      </c>
      <c r="X436" t="str">
        <f>INDEX(script.out!L:L,results.txt!$M436)</f>
        <v>}</v>
      </c>
      <c r="Y436" t="str">
        <f>INDEX(script.out!M:M,results.txt!$M436)</f>
        <v>{</v>
      </c>
      <c r="Z436">
        <f>INDEX(script.out!N:N,results.txt!$M436)</f>
        <v>13.873275044828199</v>
      </c>
      <c r="AA436">
        <f>INDEX(script.out!O:O,results.txt!$M436)</f>
        <v>15.5</v>
      </c>
      <c r="AB436">
        <f>INDEX(script.out!P:P,results.txt!$M436)</f>
        <v>1893.36</v>
      </c>
      <c r="AC436" t="str">
        <f>INDEX(script.out!Q:Q,results.txt!$M436)</f>
        <v>}</v>
      </c>
      <c r="AD436">
        <f t="shared" si="6"/>
        <v>2</v>
      </c>
    </row>
    <row r="437" spans="1:30" x14ac:dyDescent="0.25">
      <c r="A437" s="12" t="s">
        <v>5</v>
      </c>
      <c r="B437" s="12">
        <v>-3</v>
      </c>
      <c r="C437" s="12">
        <v>0.89517199999999997</v>
      </c>
      <c r="D437" s="12">
        <v>0.30956400000000001</v>
      </c>
      <c r="E437" s="12">
        <v>0.56771400000000005</v>
      </c>
      <c r="F437" s="12">
        <v>-3</v>
      </c>
      <c r="G437" s="12">
        <v>421.49099999999999</v>
      </c>
      <c r="H437" s="12">
        <v>36</v>
      </c>
      <c r="I437" s="12">
        <v>0.38518200000000002</v>
      </c>
      <c r="J437" s="12" t="s">
        <v>3</v>
      </c>
      <c r="K437" s="12">
        <v>0</v>
      </c>
      <c r="M437">
        <f>MATCH(C437,script.out!B:B,0)</f>
        <v>339</v>
      </c>
      <c r="N437">
        <f>INDEX(script.out!B:B,results.txt!$M437)</f>
        <v>0.89517199999999997</v>
      </c>
      <c r="O437">
        <f>INDEX(script.out!C:C,results.txt!$M437)</f>
        <v>0.30956400000000001</v>
      </c>
      <c r="P437">
        <f>INDEX(script.out!D:D,results.txt!$M437)</f>
        <v>0.56771400000000005</v>
      </c>
      <c r="Q437">
        <f>INDEX(script.out!E:E,results.txt!$M437)</f>
        <v>421.49051640997902</v>
      </c>
      <c r="R437">
        <f>INDEX(script.out!F:F,results.txt!$M437)</f>
        <v>36</v>
      </c>
      <c r="S437">
        <f>INDEX(script.out!G:G,results.txt!$M437)</f>
        <v>0.38518176693563499</v>
      </c>
      <c r="T437" t="str">
        <f>INDEX(script.out!H:H,results.txt!$M437)</f>
        <v>{</v>
      </c>
      <c r="U437">
        <f>INDEX(script.out!I:I,results.txt!$M437)</f>
        <v>1.0161370000000001</v>
      </c>
      <c r="V437">
        <f>INDEX(script.out!J:J,results.txt!$M437)</f>
        <v>254.78200000000001</v>
      </c>
      <c r="W437">
        <f>INDEX(script.out!K:K,results.txt!$M437)</f>
        <v>344.95125999999999</v>
      </c>
      <c r="X437" t="str">
        <f>INDEX(script.out!L:L,results.txt!$M437)</f>
        <v>}</v>
      </c>
      <c r="Y437" t="str">
        <f>INDEX(script.out!M:M,results.txt!$M437)</f>
        <v>{</v>
      </c>
      <c r="Z437">
        <f>INDEX(script.out!N:N,results.txt!$M437)</f>
        <v>30.5302342025116</v>
      </c>
      <c r="AA437">
        <f>INDEX(script.out!O:O,results.txt!$M437)</f>
        <v>14</v>
      </c>
      <c r="AB437">
        <f>INDEX(script.out!P:P,results.txt!$M437)</f>
        <v>7073.47</v>
      </c>
      <c r="AC437" t="str">
        <f>INDEX(script.out!Q:Q,results.txt!$M437)</f>
        <v>}</v>
      </c>
      <c r="AD437">
        <f t="shared" si="6"/>
        <v>2</v>
      </c>
    </row>
    <row r="438" spans="1:30" x14ac:dyDescent="0.25">
      <c r="A438" s="12" t="s">
        <v>5</v>
      </c>
      <c r="B438" s="12">
        <v>-3</v>
      </c>
      <c r="C438" s="12">
        <v>1.0560400000000001</v>
      </c>
      <c r="D438" s="12">
        <v>0.10141600000000001</v>
      </c>
      <c r="E438" s="12">
        <v>0.64420699999999997</v>
      </c>
      <c r="F438" s="12">
        <v>-3</v>
      </c>
      <c r="G438" s="12">
        <v>64.950199999999995</v>
      </c>
      <c r="H438" s="12">
        <v>36</v>
      </c>
      <c r="I438" s="12">
        <v>135.78100000000001</v>
      </c>
      <c r="J438" s="12" t="s">
        <v>3</v>
      </c>
      <c r="K438" s="12">
        <v>0</v>
      </c>
      <c r="M438">
        <f>MATCH(C438,script.out!B:B,0)</f>
        <v>380</v>
      </c>
      <c r="N438">
        <f>INDEX(script.out!B:B,results.txt!$M438)</f>
        <v>1.0560400000000001</v>
      </c>
      <c r="O438">
        <f>INDEX(script.out!C:C,results.txt!$M438)</f>
        <v>0.10141600000000001</v>
      </c>
      <c r="P438">
        <f>INDEX(script.out!D:D,results.txt!$M438)</f>
        <v>0.64420699999999997</v>
      </c>
      <c r="Q438">
        <f>INDEX(script.out!E:E,results.txt!$M438)</f>
        <v>64.950163218979995</v>
      </c>
      <c r="R438">
        <f>INDEX(script.out!F:F,results.txt!$M438)</f>
        <v>36</v>
      </c>
      <c r="S438">
        <f>INDEX(script.out!G:G,results.txt!$M438)</f>
        <v>135.781235120285</v>
      </c>
      <c r="T438" t="str">
        <f>INDEX(script.out!H:H,results.txt!$M438)</f>
        <v>{</v>
      </c>
      <c r="U438">
        <f>INDEX(script.out!I:I,results.txt!$M438)</f>
        <v>1.14483</v>
      </c>
      <c r="V438">
        <f>INDEX(script.out!J:J,results.txt!$M438)</f>
        <v>150.708</v>
      </c>
      <c r="W438">
        <f>INDEX(script.out!K:K,results.txt!$M438)</f>
        <v>390.08213000000001</v>
      </c>
      <c r="X438" t="str">
        <f>INDEX(script.out!L:L,results.txt!$M438)</f>
        <v>}</v>
      </c>
      <c r="Y438" t="str">
        <f>INDEX(script.out!M:M,results.txt!$M438)</f>
        <v>{</v>
      </c>
      <c r="Z438">
        <f>INDEX(script.out!N:N,results.txt!$M438)</f>
        <v>18.059166409684</v>
      </c>
      <c r="AA438">
        <f>INDEX(script.out!O:O,results.txt!$M438)</f>
        <v>14</v>
      </c>
      <c r="AB438">
        <f>INDEX(script.out!P:P,results.txt!$M438)</f>
        <v>3046.83</v>
      </c>
      <c r="AC438" t="str">
        <f>INDEX(script.out!Q:Q,results.txt!$M438)</f>
        <v>}</v>
      </c>
      <c r="AD438">
        <f t="shared" si="6"/>
        <v>2</v>
      </c>
    </row>
    <row r="439" spans="1:30" x14ac:dyDescent="0.25">
      <c r="A439" s="12" t="s">
        <v>5</v>
      </c>
      <c r="B439" s="12">
        <v>-3</v>
      </c>
      <c r="C439" s="12">
        <v>1.10616</v>
      </c>
      <c r="D439" s="12">
        <v>-3.3149600000000001E-2</v>
      </c>
      <c r="E439" s="12">
        <v>0.65562799999999999</v>
      </c>
      <c r="F439" s="12">
        <v>-3</v>
      </c>
      <c r="G439" s="13">
        <v>1.05897E-5</v>
      </c>
      <c r="H439" s="12">
        <v>72.25</v>
      </c>
      <c r="I439" s="12">
        <v>298.19099999999997</v>
      </c>
      <c r="J439" s="12" t="s">
        <v>3</v>
      </c>
      <c r="K439" s="12">
        <v>0</v>
      </c>
      <c r="M439">
        <f>MATCH(C439,script.out!B:B,0)</f>
        <v>398</v>
      </c>
      <c r="N439">
        <f>INDEX(script.out!B:B,results.txt!$M439)</f>
        <v>1.10616</v>
      </c>
      <c r="O439">
        <f>INDEX(script.out!C:C,results.txt!$M439)</f>
        <v>-3.3149600000000001E-2</v>
      </c>
      <c r="P439">
        <f>INDEX(script.out!D:D,results.txt!$M439)</f>
        <v>0.65562799999999999</v>
      </c>
      <c r="Q439">
        <f>INDEX(script.out!E:E,results.txt!$M439)</f>
        <v>1.05896649895015E-5</v>
      </c>
      <c r="R439">
        <f>INDEX(script.out!F:F,results.txt!$M439)</f>
        <v>72.25</v>
      </c>
      <c r="S439">
        <f>INDEX(script.out!G:G,results.txt!$M439)</f>
        <v>298.19054199948198</v>
      </c>
      <c r="T439" t="str">
        <f>INDEX(script.out!H:H,results.txt!$M439)</f>
        <v>{</v>
      </c>
      <c r="U439">
        <f>INDEX(script.out!I:I,results.txt!$M439)</f>
        <v>1.18492</v>
      </c>
      <c r="V439">
        <f>INDEX(script.out!J:J,results.txt!$M439)</f>
        <v>83.425200000000004</v>
      </c>
      <c r="W439">
        <f>INDEX(script.out!K:K,results.txt!$M439)</f>
        <v>396.82051999999999</v>
      </c>
      <c r="X439" t="str">
        <f>INDEX(script.out!L:L,results.txt!$M439)</f>
        <v>}</v>
      </c>
      <c r="Y439" t="str">
        <f>INDEX(script.out!M:M,results.txt!$M439)</f>
        <v>{</v>
      </c>
      <c r="Z439">
        <f>INDEX(script.out!N:N,results.txt!$M439)</f>
        <v>9.9967458234544608</v>
      </c>
      <c r="AA439">
        <f>INDEX(script.out!O:O,results.txt!$M439)</f>
        <v>16.5</v>
      </c>
      <c r="AB439">
        <f>INDEX(script.out!P:P,results.txt!$M439)</f>
        <v>997.10900000000004</v>
      </c>
      <c r="AC439" t="str">
        <f>INDEX(script.out!Q:Q,results.txt!$M439)</f>
        <v>}</v>
      </c>
      <c r="AD439">
        <f t="shared" si="6"/>
        <v>2</v>
      </c>
    </row>
    <row r="440" spans="1:30" x14ac:dyDescent="0.25">
      <c r="A440" s="12" t="s">
        <v>5</v>
      </c>
      <c r="B440" s="12">
        <v>-3</v>
      </c>
      <c r="C440" s="12">
        <v>1.03687</v>
      </c>
      <c r="D440" s="12">
        <v>9.6456100000000006E-3</v>
      </c>
      <c r="E440" s="12">
        <v>0.62546900000000005</v>
      </c>
      <c r="F440" s="12">
        <v>-3</v>
      </c>
      <c r="G440" s="12">
        <v>6.5576800000000004</v>
      </c>
      <c r="H440" s="12">
        <v>64</v>
      </c>
      <c r="I440" s="12">
        <v>252.93799999999999</v>
      </c>
      <c r="J440" s="12" t="s">
        <v>3</v>
      </c>
      <c r="K440" s="12">
        <v>0</v>
      </c>
      <c r="M440">
        <f>MATCH(C440,script.out!B:B,0)</f>
        <v>417</v>
      </c>
      <c r="N440">
        <f>INDEX(script.out!B:B,results.txt!$M440)</f>
        <v>1.03687</v>
      </c>
      <c r="O440">
        <f>INDEX(script.out!C:C,results.txt!$M440)</f>
        <v>9.6456100000000006E-3</v>
      </c>
      <c r="P440">
        <f>INDEX(script.out!D:D,results.txt!$M440)</f>
        <v>0.62546900000000005</v>
      </c>
      <c r="Q440">
        <f>INDEX(script.out!E:E,results.txt!$M440)</f>
        <v>6.5576773585659502</v>
      </c>
      <c r="R440">
        <f>INDEX(script.out!F:F,results.txt!$M440)</f>
        <v>64</v>
      </c>
      <c r="S440">
        <f>INDEX(script.out!G:G,results.txt!$M440)</f>
        <v>252.93808745280501</v>
      </c>
      <c r="T440" t="str">
        <f>INDEX(script.out!H:H,results.txt!$M440)</f>
        <v>{</v>
      </c>
      <c r="U440">
        <f>INDEX(script.out!I:I,results.txt!$M440)</f>
        <v>1.1294900000000001</v>
      </c>
      <c r="V440">
        <f>INDEX(script.out!J:J,results.txt!$M440)</f>
        <v>104.822805</v>
      </c>
      <c r="W440">
        <f>INDEX(script.out!K:K,results.txt!$M440)</f>
        <v>379.02670999999998</v>
      </c>
      <c r="X440" t="str">
        <f>INDEX(script.out!L:L,results.txt!$M440)</f>
        <v>}</v>
      </c>
      <c r="Y440" t="str">
        <f>INDEX(script.out!M:M,results.txt!$M440)</f>
        <v>{</v>
      </c>
      <c r="Z440">
        <f>INDEX(script.out!N:N,results.txt!$M440)</f>
        <v>12.560796235268599</v>
      </c>
      <c r="AA440">
        <f>INDEX(script.out!O:O,results.txt!$M440)</f>
        <v>16</v>
      </c>
      <c r="AB440">
        <f>INDEX(script.out!P:P,results.txt!$M440)</f>
        <v>1495.03</v>
      </c>
      <c r="AC440" t="str">
        <f>INDEX(script.out!Q:Q,results.txt!$M440)</f>
        <v>}</v>
      </c>
      <c r="AD440">
        <f t="shared" si="6"/>
        <v>2</v>
      </c>
    </row>
    <row r="441" spans="1:30" x14ac:dyDescent="0.25">
      <c r="A441" s="12" t="s">
        <v>5</v>
      </c>
      <c r="B441" s="12">
        <v>-3</v>
      </c>
      <c r="C441" s="12">
        <v>0.49803900000000001</v>
      </c>
      <c r="D441" s="12">
        <v>8.3862800000000001E-2</v>
      </c>
      <c r="E441" s="12">
        <v>0.26502399999999998</v>
      </c>
      <c r="F441" s="12">
        <v>-3</v>
      </c>
      <c r="G441" s="12">
        <v>49.104700000000001</v>
      </c>
      <c r="H441" s="12">
        <v>81</v>
      </c>
      <c r="I441" s="12">
        <v>4.97229E-2</v>
      </c>
      <c r="J441" s="12" t="s">
        <v>3</v>
      </c>
      <c r="K441" s="12">
        <v>0</v>
      </c>
      <c r="M441">
        <f>MATCH(C441,script.out!B:B,0)</f>
        <v>437</v>
      </c>
      <c r="N441">
        <f>INDEX(script.out!B:B,results.txt!$M441)</f>
        <v>0.49803900000000001</v>
      </c>
      <c r="O441">
        <f>INDEX(script.out!C:C,results.txt!$M441)</f>
        <v>8.3862800000000001E-2</v>
      </c>
      <c r="P441">
        <f>INDEX(script.out!D:D,results.txt!$M441)</f>
        <v>0.26502399999999998</v>
      </c>
      <c r="Q441">
        <f>INDEX(script.out!E:E,results.txt!$M441)</f>
        <v>49.104727176795798</v>
      </c>
      <c r="R441">
        <f>INDEX(script.out!F:F,results.txt!$M441)</f>
        <v>81</v>
      </c>
      <c r="S441">
        <f>INDEX(script.out!G:G,results.txt!$M441)</f>
        <v>4.9722890598611298E-2</v>
      </c>
      <c r="T441" t="str">
        <f>INDEX(script.out!H:H,results.txt!$M441)</f>
        <v>{</v>
      </c>
      <c r="U441">
        <f>INDEX(script.out!I:I,results.txt!$M441)</f>
        <v>0.69843100000000002</v>
      </c>
      <c r="V441">
        <f>INDEX(script.out!J:J,results.txt!$M441)</f>
        <v>141.9314</v>
      </c>
      <c r="W441">
        <f>INDEX(script.out!K:K,results.txt!$M441)</f>
        <v>166.36416</v>
      </c>
      <c r="X441" t="str">
        <f>INDEX(script.out!L:L,results.txt!$M441)</f>
        <v>}</v>
      </c>
      <c r="Y441" t="str">
        <f>INDEX(script.out!M:M,results.txt!$M441)</f>
        <v>{</v>
      </c>
      <c r="Z441">
        <f>INDEX(script.out!N:N,results.txt!$M441)</f>
        <v>17.007476519889</v>
      </c>
      <c r="AA441">
        <f>INDEX(script.out!O:O,results.txt!$M441)</f>
        <v>17</v>
      </c>
      <c r="AB441">
        <f>INDEX(script.out!P:P,results.txt!$M441)</f>
        <v>7218.61</v>
      </c>
      <c r="AC441" t="str">
        <f>INDEX(script.out!Q:Q,results.txt!$M441)</f>
        <v>}</v>
      </c>
      <c r="AD441">
        <f t="shared" si="6"/>
        <v>2</v>
      </c>
    </row>
    <row r="442" spans="1:30" x14ac:dyDescent="0.25">
      <c r="A442" s="12" t="s">
        <v>5</v>
      </c>
      <c r="B442" s="12">
        <v>-3</v>
      </c>
      <c r="C442" s="12">
        <v>0.48423100000000002</v>
      </c>
      <c r="D442" s="12">
        <v>5.8242099999999998E-2</v>
      </c>
      <c r="E442" s="12">
        <v>0.18962100000000001</v>
      </c>
      <c r="F442" s="12">
        <v>-3</v>
      </c>
      <c r="G442" s="12">
        <v>29.947500000000002</v>
      </c>
      <c r="H442" s="12">
        <v>90.25</v>
      </c>
      <c r="I442" s="12">
        <v>8.3795199999999994</v>
      </c>
      <c r="J442" s="12" t="s">
        <v>3</v>
      </c>
      <c r="K442" s="12">
        <v>0</v>
      </c>
      <c r="M442">
        <f>MATCH(C442,script.out!B:B,0)</f>
        <v>438</v>
      </c>
      <c r="N442">
        <f>INDEX(script.out!B:B,results.txt!$M442)</f>
        <v>0.48423100000000002</v>
      </c>
      <c r="O442">
        <f>INDEX(script.out!C:C,results.txt!$M442)</f>
        <v>5.8242099999999998E-2</v>
      </c>
      <c r="P442">
        <f>INDEX(script.out!D:D,results.txt!$M442)</f>
        <v>0.18962100000000001</v>
      </c>
      <c r="Q442">
        <f>INDEX(script.out!E:E,results.txt!$M442)</f>
        <v>29.9474573158735</v>
      </c>
      <c r="R442">
        <f>INDEX(script.out!F:F,results.txt!$M442)</f>
        <v>90.25</v>
      </c>
      <c r="S442">
        <f>INDEX(script.out!G:G,results.txt!$M442)</f>
        <v>8.3795180814411694</v>
      </c>
      <c r="T442" t="str">
        <f>INDEX(script.out!H:H,results.txt!$M442)</f>
        <v>{</v>
      </c>
      <c r="U442">
        <f>INDEX(script.out!I:I,results.txt!$M442)</f>
        <v>0.687384</v>
      </c>
      <c r="V442">
        <f>INDEX(script.out!J:J,results.txt!$M442)</f>
        <v>129.12105</v>
      </c>
      <c r="W442">
        <f>INDEX(script.out!K:K,results.txt!$M442)</f>
        <v>121.87639</v>
      </c>
      <c r="X442" t="str">
        <f>INDEX(script.out!L:L,results.txt!$M442)</f>
        <v>}</v>
      </c>
      <c r="Y442" t="str">
        <f>INDEX(script.out!M:M,results.txt!$M442)</f>
        <v>{</v>
      </c>
      <c r="Z442">
        <f>INDEX(script.out!N:N,results.txt!$M442)</f>
        <v>15.472427004161201</v>
      </c>
      <c r="AA442">
        <f>INDEX(script.out!O:O,results.txt!$M442)</f>
        <v>17.5</v>
      </c>
      <c r="AB442">
        <f>INDEX(script.out!P:P,results.txt!$M442)</f>
        <v>8356.58</v>
      </c>
      <c r="AC442" t="str">
        <f>INDEX(script.out!Q:Q,results.txt!$M442)</f>
        <v>}</v>
      </c>
      <c r="AD442">
        <f t="shared" si="6"/>
        <v>2</v>
      </c>
    </row>
    <row r="443" spans="1:30" x14ac:dyDescent="0.25">
      <c r="A443" s="12" t="s">
        <v>5</v>
      </c>
      <c r="B443" s="12">
        <v>-3</v>
      </c>
      <c r="C443" s="12">
        <v>1.10267</v>
      </c>
      <c r="D443" s="12">
        <v>2.9383399999999998E-3</v>
      </c>
      <c r="E443" s="12">
        <v>0.70021100000000003</v>
      </c>
      <c r="F443" s="12">
        <v>-3</v>
      </c>
      <c r="G443" s="12">
        <v>4.6609999999999996</v>
      </c>
      <c r="H443" s="12">
        <v>56.25</v>
      </c>
      <c r="I443" s="12">
        <v>270.43700000000001</v>
      </c>
      <c r="J443" s="12" t="s">
        <v>3</v>
      </c>
      <c r="K443" s="12">
        <v>0</v>
      </c>
      <c r="M443">
        <f>MATCH(C443,script.out!B:B,0)</f>
        <v>469</v>
      </c>
      <c r="N443">
        <f>INDEX(script.out!B:B,results.txt!$M443)</f>
        <v>1.10267</v>
      </c>
      <c r="O443">
        <f>INDEX(script.out!C:C,results.txt!$M443)</f>
        <v>2.9383399999999998E-3</v>
      </c>
      <c r="P443">
        <f>INDEX(script.out!D:D,results.txt!$M443)</f>
        <v>0.70021100000000003</v>
      </c>
      <c r="Q443">
        <f>INDEX(script.out!E:E,results.txt!$M443)</f>
        <v>4.6609960510381496</v>
      </c>
      <c r="R443">
        <f>INDEX(script.out!F:F,results.txt!$M443)</f>
        <v>56.25</v>
      </c>
      <c r="S443">
        <f>INDEX(script.out!G:G,results.txt!$M443)</f>
        <v>270.43667335785301</v>
      </c>
      <c r="T443" t="str">
        <f>INDEX(script.out!H:H,results.txt!$M443)</f>
        <v>{</v>
      </c>
      <c r="U443">
        <f>INDEX(script.out!I:I,results.txt!$M443)</f>
        <v>1.1821299999999999</v>
      </c>
      <c r="V443">
        <f>INDEX(script.out!J:J,results.txt!$M443)</f>
        <v>101.46917000000001</v>
      </c>
      <c r="W443">
        <f>INDEX(script.out!K:K,results.txt!$M443)</f>
        <v>423.12448999999998</v>
      </c>
      <c r="X443" t="str">
        <f>INDEX(script.out!L:L,results.txt!$M443)</f>
        <v>}</v>
      </c>
      <c r="Y443" t="str">
        <f>INDEX(script.out!M:M,results.txt!$M443)</f>
        <v>{</v>
      </c>
      <c r="Z443">
        <f>INDEX(script.out!N:N,results.txt!$M443)</f>
        <v>12.158934008032199</v>
      </c>
      <c r="AA443">
        <f>INDEX(script.out!O:O,results.txt!$M443)</f>
        <v>15.5</v>
      </c>
      <c r="AB443">
        <f>INDEX(script.out!P:P,results.txt!$M443)</f>
        <v>1297.5899999999999</v>
      </c>
      <c r="AC443" t="str">
        <f>INDEX(script.out!Q:Q,results.txt!$M443)</f>
        <v>}</v>
      </c>
      <c r="AD443">
        <f t="shared" si="6"/>
        <v>2</v>
      </c>
    </row>
    <row r="444" spans="1:30" x14ac:dyDescent="0.25">
      <c r="A444" s="12" t="s">
        <v>5</v>
      </c>
      <c r="B444" s="12">
        <v>-3</v>
      </c>
      <c r="C444" s="12">
        <v>1.08531</v>
      </c>
      <c r="D444" s="12">
        <v>8.5301100000000005E-2</v>
      </c>
      <c r="E444" s="12">
        <v>0.629355</v>
      </c>
      <c r="F444" s="12">
        <v>-3</v>
      </c>
      <c r="G444" s="12">
        <v>50.319899999999997</v>
      </c>
      <c r="H444" s="12">
        <v>42.25</v>
      </c>
      <c r="I444" s="12">
        <v>186.43700000000001</v>
      </c>
      <c r="J444" s="12" t="s">
        <v>3</v>
      </c>
      <c r="K444" s="12">
        <v>0</v>
      </c>
      <c r="M444">
        <f>MATCH(C444,script.out!B:B,0)</f>
        <v>470</v>
      </c>
      <c r="N444">
        <f>INDEX(script.out!B:B,results.txt!$M444)</f>
        <v>1.08531</v>
      </c>
      <c r="O444">
        <f>INDEX(script.out!C:C,results.txt!$M444)</f>
        <v>8.5301100000000005E-2</v>
      </c>
      <c r="P444">
        <f>INDEX(script.out!D:D,results.txt!$M444)</f>
        <v>0.629355</v>
      </c>
      <c r="Q444">
        <f>INDEX(script.out!E:E,results.txt!$M444)</f>
        <v>50.3198907205309</v>
      </c>
      <c r="R444">
        <f>INDEX(script.out!F:F,results.txt!$M444)</f>
        <v>42.25</v>
      </c>
      <c r="S444">
        <f>INDEX(script.out!G:G,results.txt!$M444)</f>
        <v>186.43695318746401</v>
      </c>
      <c r="T444" t="str">
        <f>INDEX(script.out!H:H,results.txt!$M444)</f>
        <v>{</v>
      </c>
      <c r="U444">
        <f>INDEX(script.out!I:I,results.txt!$M444)</f>
        <v>1.1682399999999999</v>
      </c>
      <c r="V444">
        <f>INDEX(script.out!J:J,results.txt!$M444)</f>
        <v>142.65055000000001</v>
      </c>
      <c r="W444">
        <f>INDEX(script.out!K:K,results.txt!$M444)</f>
        <v>381.31945000000002</v>
      </c>
      <c r="X444" t="str">
        <f>INDEX(script.out!L:L,results.txt!$M444)</f>
        <v>}</v>
      </c>
      <c r="Y444" t="str">
        <f>INDEX(script.out!M:M,results.txt!$M444)</f>
        <v>{</v>
      </c>
      <c r="Z444">
        <f>INDEX(script.out!N:N,results.txt!$M444)</f>
        <v>17.093651437766699</v>
      </c>
      <c r="AA444">
        <f>INDEX(script.out!O:O,results.txt!$M444)</f>
        <v>14.5</v>
      </c>
      <c r="AB444">
        <f>INDEX(script.out!P:P,results.txt!$M444)</f>
        <v>2316.2199999999998</v>
      </c>
      <c r="AC444" t="str">
        <f>INDEX(script.out!Q:Q,results.txt!$M444)</f>
        <v>}</v>
      </c>
      <c r="AD444">
        <f t="shared" si="6"/>
        <v>2</v>
      </c>
    </row>
    <row r="445" spans="1:30" x14ac:dyDescent="0.25">
      <c r="A445" s="12" t="s">
        <v>5</v>
      </c>
      <c r="B445" s="12">
        <v>-3</v>
      </c>
      <c r="C445" s="12">
        <v>0.97189800000000004</v>
      </c>
      <c r="D445" s="12">
        <v>0.33537</v>
      </c>
      <c r="E445" s="12">
        <v>0.59831800000000002</v>
      </c>
      <c r="F445" s="12">
        <v>-3</v>
      </c>
      <c r="G445" s="12">
        <v>487.36700000000002</v>
      </c>
      <c r="H445" s="12">
        <v>30.25</v>
      </c>
      <c r="I445" s="12">
        <v>0.41519499999999998</v>
      </c>
      <c r="J445" s="12" t="s">
        <v>3</v>
      </c>
      <c r="K445" s="12">
        <v>0</v>
      </c>
      <c r="M445">
        <f>MATCH(C445,script.out!B:B,0)</f>
        <v>489</v>
      </c>
      <c r="N445">
        <f>INDEX(script.out!B:B,results.txt!$M445)</f>
        <v>0.97189800000000004</v>
      </c>
      <c r="O445">
        <f>INDEX(script.out!C:C,results.txt!$M445)</f>
        <v>0.33537</v>
      </c>
      <c r="P445">
        <f>INDEX(script.out!D:D,results.txt!$M445)</f>
        <v>0.59831800000000002</v>
      </c>
      <c r="Q445">
        <f>INDEX(script.out!E:E,results.txt!$M445)</f>
        <v>487.36681269450997</v>
      </c>
      <c r="R445">
        <f>INDEX(script.out!F:F,results.txt!$M445)</f>
        <v>30.25</v>
      </c>
      <c r="S445">
        <f>INDEX(script.out!G:G,results.txt!$M445)</f>
        <v>0.41519486657909499</v>
      </c>
      <c r="T445" t="str">
        <f>INDEX(script.out!H:H,results.txt!$M445)</f>
        <v>{</v>
      </c>
      <c r="U445">
        <f>INDEX(script.out!I:I,results.txt!$M445)</f>
        <v>1.077518</v>
      </c>
      <c r="V445">
        <f>INDEX(script.out!J:J,results.txt!$M445)</f>
        <v>267.685</v>
      </c>
      <c r="W445">
        <f>INDEX(script.out!K:K,results.txt!$M445)</f>
        <v>363.00761999999997</v>
      </c>
      <c r="X445" t="str">
        <f>INDEX(script.out!L:L,results.txt!$M445)</f>
        <v>}</v>
      </c>
      <c r="Y445" t="str">
        <f>INDEX(script.out!M:M,results.txt!$M445)</f>
        <v>{</v>
      </c>
      <c r="Z445">
        <f>INDEX(script.out!N:N,results.txt!$M445)</f>
        <v>32.076385861243402</v>
      </c>
      <c r="AA445">
        <f>INDEX(script.out!O:O,results.txt!$M445)</f>
        <v>13.5</v>
      </c>
      <c r="AB445">
        <f>INDEX(script.out!P:P,results.txt!$M445)</f>
        <v>7064.81</v>
      </c>
      <c r="AC445" t="str">
        <f>INDEX(script.out!Q:Q,results.txt!$M445)</f>
        <v>}</v>
      </c>
      <c r="AD445">
        <f t="shared" si="6"/>
        <v>2</v>
      </c>
    </row>
    <row r="446" spans="1:30" x14ac:dyDescent="0.25">
      <c r="A446" s="12" t="s">
        <v>5</v>
      </c>
      <c r="B446" s="12">
        <v>-3</v>
      </c>
      <c r="C446" s="12">
        <v>1.0082899999999999</v>
      </c>
      <c r="D446" s="12">
        <v>7.0639199999999996E-3</v>
      </c>
      <c r="E446" s="12">
        <v>0.65167799999999998</v>
      </c>
      <c r="F446" s="12">
        <v>-3</v>
      </c>
      <c r="G446" s="12">
        <v>5.78939</v>
      </c>
      <c r="H446" s="12">
        <v>64</v>
      </c>
      <c r="I446" s="12">
        <v>257.399</v>
      </c>
      <c r="J446" s="12" t="s">
        <v>3</v>
      </c>
      <c r="K446" s="12">
        <v>0</v>
      </c>
      <c r="M446">
        <f>MATCH(C446,script.out!B:B,0)</f>
        <v>493</v>
      </c>
      <c r="N446">
        <f>INDEX(script.out!B:B,results.txt!$M446)</f>
        <v>1.0082899999999999</v>
      </c>
      <c r="O446">
        <f>INDEX(script.out!C:C,results.txt!$M446)</f>
        <v>7.0639199999999996E-3</v>
      </c>
      <c r="P446">
        <f>INDEX(script.out!D:D,results.txt!$M446)</f>
        <v>0.65167799999999998</v>
      </c>
      <c r="Q446">
        <f>INDEX(script.out!E:E,results.txt!$M446)</f>
        <v>5.7893930633781201</v>
      </c>
      <c r="R446">
        <f>INDEX(script.out!F:F,results.txt!$M446)</f>
        <v>64</v>
      </c>
      <c r="S446">
        <f>INDEX(script.out!G:G,results.txt!$M446)</f>
        <v>257.399386628635</v>
      </c>
      <c r="T446" t="str">
        <f>INDEX(script.out!H:H,results.txt!$M446)</f>
        <v>{</v>
      </c>
      <c r="U446">
        <f>INDEX(script.out!I:I,results.txt!$M446)</f>
        <v>1.10663</v>
      </c>
      <c r="V446">
        <f>INDEX(script.out!J:J,results.txt!$M446)</f>
        <v>103.53196</v>
      </c>
      <c r="W446">
        <f>INDEX(script.out!K:K,results.txt!$M446)</f>
        <v>394.49002000000002</v>
      </c>
      <c r="X446" t="str">
        <f>INDEX(script.out!L:L,results.txt!$M446)</f>
        <v>}</v>
      </c>
      <c r="Y446" t="str">
        <f>INDEX(script.out!M:M,results.txt!$M446)</f>
        <v>{</v>
      </c>
      <c r="Z446">
        <f>INDEX(script.out!N:N,results.txt!$M446)</f>
        <v>12.406115762671799</v>
      </c>
      <c r="AA446">
        <f>INDEX(script.out!O:O,results.txt!$M446)</f>
        <v>16</v>
      </c>
      <c r="AB446">
        <f>INDEX(script.out!P:P,results.txt!$M446)</f>
        <v>1444.06</v>
      </c>
      <c r="AC446" t="str">
        <f>INDEX(script.out!Q:Q,results.txt!$M446)</f>
        <v>}</v>
      </c>
      <c r="AD446">
        <f t="shared" si="6"/>
        <v>2</v>
      </c>
    </row>
    <row r="447" spans="1:30" x14ac:dyDescent="0.25">
      <c r="A447" s="12" t="s">
        <v>5</v>
      </c>
      <c r="B447" s="12">
        <v>-3</v>
      </c>
      <c r="C447" s="12">
        <v>0.54724600000000001</v>
      </c>
      <c r="D447" s="12">
        <v>2.8610500000000001E-2</v>
      </c>
      <c r="E447" s="12">
        <v>0.16910900000000001</v>
      </c>
      <c r="F447" s="12">
        <v>-3</v>
      </c>
      <c r="G447" s="12">
        <v>13.6683</v>
      </c>
      <c r="H447" s="12">
        <v>100</v>
      </c>
      <c r="I447" s="12">
        <v>0.345808</v>
      </c>
      <c r="J447" s="12" t="s">
        <v>3</v>
      </c>
      <c r="K447" s="12">
        <v>0</v>
      </c>
      <c r="M447">
        <f>MATCH(C447,script.out!B:B,0)</f>
        <v>496</v>
      </c>
      <c r="N447">
        <f>INDEX(script.out!B:B,results.txt!$M447)</f>
        <v>0.54724600000000001</v>
      </c>
      <c r="O447">
        <f>INDEX(script.out!C:C,results.txt!$M447)</f>
        <v>2.8610500000000001E-2</v>
      </c>
      <c r="P447">
        <f>INDEX(script.out!D:D,results.txt!$M447)</f>
        <v>0.16910900000000001</v>
      </c>
      <c r="Q447">
        <f>INDEX(script.out!E:E,results.txt!$M447)</f>
        <v>13.6683023327585</v>
      </c>
      <c r="R447">
        <f>INDEX(script.out!F:F,results.txt!$M447)</f>
        <v>100</v>
      </c>
      <c r="S447">
        <f>INDEX(script.out!G:G,results.txt!$M447)</f>
        <v>0.345808441358603</v>
      </c>
      <c r="T447" t="str">
        <f>INDEX(script.out!H:H,results.txt!$M447)</f>
        <v>{</v>
      </c>
      <c r="U447">
        <f>INDEX(script.out!I:I,results.txt!$M447)</f>
        <v>0.73779600000000001</v>
      </c>
      <c r="V447">
        <f>INDEX(script.out!J:J,results.txt!$M447)</f>
        <v>114.30525</v>
      </c>
      <c r="W447">
        <f>INDEX(script.out!K:K,results.txt!$M447)</f>
        <v>109.77431</v>
      </c>
      <c r="X447" t="str">
        <f>INDEX(script.out!L:L,results.txt!$M447)</f>
        <v>}</v>
      </c>
      <c r="Y447" t="str">
        <f>INDEX(script.out!M:M,results.txt!$M447)</f>
        <v>{</v>
      </c>
      <c r="Z447">
        <f>INDEX(script.out!N:N,results.txt!$M447)</f>
        <v>13.6970667200848</v>
      </c>
      <c r="AA447">
        <f>INDEX(script.out!O:O,results.txt!$M447)</f>
        <v>18</v>
      </c>
      <c r="AB447">
        <f>INDEX(script.out!P:P,results.txt!$M447)</f>
        <v>7514.64</v>
      </c>
      <c r="AC447" t="str">
        <f>INDEX(script.out!Q:Q,results.txt!$M447)</f>
        <v>}</v>
      </c>
      <c r="AD447">
        <f t="shared" si="6"/>
        <v>2</v>
      </c>
    </row>
    <row r="448" spans="1:30" x14ac:dyDescent="0.25">
      <c r="A448" s="12" t="s">
        <v>5</v>
      </c>
      <c r="B448" s="12">
        <v>-3</v>
      </c>
      <c r="C448" s="12">
        <v>0.58903499999999998</v>
      </c>
      <c r="D448" s="12">
        <v>-2.26424E-2</v>
      </c>
      <c r="E448" s="12">
        <v>0.14132400000000001</v>
      </c>
      <c r="F448" s="12">
        <v>-3</v>
      </c>
      <c r="G448" s="12">
        <v>0.39222499999999999</v>
      </c>
      <c r="H448" s="12">
        <v>132.25</v>
      </c>
      <c r="I448" s="12">
        <v>23.522500000000001</v>
      </c>
      <c r="J448" s="12" t="s">
        <v>3</v>
      </c>
      <c r="K448" s="12">
        <v>0</v>
      </c>
      <c r="M448">
        <f>MATCH(C448,script.out!B:B,0)</f>
        <v>503</v>
      </c>
      <c r="N448">
        <f>INDEX(script.out!B:B,results.txt!$M448)</f>
        <v>0.58903499999999998</v>
      </c>
      <c r="O448">
        <f>INDEX(script.out!C:C,results.txt!$M448)</f>
        <v>-2.26424E-2</v>
      </c>
      <c r="P448">
        <f>INDEX(script.out!D:D,results.txt!$M448)</f>
        <v>0.14132400000000001</v>
      </c>
      <c r="Q448">
        <f>INDEX(script.out!E:E,results.txt!$M448)</f>
        <v>0.39222497592724698</v>
      </c>
      <c r="R448">
        <f>INDEX(script.out!F:F,results.txt!$M448)</f>
        <v>132.25</v>
      </c>
      <c r="S448">
        <f>INDEX(script.out!G:G,results.txt!$M448)</f>
        <v>23.522500000000001</v>
      </c>
      <c r="T448" t="str">
        <f>INDEX(script.out!H:H,results.txt!$M448)</f>
        <v>{</v>
      </c>
      <c r="U448">
        <f>INDEX(script.out!I:I,results.txt!$M448)</f>
        <v>0.77122800000000002</v>
      </c>
      <c r="V448">
        <f>INDEX(script.out!J:J,results.txt!$M448)</f>
        <v>88.678799999999995</v>
      </c>
      <c r="W448">
        <f>INDEX(script.out!K:K,results.txt!$M448)</f>
        <v>93.381159999999994</v>
      </c>
      <c r="X448" t="str">
        <f>INDEX(script.out!L:L,results.txt!$M448)</f>
        <v>}</v>
      </c>
      <c r="Y448" t="str">
        <f>INDEX(script.out!M:M,results.txt!$M448)</f>
        <v>{</v>
      </c>
      <c r="Z448">
        <f>INDEX(script.out!N:N,results.txt!$M448)</f>
        <v>10.6262786727386</v>
      </c>
      <c r="AA448">
        <f>INDEX(script.out!O:O,results.txt!$M448)</f>
        <v>19.5</v>
      </c>
      <c r="AB448">
        <f>INDEX(script.out!P:P,results.txt!$M448)</f>
        <v>5529.75</v>
      </c>
      <c r="AC448" t="str">
        <f>INDEX(script.out!Q:Q,results.txt!$M448)</f>
        <v>}</v>
      </c>
      <c r="AD448">
        <f t="shared" si="6"/>
        <v>2</v>
      </c>
    </row>
    <row r="449" spans="1:30" x14ac:dyDescent="0.25">
      <c r="A449" s="12" t="s">
        <v>5</v>
      </c>
      <c r="B449" s="12">
        <v>-3</v>
      </c>
      <c r="C449" s="12">
        <v>7.9056799999999997E-2</v>
      </c>
      <c r="D449" s="12">
        <v>8.1458799999999994E-3</v>
      </c>
      <c r="E449" s="12">
        <v>5.9854200000000003E-2</v>
      </c>
      <c r="F449" s="12">
        <v>-3</v>
      </c>
      <c r="G449" s="12">
        <v>6.10555</v>
      </c>
      <c r="H449" s="12">
        <v>121</v>
      </c>
      <c r="I449" s="12">
        <v>4.7760800000000003</v>
      </c>
      <c r="J449" s="12" t="s">
        <v>3</v>
      </c>
      <c r="K449" s="12">
        <v>0</v>
      </c>
      <c r="M449">
        <f>MATCH(C449,script.out!B:B,0)</f>
        <v>523</v>
      </c>
      <c r="N449">
        <f>INDEX(script.out!B:B,results.txt!$M449)</f>
        <v>7.9056799999999997E-2</v>
      </c>
      <c r="O449">
        <f>INDEX(script.out!C:C,results.txt!$M449)</f>
        <v>8.1458799999999994E-3</v>
      </c>
      <c r="P449">
        <f>INDEX(script.out!D:D,results.txt!$M449)</f>
        <v>5.9854200000000003E-2</v>
      </c>
      <c r="Q449">
        <f>INDEX(script.out!E:E,results.txt!$M449)</f>
        <v>6.1055483098314101</v>
      </c>
      <c r="R449">
        <f>INDEX(script.out!F:F,results.txt!$M449)</f>
        <v>121</v>
      </c>
      <c r="S449">
        <f>INDEX(script.out!G:G,results.txt!$M449)</f>
        <v>4.7760809337586698</v>
      </c>
      <c r="T449" t="str">
        <f>INDEX(script.out!H:H,results.txt!$M449)</f>
        <v>{</v>
      </c>
      <c r="U449">
        <f>INDEX(script.out!I:I,results.txt!$M449)</f>
        <v>0.3632454</v>
      </c>
      <c r="V449">
        <f>INDEX(script.out!J:J,results.txt!$M449)</f>
        <v>104.07294</v>
      </c>
      <c r="W449">
        <f>INDEX(script.out!K:K,results.txt!$M449)</f>
        <v>45.313977999999999</v>
      </c>
      <c r="X449" t="str">
        <f>INDEX(script.out!L:L,results.txt!$M449)</f>
        <v>}</v>
      </c>
      <c r="Y449" t="str">
        <f>INDEX(script.out!M:M,results.txt!$M449)</f>
        <v>{</v>
      </c>
      <c r="Z449">
        <f>INDEX(script.out!N:N,results.txt!$M449)</f>
        <v>12.4709407742459</v>
      </c>
      <c r="AA449">
        <f>INDEX(script.out!O:O,results.txt!$M449)</f>
        <v>19</v>
      </c>
      <c r="AB449">
        <f>INDEX(script.out!P:P,results.txt!$M449)</f>
        <v>8097.68</v>
      </c>
      <c r="AC449" t="str">
        <f>INDEX(script.out!Q:Q,results.txt!$M449)</f>
        <v>}</v>
      </c>
      <c r="AD449">
        <f t="shared" si="6"/>
        <v>2</v>
      </c>
    </row>
    <row r="450" spans="1:30" x14ac:dyDescent="0.25">
      <c r="A450" s="12" t="s">
        <v>5</v>
      </c>
      <c r="B450" s="12">
        <v>-3</v>
      </c>
      <c r="C450" s="12">
        <v>1.1535500000000001</v>
      </c>
      <c r="D450" s="12">
        <v>0.15155099999999999</v>
      </c>
      <c r="E450" s="12">
        <v>0.76579399999999997</v>
      </c>
      <c r="F450" s="12">
        <v>-3</v>
      </c>
      <c r="G450" s="12">
        <v>122.389</v>
      </c>
      <c r="H450" s="12">
        <v>30.25</v>
      </c>
      <c r="I450" s="12">
        <v>143.226</v>
      </c>
      <c r="J450" s="12" t="s">
        <v>3</v>
      </c>
      <c r="K450" s="12">
        <v>0</v>
      </c>
      <c r="M450">
        <f>MATCH(C450,script.out!B:B,0)</f>
        <v>529</v>
      </c>
      <c r="N450">
        <f>INDEX(script.out!B:B,results.txt!$M450)</f>
        <v>1.1535500000000001</v>
      </c>
      <c r="O450">
        <f>INDEX(script.out!C:C,results.txt!$M450)</f>
        <v>0.15155099999999999</v>
      </c>
      <c r="P450">
        <f>INDEX(script.out!D:D,results.txt!$M450)</f>
        <v>0.76579399999999997</v>
      </c>
      <c r="Q450">
        <f>INDEX(script.out!E:E,results.txt!$M450)</f>
        <v>122.389440654073</v>
      </c>
      <c r="R450">
        <f>INDEX(script.out!F:F,results.txt!$M450)</f>
        <v>30.25</v>
      </c>
      <c r="S450">
        <f>INDEX(script.out!G:G,results.txt!$M450)</f>
        <v>143.22646626684099</v>
      </c>
      <c r="T450" t="str">
        <f>INDEX(script.out!H:H,results.txt!$M450)</f>
        <v>{</v>
      </c>
      <c r="U450">
        <f>INDEX(script.out!I:I,results.txt!$M450)</f>
        <v>1.2228399999999999</v>
      </c>
      <c r="V450">
        <f>INDEX(script.out!J:J,results.txt!$M450)</f>
        <v>175.77549999999999</v>
      </c>
      <c r="W450">
        <f>INDEX(script.out!K:K,results.txt!$M450)</f>
        <v>461.81846000000002</v>
      </c>
      <c r="X450" t="str">
        <f>INDEX(script.out!L:L,results.txt!$M450)</f>
        <v>}</v>
      </c>
      <c r="Y450" t="str">
        <f>INDEX(script.out!M:M,results.txt!$M450)</f>
        <v>{</v>
      </c>
      <c r="Z450">
        <f>INDEX(script.out!N:N,results.txt!$M450)</f>
        <v>21.062976121011602</v>
      </c>
      <c r="AA450">
        <f>INDEX(script.out!O:O,results.txt!$M450)</f>
        <v>13.5</v>
      </c>
      <c r="AB450">
        <f>INDEX(script.out!P:P,results.txt!$M450)</f>
        <v>2931.78</v>
      </c>
      <c r="AC450" t="str">
        <f>INDEX(script.out!Q:Q,results.txt!$M450)</f>
        <v>}</v>
      </c>
      <c r="AD450">
        <f t="shared" si="6"/>
        <v>2</v>
      </c>
    </row>
    <row r="451" spans="1:30" x14ac:dyDescent="0.25">
      <c r="A451" s="12" t="s">
        <v>5</v>
      </c>
      <c r="B451" s="12">
        <v>-3</v>
      </c>
      <c r="C451" s="12">
        <v>0.48207100000000003</v>
      </c>
      <c r="D451" s="12">
        <v>-3.8701399999999997E-2</v>
      </c>
      <c r="E451" s="12">
        <v>0.14272000000000001</v>
      </c>
      <c r="F451" s="12">
        <v>-3</v>
      </c>
      <c r="G451" s="12">
        <v>0.11282</v>
      </c>
      <c r="H451" s="12">
        <v>144</v>
      </c>
      <c r="I451" s="12">
        <v>21.435099999999998</v>
      </c>
      <c r="J451" s="12" t="s">
        <v>3</v>
      </c>
      <c r="K451" s="12">
        <v>0</v>
      </c>
      <c r="M451">
        <f>MATCH(C451,script.out!B:B,0)</f>
        <v>538</v>
      </c>
      <c r="N451">
        <f>INDEX(script.out!B:B,results.txt!$M451)</f>
        <v>0.48207100000000003</v>
      </c>
      <c r="O451">
        <f>INDEX(script.out!C:C,results.txt!$M451)</f>
        <v>-3.8701399999999997E-2</v>
      </c>
      <c r="P451">
        <f>INDEX(script.out!D:D,results.txt!$M451)</f>
        <v>0.14272000000000001</v>
      </c>
      <c r="Q451">
        <f>INDEX(script.out!E:E,results.txt!$M451)</f>
        <v>0.112820132395655</v>
      </c>
      <c r="R451">
        <f>INDEX(script.out!F:F,results.txt!$M451)</f>
        <v>144</v>
      </c>
      <c r="S451">
        <f>INDEX(script.out!G:G,results.txt!$M451)</f>
        <v>21.435124146368899</v>
      </c>
      <c r="T451" t="str">
        <f>INDEX(script.out!H:H,results.txt!$M451)</f>
        <v>{</v>
      </c>
      <c r="U451">
        <f>INDEX(script.out!I:I,results.txt!$M451)</f>
        <v>0.68565600000000004</v>
      </c>
      <c r="V451">
        <f>INDEX(script.out!J:J,results.txt!$M451)</f>
        <v>80.649299999999997</v>
      </c>
      <c r="W451">
        <f>INDEX(script.out!K:K,results.txt!$M451)</f>
        <v>94.204800000000006</v>
      </c>
      <c r="X451" t="str">
        <f>INDEX(script.out!L:L,results.txt!$M451)</f>
        <v>}</v>
      </c>
      <c r="Y451" t="str">
        <f>INDEX(script.out!M:M,results.txt!$M451)</f>
        <v>{</v>
      </c>
      <c r="Z451">
        <f>INDEX(script.out!N:N,results.txt!$M451)</f>
        <v>9.6641129171943998</v>
      </c>
      <c r="AA451">
        <f>INDEX(script.out!O:O,results.txt!$M451)</f>
        <v>20</v>
      </c>
      <c r="AB451">
        <f>INDEX(script.out!P:P,results.txt!$M451)</f>
        <v>5610.12</v>
      </c>
      <c r="AC451" t="str">
        <f>INDEX(script.out!Q:Q,results.txt!$M451)</f>
        <v>}</v>
      </c>
      <c r="AD451">
        <f t="shared" si="6"/>
        <v>2</v>
      </c>
    </row>
    <row r="452" spans="1:30" x14ac:dyDescent="0.25">
      <c r="A452" s="12" t="s">
        <v>5</v>
      </c>
      <c r="B452" s="12">
        <v>-3</v>
      </c>
      <c r="C452" s="12">
        <v>1.0087699999999999</v>
      </c>
      <c r="D452" s="12">
        <v>-1.37647E-2</v>
      </c>
      <c r="E452" s="12">
        <v>0.62114599999999998</v>
      </c>
      <c r="F452" s="12">
        <v>-3</v>
      </c>
      <c r="G452" s="12">
        <v>1.34138</v>
      </c>
      <c r="H452" s="12">
        <v>81</v>
      </c>
      <c r="I452" s="12">
        <v>277.75400000000002</v>
      </c>
      <c r="J452" s="12" t="s">
        <v>3</v>
      </c>
      <c r="K452" s="12">
        <v>0</v>
      </c>
      <c r="M452">
        <f>MATCH(C452,script.out!B:B,0)</f>
        <v>540</v>
      </c>
      <c r="N452">
        <f>INDEX(script.out!B:B,results.txt!$M452)</f>
        <v>1.0087699999999999</v>
      </c>
      <c r="O452">
        <f>INDEX(script.out!C:C,results.txt!$M452)</f>
        <v>-1.37647E-2</v>
      </c>
      <c r="P452">
        <f>INDEX(script.out!D:D,results.txt!$M452)</f>
        <v>0.62114599999999998</v>
      </c>
      <c r="Q452">
        <f>INDEX(script.out!E:E,results.txt!$M452)</f>
        <v>1.34138315007831</v>
      </c>
      <c r="R452">
        <f>INDEX(script.out!F:F,results.txt!$M452)</f>
        <v>81</v>
      </c>
      <c r="S452">
        <f>INDEX(script.out!G:G,results.txt!$M452)</f>
        <v>277.75372959204299</v>
      </c>
      <c r="T452" t="str">
        <f>INDEX(script.out!H:H,results.txt!$M452)</f>
        <v>{</v>
      </c>
      <c r="U452">
        <f>INDEX(script.out!I:I,results.txt!$M452)</f>
        <v>1.10701</v>
      </c>
      <c r="V452">
        <f>INDEX(script.out!J:J,results.txt!$M452)</f>
        <v>93.117649999999998</v>
      </c>
      <c r="W452">
        <f>INDEX(script.out!K:K,results.txt!$M452)</f>
        <v>376.47613999999999</v>
      </c>
      <c r="X452" t="str">
        <f>INDEX(script.out!L:L,results.txt!$M452)</f>
        <v>}</v>
      </c>
      <c r="Y452" t="str">
        <f>INDEX(script.out!M:M,results.txt!$M452)</f>
        <v>{</v>
      </c>
      <c r="Z452">
        <f>INDEX(script.out!N:N,results.txt!$M452)</f>
        <v>11.158180966031701</v>
      </c>
      <c r="AA452">
        <f>INDEX(script.out!O:O,results.txt!$M452)</f>
        <v>17</v>
      </c>
      <c r="AB452">
        <f>INDEX(script.out!P:P,results.txt!$M452)</f>
        <v>1216.93</v>
      </c>
      <c r="AC452" t="str">
        <f>INDEX(script.out!Q:Q,results.txt!$M452)</f>
        <v>}</v>
      </c>
      <c r="AD452">
        <f t="shared" ref="AD452:AD515" si="7">IF(A452="all",1)+IF(A452="nonDominatedFront",2)</f>
        <v>2</v>
      </c>
    </row>
    <row r="453" spans="1:30" x14ac:dyDescent="0.25">
      <c r="A453" s="12" t="s">
        <v>5</v>
      </c>
      <c r="B453" s="12">
        <v>-3</v>
      </c>
      <c r="C453" s="12">
        <v>1.09198</v>
      </c>
      <c r="D453" s="12">
        <v>0.336783</v>
      </c>
      <c r="E453" s="12">
        <v>0.58521400000000001</v>
      </c>
      <c r="F453" s="12">
        <v>-3</v>
      </c>
      <c r="G453" s="12">
        <v>491.11200000000002</v>
      </c>
      <c r="H453" s="12">
        <v>25</v>
      </c>
      <c r="I453" s="12">
        <v>0.19220400000000001</v>
      </c>
      <c r="J453" s="12" t="s">
        <v>3</v>
      </c>
      <c r="K453" s="12">
        <v>0</v>
      </c>
      <c r="M453">
        <f>MATCH(C453,script.out!B:B,0)</f>
        <v>542</v>
      </c>
      <c r="N453">
        <f>INDEX(script.out!B:B,results.txt!$M453)</f>
        <v>1.09198</v>
      </c>
      <c r="O453">
        <f>INDEX(script.out!C:C,results.txt!$M453)</f>
        <v>0.336783</v>
      </c>
      <c r="P453">
        <f>INDEX(script.out!D:D,results.txt!$M453)</f>
        <v>0.58521400000000001</v>
      </c>
      <c r="Q453">
        <f>INDEX(script.out!E:E,results.txt!$M453)</f>
        <v>491.11191301715502</v>
      </c>
      <c r="R453">
        <f>INDEX(script.out!F:F,results.txt!$M453)</f>
        <v>25</v>
      </c>
      <c r="S453">
        <f>INDEX(script.out!G:G,results.txt!$M453)</f>
        <v>0.19220416888722</v>
      </c>
      <c r="T453" t="str">
        <f>INDEX(script.out!H:H,results.txt!$M453)</f>
        <v>{</v>
      </c>
      <c r="U453">
        <f>INDEX(script.out!I:I,results.txt!$M453)</f>
        <v>1.1735800000000001</v>
      </c>
      <c r="V453">
        <f>INDEX(script.out!J:J,results.txt!$M453)</f>
        <v>268.39150000000001</v>
      </c>
      <c r="W453">
        <f>INDEX(script.out!K:K,results.txt!$M453)</f>
        <v>355.27625999999998</v>
      </c>
      <c r="X453" t="str">
        <f>INDEX(script.out!L:L,results.txt!$M453)</f>
        <v>}</v>
      </c>
      <c r="Y453" t="str">
        <f>INDEX(script.out!M:M,results.txt!$M453)</f>
        <v>{</v>
      </c>
      <c r="Z453">
        <f>INDEX(script.out!N:N,results.txt!$M453)</f>
        <v>32.161044944161702</v>
      </c>
      <c r="AA453">
        <f>INDEX(script.out!O:O,results.txt!$M453)</f>
        <v>13</v>
      </c>
      <c r="AB453">
        <f>INDEX(script.out!P:P,results.txt!$M453)</f>
        <v>7139.98</v>
      </c>
      <c r="AC453" t="str">
        <f>INDEX(script.out!Q:Q,results.txt!$M453)</f>
        <v>}</v>
      </c>
      <c r="AD453">
        <f t="shared" si="7"/>
        <v>2</v>
      </c>
    </row>
    <row r="454" spans="1:30" x14ac:dyDescent="0.25">
      <c r="A454" s="12" t="s">
        <v>5</v>
      </c>
      <c r="B454" s="12">
        <v>-3</v>
      </c>
      <c r="C454" s="12">
        <v>0.97248500000000004</v>
      </c>
      <c r="D454" s="12">
        <v>0.105519</v>
      </c>
      <c r="E454" s="12">
        <v>0.585781</v>
      </c>
      <c r="F454" s="12">
        <v>-3</v>
      </c>
      <c r="G454" s="12">
        <v>68.972899999999996</v>
      </c>
      <c r="H454" s="12">
        <v>42.25</v>
      </c>
      <c r="I454" s="12">
        <v>112.02800000000001</v>
      </c>
      <c r="J454" s="12" t="s">
        <v>3</v>
      </c>
      <c r="K454" s="12">
        <v>0</v>
      </c>
      <c r="M454">
        <f>MATCH(C454,script.out!B:B,0)</f>
        <v>543</v>
      </c>
      <c r="N454">
        <f>INDEX(script.out!B:B,results.txt!$M454)</f>
        <v>0.97248500000000004</v>
      </c>
      <c r="O454">
        <f>INDEX(script.out!C:C,results.txt!$M454)</f>
        <v>0.105519</v>
      </c>
      <c r="P454">
        <f>INDEX(script.out!D:D,results.txt!$M454)</f>
        <v>0.585781</v>
      </c>
      <c r="Q454">
        <f>INDEX(script.out!E:E,results.txt!$M454)</f>
        <v>68.972946876563597</v>
      </c>
      <c r="R454">
        <f>INDEX(script.out!F:F,results.txt!$M454)</f>
        <v>42.25</v>
      </c>
      <c r="S454">
        <f>INDEX(script.out!G:G,results.txt!$M454)</f>
        <v>112.028015450553</v>
      </c>
      <c r="T454" t="str">
        <f>INDEX(script.out!H:H,results.txt!$M454)</f>
        <v>{</v>
      </c>
      <c r="U454">
        <f>INDEX(script.out!I:I,results.txt!$M454)</f>
        <v>1.0779879999999999</v>
      </c>
      <c r="V454">
        <f>INDEX(script.out!J:J,results.txt!$M454)</f>
        <v>152.7595</v>
      </c>
      <c r="W454">
        <f>INDEX(script.out!K:K,results.txt!$M454)</f>
        <v>355.61079000000001</v>
      </c>
      <c r="X454" t="str">
        <f>INDEX(script.out!L:L,results.txt!$M454)</f>
        <v>}</v>
      </c>
      <c r="Y454" t="str">
        <f>INDEX(script.out!M:M,results.txt!$M454)</f>
        <v>{</v>
      </c>
      <c r="Z454">
        <f>INDEX(script.out!N:N,results.txt!$M454)</f>
        <v>18.3049952966009</v>
      </c>
      <c r="AA454">
        <f>INDEX(script.out!O:O,results.txt!$M454)</f>
        <v>14.5</v>
      </c>
      <c r="AB454">
        <f>INDEX(script.out!P:P,results.txt!$M454)</f>
        <v>3436.72</v>
      </c>
      <c r="AC454" t="str">
        <f>INDEX(script.out!Q:Q,results.txt!$M454)</f>
        <v>}</v>
      </c>
      <c r="AD454">
        <f t="shared" si="7"/>
        <v>2</v>
      </c>
    </row>
    <row r="455" spans="1:30" x14ac:dyDescent="0.25">
      <c r="A455" s="12" t="s">
        <v>5</v>
      </c>
      <c r="B455" s="12">
        <v>-3</v>
      </c>
      <c r="C455" s="12">
        <v>0.121097</v>
      </c>
      <c r="D455" s="12">
        <v>-2.8728400000000001E-2</v>
      </c>
      <c r="E455" s="12">
        <v>0.222551</v>
      </c>
      <c r="F455" s="12">
        <v>-3</v>
      </c>
      <c r="G455" s="12">
        <v>6.8455199999999994E-2</v>
      </c>
      <c r="H455" s="12">
        <v>132.25</v>
      </c>
      <c r="I455" s="12">
        <v>137.191</v>
      </c>
      <c r="J455" s="12" t="s">
        <v>3</v>
      </c>
      <c r="K455" s="12">
        <v>0</v>
      </c>
      <c r="M455">
        <f>MATCH(C455,script.out!B:B,0)</f>
        <v>545</v>
      </c>
      <c r="N455">
        <f>INDEX(script.out!B:B,results.txt!$M455)</f>
        <v>0.121097</v>
      </c>
      <c r="O455">
        <f>INDEX(script.out!C:C,results.txt!$M455)</f>
        <v>-2.8728400000000001E-2</v>
      </c>
      <c r="P455">
        <f>INDEX(script.out!D:D,results.txt!$M455)</f>
        <v>0.222551</v>
      </c>
      <c r="Q455">
        <f>INDEX(script.out!E:E,results.txt!$M455)</f>
        <v>6.8455217753633904E-2</v>
      </c>
      <c r="R455">
        <f>INDEX(script.out!F:F,results.txt!$M455)</f>
        <v>132.25</v>
      </c>
      <c r="S455">
        <f>INDEX(script.out!G:G,results.txt!$M455)</f>
        <v>137.19083907749999</v>
      </c>
      <c r="T455" t="str">
        <f>INDEX(script.out!H:H,results.txt!$M455)</f>
        <v>{</v>
      </c>
      <c r="U455">
        <f>INDEX(script.out!I:I,results.txt!$M455)</f>
        <v>0.39687699999999998</v>
      </c>
      <c r="V455">
        <f>INDEX(script.out!J:J,results.txt!$M455)</f>
        <v>85.635800000000003</v>
      </c>
      <c r="W455">
        <f>INDEX(script.out!K:K,results.txt!$M455)</f>
        <v>141.30509000000001</v>
      </c>
      <c r="X455" t="str">
        <f>INDEX(script.out!L:L,results.txt!$M455)</f>
        <v>}</v>
      </c>
      <c r="Y455" t="str">
        <f>INDEX(script.out!M:M,results.txt!$M455)</f>
        <v>{</v>
      </c>
      <c r="Z455">
        <f>INDEX(script.out!N:N,results.txt!$M455)</f>
        <v>10.2616394804948</v>
      </c>
      <c r="AA455">
        <f>INDEX(script.out!O:O,results.txt!$M455)</f>
        <v>19.5</v>
      </c>
      <c r="AB455">
        <f>INDEX(script.out!P:P,results.txt!$M455)</f>
        <v>3024.81</v>
      </c>
      <c r="AC455" t="str">
        <f>INDEX(script.out!Q:Q,results.txt!$M455)</f>
        <v>}</v>
      </c>
      <c r="AD455">
        <f t="shared" si="7"/>
        <v>2</v>
      </c>
    </row>
    <row r="456" spans="1:30" x14ac:dyDescent="0.25">
      <c r="A456" s="12" t="s">
        <v>5</v>
      </c>
      <c r="B456" s="12">
        <v>-3</v>
      </c>
      <c r="C456" s="12">
        <v>0.97855899999999996</v>
      </c>
      <c r="D456" s="12">
        <v>9.5137700000000006E-2</v>
      </c>
      <c r="E456" s="12">
        <v>0.71626000000000001</v>
      </c>
      <c r="F456" s="12">
        <v>-3</v>
      </c>
      <c r="G456" s="12">
        <v>59.028599999999997</v>
      </c>
      <c r="H456" s="12">
        <v>42.25</v>
      </c>
      <c r="I456" s="12">
        <v>154.89099999999999</v>
      </c>
      <c r="J456" s="12" t="s">
        <v>3</v>
      </c>
      <c r="K456" s="12">
        <v>0</v>
      </c>
      <c r="M456">
        <f>MATCH(C456,script.out!B:B,0)</f>
        <v>566</v>
      </c>
      <c r="N456">
        <f>INDEX(script.out!B:B,results.txt!$M456)</f>
        <v>0.97855899999999996</v>
      </c>
      <c r="O456">
        <f>INDEX(script.out!C:C,results.txt!$M456)</f>
        <v>9.5137700000000006E-2</v>
      </c>
      <c r="P456">
        <f>INDEX(script.out!D:D,results.txt!$M456)</f>
        <v>0.71626000000000001</v>
      </c>
      <c r="Q456">
        <f>INDEX(script.out!E:E,results.txt!$M456)</f>
        <v>59.028576178408102</v>
      </c>
      <c r="R456">
        <f>INDEX(script.out!F:F,results.txt!$M456)</f>
        <v>42.25</v>
      </c>
      <c r="S456">
        <f>INDEX(script.out!G:G,results.txt!$M456)</f>
        <v>154.89064073634799</v>
      </c>
      <c r="T456" t="str">
        <f>INDEX(script.out!H:H,results.txt!$M456)</f>
        <v>{</v>
      </c>
      <c r="U456">
        <f>INDEX(script.out!I:I,results.txt!$M456)</f>
        <v>1.0828469999999999</v>
      </c>
      <c r="V456">
        <f>INDEX(script.out!J:J,results.txt!$M456)</f>
        <v>147.56885</v>
      </c>
      <c r="W456">
        <f>INDEX(script.out!K:K,results.txt!$M456)</f>
        <v>432.59339999999997</v>
      </c>
      <c r="X456" t="str">
        <f>INDEX(script.out!L:L,results.txt!$M456)</f>
        <v>}</v>
      </c>
      <c r="Y456" t="str">
        <f>INDEX(script.out!M:M,results.txt!$M456)</f>
        <v>{</v>
      </c>
      <c r="Z456">
        <f>INDEX(script.out!N:N,results.txt!$M456)</f>
        <v>17.683005673459299</v>
      </c>
      <c r="AA456">
        <f>INDEX(script.out!O:O,results.txt!$M456)</f>
        <v>14.5</v>
      </c>
      <c r="AB456">
        <f>INDEX(script.out!P:P,results.txt!$M456)</f>
        <v>2757.39</v>
      </c>
      <c r="AC456" t="str">
        <f>INDEX(script.out!Q:Q,results.txt!$M456)</f>
        <v>}</v>
      </c>
      <c r="AD456">
        <f t="shared" si="7"/>
        <v>2</v>
      </c>
    </row>
    <row r="457" spans="1:30" x14ac:dyDescent="0.25">
      <c r="A457" s="12" t="s">
        <v>5</v>
      </c>
      <c r="B457" s="12">
        <v>-3</v>
      </c>
      <c r="C457" s="12">
        <v>0.56523000000000001</v>
      </c>
      <c r="D457" s="12">
        <v>9.6899600000000002E-2</v>
      </c>
      <c r="E457" s="12">
        <v>0.30128700000000003</v>
      </c>
      <c r="F457" s="12">
        <v>-3</v>
      </c>
      <c r="G457" s="12">
        <v>60.661799999999999</v>
      </c>
      <c r="H457" s="12">
        <v>72.25</v>
      </c>
      <c r="I457" s="12">
        <v>0.56192500000000001</v>
      </c>
      <c r="J457" s="12" t="s">
        <v>3</v>
      </c>
      <c r="K457" s="12">
        <v>0</v>
      </c>
      <c r="M457">
        <f>MATCH(C457,script.out!B:B,0)</f>
        <v>575</v>
      </c>
      <c r="N457">
        <f>INDEX(script.out!B:B,results.txt!$M457)</f>
        <v>0.56523000000000001</v>
      </c>
      <c r="O457">
        <f>INDEX(script.out!C:C,results.txt!$M457)</f>
        <v>9.6899600000000002E-2</v>
      </c>
      <c r="P457">
        <f>INDEX(script.out!D:D,results.txt!$M457)</f>
        <v>0.30128700000000003</v>
      </c>
      <c r="Q457">
        <f>INDEX(script.out!E:E,results.txt!$M457)</f>
        <v>60.661805500033502</v>
      </c>
      <c r="R457">
        <f>INDEX(script.out!F:F,results.txt!$M457)</f>
        <v>72.25</v>
      </c>
      <c r="S457">
        <f>INDEX(script.out!G:G,results.txt!$M457)</f>
        <v>0.56192480465378103</v>
      </c>
      <c r="T457" t="str">
        <f>INDEX(script.out!H:H,results.txt!$M457)</f>
        <v>{</v>
      </c>
      <c r="U457">
        <f>INDEX(script.out!I:I,results.txt!$M457)</f>
        <v>0.75217999999999996</v>
      </c>
      <c r="V457">
        <f>INDEX(script.out!J:J,results.txt!$M457)</f>
        <v>148.44980000000001</v>
      </c>
      <c r="W457">
        <f>INDEX(script.out!K:K,results.txt!$M457)</f>
        <v>187.75933000000001</v>
      </c>
      <c r="X457" t="str">
        <f>INDEX(script.out!L:L,results.txt!$M457)</f>
        <v>}</v>
      </c>
      <c r="Y457" t="str">
        <f>INDEX(script.out!M:M,results.txt!$M457)</f>
        <v>{</v>
      </c>
      <c r="Z457">
        <f>INDEX(script.out!N:N,results.txt!$M457)</f>
        <v>17.788568899357099</v>
      </c>
      <c r="AA457">
        <f>INDEX(script.out!O:O,results.txt!$M457)</f>
        <v>16.5</v>
      </c>
      <c r="AB457">
        <f>INDEX(script.out!P:P,results.txt!$M457)</f>
        <v>7026.39</v>
      </c>
      <c r="AC457" t="str">
        <f>INDEX(script.out!Q:Q,results.txt!$M457)</f>
        <v>}</v>
      </c>
      <c r="AD457">
        <f t="shared" si="7"/>
        <v>2</v>
      </c>
    </row>
    <row r="458" spans="1:30" x14ac:dyDescent="0.25">
      <c r="A458" s="12" t="s">
        <v>5</v>
      </c>
      <c r="B458" s="12">
        <v>-3</v>
      </c>
      <c r="C458" s="12">
        <v>1.0621799999999999</v>
      </c>
      <c r="D458" s="12">
        <v>-2.95004E-2</v>
      </c>
      <c r="E458" s="12">
        <v>0.59887699999999999</v>
      </c>
      <c r="F458" s="12">
        <v>-3</v>
      </c>
      <c r="G458" s="12">
        <v>4.6390899999999999E-2</v>
      </c>
      <c r="H458" s="12">
        <v>81</v>
      </c>
      <c r="I458" s="12">
        <v>284.12200000000001</v>
      </c>
      <c r="J458" s="12" t="s">
        <v>3</v>
      </c>
      <c r="K458" s="12">
        <v>0</v>
      </c>
      <c r="M458">
        <f>MATCH(C458,script.out!B:B,0)</f>
        <v>578</v>
      </c>
      <c r="N458">
        <f>INDEX(script.out!B:B,results.txt!$M458)</f>
        <v>1.0621799999999999</v>
      </c>
      <c r="O458">
        <f>INDEX(script.out!C:C,results.txt!$M458)</f>
        <v>-2.95004E-2</v>
      </c>
      <c r="P458">
        <f>INDEX(script.out!D:D,results.txt!$M458)</f>
        <v>0.59887699999999999</v>
      </c>
      <c r="Q458">
        <f>INDEX(script.out!E:E,results.txt!$M458)</f>
        <v>4.6390932641731303E-2</v>
      </c>
      <c r="R458">
        <f>INDEX(script.out!F:F,results.txt!$M458)</f>
        <v>81</v>
      </c>
      <c r="S458">
        <f>INDEX(script.out!G:G,results.txt!$M458)</f>
        <v>284.12196515744</v>
      </c>
      <c r="T458" t="str">
        <f>INDEX(script.out!H:H,results.txt!$M458)</f>
        <v>{</v>
      </c>
      <c r="U458">
        <f>INDEX(script.out!I:I,results.txt!$M458)</f>
        <v>1.14974</v>
      </c>
      <c r="V458">
        <f>INDEX(script.out!J:J,results.txt!$M458)</f>
        <v>85.249799999999993</v>
      </c>
      <c r="W458">
        <f>INDEX(script.out!K:K,results.txt!$M458)</f>
        <v>363.33742999999998</v>
      </c>
      <c r="X458" t="str">
        <f>INDEX(script.out!L:L,results.txt!$M458)</f>
        <v>}</v>
      </c>
      <c r="Y458" t="str">
        <f>INDEX(script.out!M:M,results.txt!$M458)</f>
        <v>{</v>
      </c>
      <c r="Z458">
        <f>INDEX(script.out!N:N,results.txt!$M458)</f>
        <v>10.21538554418</v>
      </c>
      <c r="AA458">
        <f>INDEX(script.out!O:O,results.txt!$M458)</f>
        <v>17</v>
      </c>
      <c r="AB458">
        <f>INDEX(script.out!P:P,results.txt!$M458)</f>
        <v>1147.5899999999999</v>
      </c>
      <c r="AC458" t="str">
        <f>INDEX(script.out!Q:Q,results.txt!$M458)</f>
        <v>}</v>
      </c>
      <c r="AD458">
        <f t="shared" si="7"/>
        <v>2</v>
      </c>
    </row>
    <row r="459" spans="1:30" x14ac:dyDescent="0.25">
      <c r="A459" s="12" t="s">
        <v>5</v>
      </c>
      <c r="B459" s="12">
        <v>-3</v>
      </c>
      <c r="C459" s="12">
        <v>0.98132900000000001</v>
      </c>
      <c r="D459" s="12">
        <v>0.30221900000000002</v>
      </c>
      <c r="E459" s="12">
        <v>0.60231999999999997</v>
      </c>
      <c r="F459" s="12">
        <v>-3</v>
      </c>
      <c r="G459" s="12">
        <v>403.61500000000001</v>
      </c>
      <c r="H459" s="12">
        <v>30.25</v>
      </c>
      <c r="I459" s="12">
        <v>3.5229699999999999</v>
      </c>
      <c r="J459" s="12" t="s">
        <v>3</v>
      </c>
      <c r="K459" s="12">
        <v>0</v>
      </c>
      <c r="M459">
        <f>MATCH(C459,script.out!B:B,0)</f>
        <v>581</v>
      </c>
      <c r="N459">
        <f>INDEX(script.out!B:B,results.txt!$M459)</f>
        <v>0.98132900000000001</v>
      </c>
      <c r="O459">
        <f>INDEX(script.out!C:C,results.txt!$M459)</f>
        <v>0.30221900000000002</v>
      </c>
      <c r="P459">
        <f>INDEX(script.out!D:D,results.txt!$M459)</f>
        <v>0.60231999999999997</v>
      </c>
      <c r="Q459">
        <f>INDEX(script.out!E:E,results.txt!$M459)</f>
        <v>403.61463927497999</v>
      </c>
      <c r="R459">
        <f>INDEX(script.out!F:F,results.txt!$M459)</f>
        <v>30.25</v>
      </c>
      <c r="S459">
        <f>INDEX(script.out!G:G,results.txt!$M459)</f>
        <v>3.5229747277162602</v>
      </c>
      <c r="T459" t="str">
        <f>INDEX(script.out!H:H,results.txt!$M459)</f>
        <v>{</v>
      </c>
      <c r="U459">
        <f>INDEX(script.out!I:I,results.txt!$M459)</f>
        <v>1.0850630000000001</v>
      </c>
      <c r="V459">
        <f>INDEX(script.out!J:J,results.txt!$M459)</f>
        <v>251.1095</v>
      </c>
      <c r="W459">
        <f>INDEX(script.out!K:K,results.txt!$M459)</f>
        <v>365.36880000000002</v>
      </c>
      <c r="X459" t="str">
        <f>INDEX(script.out!L:L,results.txt!$M459)</f>
        <v>}</v>
      </c>
      <c r="Y459" t="str">
        <f>INDEX(script.out!M:M,results.txt!$M459)</f>
        <v>{</v>
      </c>
      <c r="Z459">
        <f>INDEX(script.out!N:N,results.txt!$M459)</f>
        <v>30.090162748842499</v>
      </c>
      <c r="AA459">
        <f>INDEX(script.out!O:O,results.txt!$M459)</f>
        <v>13.5</v>
      </c>
      <c r="AB459">
        <f>INDEX(script.out!P:P,results.txt!$M459)</f>
        <v>6614.91</v>
      </c>
      <c r="AC459" t="str">
        <f>INDEX(script.out!Q:Q,results.txt!$M459)</f>
        <v>}</v>
      </c>
      <c r="AD459">
        <f t="shared" si="7"/>
        <v>2</v>
      </c>
    </row>
    <row r="460" spans="1:30" x14ac:dyDescent="0.25">
      <c r="A460" s="12" t="s">
        <v>5</v>
      </c>
      <c r="B460" s="12">
        <v>-3</v>
      </c>
      <c r="C460" s="12">
        <v>0.54321600000000003</v>
      </c>
      <c r="D460" s="12">
        <v>5.3594799999999998E-2</v>
      </c>
      <c r="E460" s="12">
        <v>0.25451499999999999</v>
      </c>
      <c r="F460" s="12">
        <v>-3</v>
      </c>
      <c r="G460" s="12">
        <v>26.977499999999999</v>
      </c>
      <c r="H460" s="12">
        <v>90.25</v>
      </c>
      <c r="I460" s="12">
        <v>13.946</v>
      </c>
      <c r="J460" s="12" t="s">
        <v>3</v>
      </c>
      <c r="K460" s="12">
        <v>0</v>
      </c>
      <c r="M460">
        <f>MATCH(C460,script.out!B:B,0)</f>
        <v>590</v>
      </c>
      <c r="N460">
        <f>INDEX(script.out!B:B,results.txt!$M460)</f>
        <v>0.54321600000000003</v>
      </c>
      <c r="O460">
        <f>INDEX(script.out!C:C,results.txt!$M460)</f>
        <v>5.3594799999999998E-2</v>
      </c>
      <c r="P460">
        <f>INDEX(script.out!D:D,results.txt!$M460)</f>
        <v>0.25451499999999999</v>
      </c>
      <c r="Q460">
        <f>INDEX(script.out!E:E,results.txt!$M460)</f>
        <v>26.9774977937107</v>
      </c>
      <c r="R460">
        <f>INDEX(script.out!F:F,results.txt!$M460)</f>
        <v>90.25</v>
      </c>
      <c r="S460">
        <f>INDEX(script.out!G:G,results.txt!$M460)</f>
        <v>13.9460298359917</v>
      </c>
      <c r="T460" t="str">
        <f>INDEX(script.out!H:H,results.txt!$M460)</f>
        <v>{</v>
      </c>
      <c r="U460">
        <f>INDEX(script.out!I:I,results.txt!$M460)</f>
        <v>0.734572</v>
      </c>
      <c r="V460">
        <f>INDEX(script.out!J:J,results.txt!$M460)</f>
        <v>126.7974</v>
      </c>
      <c r="W460">
        <f>INDEX(script.out!K:K,results.txt!$M460)</f>
        <v>160.16385</v>
      </c>
      <c r="X460" t="str">
        <f>INDEX(script.out!L:L,results.txt!$M460)</f>
        <v>}</v>
      </c>
      <c r="Y460" t="str">
        <f>INDEX(script.out!M:M,results.txt!$M460)</f>
        <v>{</v>
      </c>
      <c r="Z460">
        <f>INDEX(script.out!N:N,results.txt!$M460)</f>
        <v>15.1939866955654</v>
      </c>
      <c r="AA460">
        <f>INDEX(script.out!O:O,results.txt!$M460)</f>
        <v>17.5</v>
      </c>
      <c r="AB460">
        <f>INDEX(script.out!P:P,results.txt!$M460)</f>
        <v>5936.93</v>
      </c>
      <c r="AC460" t="str">
        <f>INDEX(script.out!Q:Q,results.txt!$M460)</f>
        <v>}</v>
      </c>
      <c r="AD460">
        <f t="shared" si="7"/>
        <v>2</v>
      </c>
    </row>
    <row r="461" spans="1:30" x14ac:dyDescent="0.25">
      <c r="A461" s="12" t="s">
        <v>5</v>
      </c>
      <c r="B461" s="12">
        <v>-3</v>
      </c>
      <c r="C461" s="12">
        <v>0.44580399999999998</v>
      </c>
      <c r="D461" s="12">
        <v>3.7364399999999999E-2</v>
      </c>
      <c r="E461" s="12">
        <v>0.17447599999999999</v>
      </c>
      <c r="F461" s="12">
        <v>-3</v>
      </c>
      <c r="G461" s="12">
        <v>17.8215</v>
      </c>
      <c r="H461" s="12">
        <v>110.25</v>
      </c>
      <c r="I461" s="12">
        <v>2.88255E-2</v>
      </c>
      <c r="J461" s="12" t="s">
        <v>3</v>
      </c>
      <c r="K461" s="12">
        <v>0</v>
      </c>
      <c r="M461">
        <f>MATCH(C461,script.out!B:B,0)</f>
        <v>592</v>
      </c>
      <c r="N461">
        <f>INDEX(script.out!B:B,results.txt!$M461)</f>
        <v>0.44580399999999998</v>
      </c>
      <c r="O461">
        <f>INDEX(script.out!C:C,results.txt!$M461)</f>
        <v>3.7364399999999999E-2</v>
      </c>
      <c r="P461">
        <f>INDEX(script.out!D:D,results.txt!$M461)</f>
        <v>0.17447599999999999</v>
      </c>
      <c r="Q461">
        <f>INDEX(script.out!E:E,results.txt!$M461)</f>
        <v>17.821497975026499</v>
      </c>
      <c r="R461">
        <f>INDEX(script.out!F:F,results.txt!$M461)</f>
        <v>110.25</v>
      </c>
      <c r="S461">
        <f>INDEX(script.out!G:G,results.txt!$M461)</f>
        <v>2.8825527491086501E-2</v>
      </c>
      <c r="T461" t="str">
        <f>INDEX(script.out!H:H,results.txt!$M461)</f>
        <v>{</v>
      </c>
      <c r="U461">
        <f>INDEX(script.out!I:I,results.txt!$M461)</f>
        <v>0.65664299999999998</v>
      </c>
      <c r="V461">
        <f>INDEX(script.out!J:J,results.txt!$M461)</f>
        <v>118.68219999999999</v>
      </c>
      <c r="W461">
        <f>INDEX(script.out!K:K,results.txt!$M461)</f>
        <v>112.94083999999999</v>
      </c>
      <c r="X461" t="str">
        <f>INDEX(script.out!L:L,results.txt!$M461)</f>
        <v>}</v>
      </c>
      <c r="Y461" t="str">
        <f>INDEX(script.out!M:M,results.txt!$M461)</f>
        <v>{</v>
      </c>
      <c r="Z461">
        <f>INDEX(script.out!N:N,results.txt!$M461)</f>
        <v>14.2215516075285</v>
      </c>
      <c r="AA461">
        <f>INDEX(script.out!O:O,results.txt!$M461)</f>
        <v>18.5</v>
      </c>
      <c r="AB461">
        <f>INDEX(script.out!P:P,results.txt!$M461)</f>
        <v>7238.03</v>
      </c>
      <c r="AC461" t="str">
        <f>INDEX(script.out!Q:Q,results.txt!$M461)</f>
        <v>}</v>
      </c>
      <c r="AD461">
        <f t="shared" si="7"/>
        <v>2</v>
      </c>
    </row>
    <row r="462" spans="1:30" x14ac:dyDescent="0.25">
      <c r="A462" s="12" t="s">
        <v>5</v>
      </c>
      <c r="B462" s="12">
        <v>-3</v>
      </c>
      <c r="C462" s="12">
        <v>0.81321299999999996</v>
      </c>
      <c r="D462" s="12">
        <v>9.8258499999999999E-2</v>
      </c>
      <c r="E462" s="12">
        <v>0.33741199999999999</v>
      </c>
      <c r="F462" s="12">
        <v>-3</v>
      </c>
      <c r="G462" s="12">
        <v>61.936700000000002</v>
      </c>
      <c r="H462" s="12">
        <v>56.25</v>
      </c>
      <c r="I462" s="12">
        <v>25.4389</v>
      </c>
      <c r="J462" s="12" t="s">
        <v>3</v>
      </c>
      <c r="K462" s="12">
        <v>0</v>
      </c>
      <c r="M462">
        <f>MATCH(C462,script.out!B:B,0)</f>
        <v>593</v>
      </c>
      <c r="N462">
        <f>INDEX(script.out!B:B,results.txt!$M462)</f>
        <v>0.81321299999999996</v>
      </c>
      <c r="O462">
        <f>INDEX(script.out!C:C,results.txt!$M462)</f>
        <v>9.8258499999999999E-2</v>
      </c>
      <c r="P462">
        <f>INDEX(script.out!D:D,results.txt!$M462)</f>
        <v>0.33741199999999999</v>
      </c>
      <c r="Q462">
        <f>INDEX(script.out!E:E,results.txt!$M462)</f>
        <v>61.936689270979002</v>
      </c>
      <c r="R462">
        <f>INDEX(script.out!F:F,results.txt!$M462)</f>
        <v>56.25</v>
      </c>
      <c r="S462">
        <f>INDEX(script.out!G:G,results.txt!$M462)</f>
        <v>25.438895871645698</v>
      </c>
      <c r="T462" t="str">
        <f>INDEX(script.out!H:H,results.txt!$M462)</f>
        <v>{</v>
      </c>
      <c r="U462">
        <f>INDEX(script.out!I:I,results.txt!$M462)</f>
        <v>0.95057000000000003</v>
      </c>
      <c r="V462">
        <f>INDEX(script.out!J:J,results.txt!$M462)</f>
        <v>149.12925000000001</v>
      </c>
      <c r="W462">
        <f>INDEX(script.out!K:K,results.txt!$M462)</f>
        <v>209.07308</v>
      </c>
      <c r="X462" t="str">
        <f>INDEX(script.out!L:L,results.txt!$M462)</f>
        <v>}</v>
      </c>
      <c r="Y462" t="str">
        <f>INDEX(script.out!M:M,results.txt!$M462)</f>
        <v>{</v>
      </c>
      <c r="Z462">
        <f>INDEX(script.out!N:N,results.txt!$M462)</f>
        <v>17.869986611867802</v>
      </c>
      <c r="AA462">
        <f>INDEX(script.out!O:O,results.txt!$M462)</f>
        <v>15.5</v>
      </c>
      <c r="AB462">
        <f>INDEX(script.out!P:P,results.txt!$M462)</f>
        <v>5459.05</v>
      </c>
      <c r="AC462" t="str">
        <f>INDEX(script.out!Q:Q,results.txt!$M462)</f>
        <v>}</v>
      </c>
      <c r="AD462">
        <f t="shared" si="7"/>
        <v>2</v>
      </c>
    </row>
    <row r="463" spans="1:30" x14ac:dyDescent="0.25">
      <c r="A463" s="12" t="s">
        <v>5</v>
      </c>
      <c r="B463" s="12">
        <v>-3</v>
      </c>
      <c r="C463" s="12">
        <v>0.91211900000000001</v>
      </c>
      <c r="D463" s="12">
        <v>6.0631900000000002E-2</v>
      </c>
      <c r="E463" s="12">
        <v>0.552458</v>
      </c>
      <c r="F463" s="12">
        <v>-3</v>
      </c>
      <c r="G463" s="12">
        <v>31.5351</v>
      </c>
      <c r="H463" s="12">
        <v>56.25</v>
      </c>
      <c r="I463" s="12">
        <v>169.7</v>
      </c>
      <c r="J463" s="12" t="s">
        <v>3</v>
      </c>
      <c r="K463" s="12">
        <v>0</v>
      </c>
      <c r="M463">
        <f>MATCH(C463,script.out!B:B,0)</f>
        <v>595</v>
      </c>
      <c r="N463">
        <f>INDEX(script.out!B:B,results.txt!$M463)</f>
        <v>0.91211900000000001</v>
      </c>
      <c r="O463">
        <f>INDEX(script.out!C:C,results.txt!$M463)</f>
        <v>6.0631900000000002E-2</v>
      </c>
      <c r="P463">
        <f>INDEX(script.out!D:D,results.txt!$M463)</f>
        <v>0.552458</v>
      </c>
      <c r="Q463">
        <f>INDEX(script.out!E:E,results.txt!$M463)</f>
        <v>31.535081261781301</v>
      </c>
      <c r="R463">
        <f>INDEX(script.out!F:F,results.txt!$M463)</f>
        <v>56.25</v>
      </c>
      <c r="S463">
        <f>INDEX(script.out!G:G,results.txt!$M463)</f>
        <v>169.69951687821299</v>
      </c>
      <c r="T463" t="str">
        <f>INDEX(script.out!H:H,results.txt!$M463)</f>
        <v>{</v>
      </c>
      <c r="U463">
        <f>INDEX(script.out!I:I,results.txt!$M463)</f>
        <v>1.029695</v>
      </c>
      <c r="V463">
        <f>INDEX(script.out!J:J,results.txt!$M463)</f>
        <v>130.31594999999999</v>
      </c>
      <c r="W463">
        <f>INDEX(script.out!K:K,results.txt!$M463)</f>
        <v>335.95022</v>
      </c>
      <c r="X463" t="str">
        <f>INDEX(script.out!L:L,results.txt!$M463)</f>
        <v>}</v>
      </c>
      <c r="Y463" t="str">
        <f>INDEX(script.out!M:M,results.txt!$M463)</f>
        <v>{</v>
      </c>
      <c r="Z463">
        <f>INDEX(script.out!N:N,results.txt!$M463)</f>
        <v>15.6156104976913</v>
      </c>
      <c r="AA463">
        <f>INDEX(script.out!O:O,results.txt!$M463)</f>
        <v>15.5</v>
      </c>
      <c r="AB463">
        <f>INDEX(script.out!P:P,results.txt!$M463)</f>
        <v>2545.19</v>
      </c>
      <c r="AC463" t="str">
        <f>INDEX(script.out!Q:Q,results.txt!$M463)</f>
        <v>}</v>
      </c>
      <c r="AD463">
        <f t="shared" si="7"/>
        <v>2</v>
      </c>
    </row>
    <row r="464" spans="1:30" x14ac:dyDescent="0.25">
      <c r="A464" s="12" t="s">
        <v>5</v>
      </c>
      <c r="B464" s="12">
        <v>-3</v>
      </c>
      <c r="C464" s="12">
        <v>0.823766</v>
      </c>
      <c r="D464" s="12">
        <v>7.7853599999999995E-2</v>
      </c>
      <c r="E464" s="12">
        <v>0.658609</v>
      </c>
      <c r="F464" s="12">
        <v>-3</v>
      </c>
      <c r="G464" s="12">
        <v>44.188400000000001</v>
      </c>
      <c r="H464" s="12">
        <v>56.25</v>
      </c>
      <c r="I464" s="12">
        <v>143.608</v>
      </c>
      <c r="J464" s="12" t="s">
        <v>3</v>
      </c>
      <c r="K464" s="12">
        <v>0</v>
      </c>
      <c r="M464">
        <f>MATCH(C464,script.out!B:B,0)</f>
        <v>597</v>
      </c>
      <c r="N464">
        <f>INDEX(script.out!B:B,results.txt!$M464)</f>
        <v>0.823766</v>
      </c>
      <c r="O464">
        <f>INDEX(script.out!C:C,results.txt!$M464)</f>
        <v>7.7853599999999995E-2</v>
      </c>
      <c r="P464">
        <f>INDEX(script.out!D:D,results.txt!$M464)</f>
        <v>0.658609</v>
      </c>
      <c r="Q464">
        <f>INDEX(script.out!E:E,results.txt!$M464)</f>
        <v>44.188442008211801</v>
      </c>
      <c r="R464">
        <f>INDEX(script.out!F:F,results.txt!$M464)</f>
        <v>56.25</v>
      </c>
      <c r="S464">
        <f>INDEX(script.out!G:G,results.txt!$M464)</f>
        <v>143.60771957890699</v>
      </c>
      <c r="T464" t="str">
        <f>INDEX(script.out!H:H,results.txt!$M464)</f>
        <v>{</v>
      </c>
      <c r="U464">
        <f>INDEX(script.out!I:I,results.txt!$M464)</f>
        <v>0.95901199999999998</v>
      </c>
      <c r="V464">
        <f>INDEX(script.out!J:J,results.txt!$M464)</f>
        <v>138.92679999999999</v>
      </c>
      <c r="W464">
        <f>INDEX(script.out!K:K,results.txt!$M464)</f>
        <v>398.57931000000002</v>
      </c>
      <c r="X464" t="str">
        <f>INDEX(script.out!L:L,results.txt!$M464)</f>
        <v>}</v>
      </c>
      <c r="Y464" t="str">
        <f>INDEX(script.out!M:M,results.txt!$M464)</f>
        <v>{</v>
      </c>
      <c r="Z464">
        <f>INDEX(script.out!N:N,results.txt!$M464)</f>
        <v>16.647438755506599</v>
      </c>
      <c r="AA464">
        <f>INDEX(script.out!O:O,results.txt!$M464)</f>
        <v>15.5</v>
      </c>
      <c r="AB464">
        <f>INDEX(script.out!P:P,results.txt!$M464)</f>
        <v>2925.97</v>
      </c>
      <c r="AC464" t="str">
        <f>INDEX(script.out!Q:Q,results.txt!$M464)</f>
        <v>}</v>
      </c>
      <c r="AD464">
        <f t="shared" si="7"/>
        <v>2</v>
      </c>
    </row>
    <row r="465" spans="1:30" x14ac:dyDescent="0.25">
      <c r="A465" s="12" t="s">
        <v>5</v>
      </c>
      <c r="B465" s="12">
        <v>-3</v>
      </c>
      <c r="C465" s="12">
        <v>1.1364099999999999</v>
      </c>
      <c r="D465" s="12">
        <v>5.5244500000000002E-2</v>
      </c>
      <c r="E465" s="12">
        <v>0.63690199999999997</v>
      </c>
      <c r="F465" s="12">
        <v>-3</v>
      </c>
      <c r="G465" s="12">
        <v>28.013999999999999</v>
      </c>
      <c r="H465" s="12">
        <v>42.25</v>
      </c>
      <c r="I465" s="12">
        <v>206.87100000000001</v>
      </c>
      <c r="J465" s="12" t="s">
        <v>3</v>
      </c>
      <c r="K465" s="12">
        <v>0</v>
      </c>
      <c r="M465">
        <f>MATCH(C465,script.out!B:B,0)</f>
        <v>600</v>
      </c>
      <c r="N465">
        <f>INDEX(script.out!B:B,results.txt!$M465)</f>
        <v>1.1364099999999999</v>
      </c>
      <c r="O465">
        <f>INDEX(script.out!C:C,results.txt!$M465)</f>
        <v>5.5244500000000002E-2</v>
      </c>
      <c r="P465">
        <f>INDEX(script.out!D:D,results.txt!$M465)</f>
        <v>0.63690199999999997</v>
      </c>
      <c r="Q465">
        <f>INDEX(script.out!E:E,results.txt!$M465)</f>
        <v>28.0140231876657</v>
      </c>
      <c r="R465">
        <f>INDEX(script.out!F:F,results.txt!$M465)</f>
        <v>42.25</v>
      </c>
      <c r="S465">
        <f>INDEX(script.out!G:G,results.txt!$M465)</f>
        <v>206.87108305498199</v>
      </c>
      <c r="T465" t="str">
        <f>INDEX(script.out!H:H,results.txt!$M465)</f>
        <v>{</v>
      </c>
      <c r="U465">
        <f>INDEX(script.out!I:I,results.txt!$M465)</f>
        <v>1.20912</v>
      </c>
      <c r="V465">
        <f>INDEX(script.out!J:J,results.txt!$M465)</f>
        <v>127.62224999999999</v>
      </c>
      <c r="W465">
        <f>INDEX(script.out!K:K,results.txt!$M465)</f>
        <v>385.77217999999999</v>
      </c>
      <c r="X465" t="str">
        <f>INDEX(script.out!L:L,results.txt!$M465)</f>
        <v>}</v>
      </c>
      <c r="Y465" t="str">
        <f>INDEX(script.out!M:M,results.txt!$M465)</f>
        <v>{</v>
      </c>
      <c r="Z465">
        <f>INDEX(script.out!N:N,results.txt!$M465)</f>
        <v>15.292827522947</v>
      </c>
      <c r="AA465">
        <f>INDEX(script.out!O:O,results.txt!$M465)</f>
        <v>14.5</v>
      </c>
      <c r="AB465">
        <f>INDEX(script.out!P:P,results.txt!$M465)</f>
        <v>2050.1999999999998</v>
      </c>
      <c r="AC465" t="str">
        <f>INDEX(script.out!Q:Q,results.txt!$M465)</f>
        <v>}</v>
      </c>
      <c r="AD465">
        <f t="shared" si="7"/>
        <v>2</v>
      </c>
    </row>
    <row r="466" spans="1:30" x14ac:dyDescent="0.25">
      <c r="A466" s="12" t="s">
        <v>5</v>
      </c>
      <c r="B466" s="12">
        <v>-3</v>
      </c>
      <c r="C466" s="12">
        <v>0.97584599999999999</v>
      </c>
      <c r="D466" s="12">
        <v>0.32963599999999998</v>
      </c>
      <c r="E466" s="12">
        <v>0.59702299999999997</v>
      </c>
      <c r="F466" s="12">
        <v>-3</v>
      </c>
      <c r="G466" s="12">
        <v>472.31599999999997</v>
      </c>
      <c r="H466" s="12">
        <v>30.25</v>
      </c>
      <c r="I466" s="12">
        <v>0.68585600000000002</v>
      </c>
      <c r="J466" s="12" t="s">
        <v>3</v>
      </c>
      <c r="K466" s="12">
        <v>0</v>
      </c>
      <c r="M466">
        <f>MATCH(C466,script.out!B:B,0)</f>
        <v>602</v>
      </c>
      <c r="N466">
        <f>INDEX(script.out!B:B,results.txt!$M466)</f>
        <v>0.97584599999999999</v>
      </c>
      <c r="O466">
        <f>INDEX(script.out!C:C,results.txt!$M466)</f>
        <v>0.32963599999999998</v>
      </c>
      <c r="P466">
        <f>INDEX(script.out!D:D,results.txt!$M466)</f>
        <v>0.59702299999999997</v>
      </c>
      <c r="Q466">
        <f>INDEX(script.out!E:E,results.txt!$M466)</f>
        <v>472.31618436547899</v>
      </c>
      <c r="R466">
        <f>INDEX(script.out!F:F,results.txt!$M466)</f>
        <v>30.25</v>
      </c>
      <c r="S466">
        <f>INDEX(script.out!G:G,results.txt!$M466)</f>
        <v>0.68585624620003705</v>
      </c>
      <c r="T466" t="str">
        <f>INDEX(script.out!H:H,results.txt!$M466)</f>
        <v>{</v>
      </c>
      <c r="U466">
        <f>INDEX(script.out!I:I,results.txt!$M466)</f>
        <v>1.080676</v>
      </c>
      <c r="V466">
        <f>INDEX(script.out!J:J,results.txt!$M466)</f>
        <v>264.81799999999998</v>
      </c>
      <c r="W466">
        <f>INDEX(script.out!K:K,results.txt!$M466)</f>
        <v>362.24356999999998</v>
      </c>
      <c r="X466" t="str">
        <f>INDEX(script.out!L:L,results.txt!$M466)</f>
        <v>}</v>
      </c>
      <c r="Y466" t="str">
        <f>INDEX(script.out!M:M,results.txt!$M466)</f>
        <v>{</v>
      </c>
      <c r="Z466">
        <f>INDEX(script.out!N:N,results.txt!$M466)</f>
        <v>31.732836546697602</v>
      </c>
      <c r="AA466">
        <f>INDEX(script.out!O:O,results.txt!$M466)</f>
        <v>13.5</v>
      </c>
      <c r="AB466">
        <f>INDEX(script.out!P:P,results.txt!$M466)</f>
        <v>6997.72</v>
      </c>
      <c r="AC466" t="str">
        <f>INDEX(script.out!Q:Q,results.txt!$M466)</f>
        <v>}</v>
      </c>
      <c r="AD466">
        <f t="shared" si="7"/>
        <v>2</v>
      </c>
    </row>
    <row r="467" spans="1:30" x14ac:dyDescent="0.25">
      <c r="A467" s="12" t="s">
        <v>5</v>
      </c>
      <c r="B467" s="12">
        <v>-3</v>
      </c>
      <c r="C467" s="12">
        <v>0.91884299999999997</v>
      </c>
      <c r="D467" s="12">
        <v>1.7326600000000001E-2</v>
      </c>
      <c r="E467" s="12">
        <v>0.56180099999999999</v>
      </c>
      <c r="F467" s="12">
        <v>-3</v>
      </c>
      <c r="G467" s="12">
        <v>9.1264299999999992</v>
      </c>
      <c r="H467" s="12">
        <v>72.25</v>
      </c>
      <c r="I467" s="12">
        <v>230.62299999999999</v>
      </c>
      <c r="J467" s="12" t="s">
        <v>3</v>
      </c>
      <c r="K467" s="12">
        <v>0</v>
      </c>
      <c r="M467">
        <f>MATCH(C467,script.out!B:B,0)</f>
        <v>603</v>
      </c>
      <c r="N467">
        <f>INDEX(script.out!B:B,results.txt!$M467)</f>
        <v>0.91884299999999997</v>
      </c>
      <c r="O467">
        <f>INDEX(script.out!C:C,results.txt!$M467)</f>
        <v>1.7326600000000001E-2</v>
      </c>
      <c r="P467">
        <f>INDEX(script.out!D:D,results.txt!$M467)</f>
        <v>0.56180099999999999</v>
      </c>
      <c r="Q467">
        <f>INDEX(script.out!E:E,results.txt!$M467)</f>
        <v>9.1264309502655703</v>
      </c>
      <c r="R467">
        <f>INDEX(script.out!F:F,results.txt!$M467)</f>
        <v>72.25</v>
      </c>
      <c r="S467">
        <f>INDEX(script.out!G:G,results.txt!$M467)</f>
        <v>230.62291717095101</v>
      </c>
      <c r="T467" t="str">
        <f>INDEX(script.out!H:H,results.txt!$M467)</f>
        <v>{</v>
      </c>
      <c r="U467">
        <f>INDEX(script.out!I:I,results.txt!$M467)</f>
        <v>1.035074</v>
      </c>
      <c r="V467">
        <f>INDEX(script.out!J:J,results.txt!$M467)</f>
        <v>108.66330000000001</v>
      </c>
      <c r="W467">
        <f>INDEX(script.out!K:K,results.txt!$M467)</f>
        <v>341.46258999999998</v>
      </c>
      <c r="X467" t="str">
        <f>INDEX(script.out!L:L,results.txt!$M467)</f>
        <v>}</v>
      </c>
      <c r="Y467" t="str">
        <f>INDEX(script.out!M:M,results.txt!$M467)</f>
        <v>{</v>
      </c>
      <c r="Z467">
        <f>INDEX(script.out!N:N,results.txt!$M467)</f>
        <v>13.020998336686899</v>
      </c>
      <c r="AA467">
        <f>INDEX(script.out!O:O,results.txt!$M467)</f>
        <v>16.5</v>
      </c>
      <c r="AB467">
        <f>INDEX(script.out!P:P,results.txt!$M467)</f>
        <v>1757.01</v>
      </c>
      <c r="AC467" t="str">
        <f>INDEX(script.out!Q:Q,results.txt!$M467)</f>
        <v>}</v>
      </c>
      <c r="AD467">
        <f t="shared" si="7"/>
        <v>2</v>
      </c>
    </row>
    <row r="468" spans="1:30" x14ac:dyDescent="0.25">
      <c r="A468" s="12" t="s">
        <v>5</v>
      </c>
      <c r="B468" s="12">
        <v>-3</v>
      </c>
      <c r="C468" s="12">
        <v>0.190052</v>
      </c>
      <c r="D468" s="12">
        <v>5.5054199999999998E-2</v>
      </c>
      <c r="E468" s="12">
        <v>0.14002999999999999</v>
      </c>
      <c r="F468" s="12">
        <v>-3</v>
      </c>
      <c r="G468" s="12">
        <v>27.8935</v>
      </c>
      <c r="H468" s="12">
        <v>100</v>
      </c>
      <c r="I468" s="12">
        <v>1.07989E-2</v>
      </c>
      <c r="J468" s="12" t="s">
        <v>3</v>
      </c>
      <c r="K468" s="12">
        <v>0</v>
      </c>
      <c r="M468">
        <f>MATCH(C468,script.out!B:B,0)</f>
        <v>609</v>
      </c>
      <c r="N468">
        <f>INDEX(script.out!B:B,results.txt!$M468)</f>
        <v>0.190052</v>
      </c>
      <c r="O468">
        <f>INDEX(script.out!C:C,results.txt!$M468)</f>
        <v>5.5054199999999998E-2</v>
      </c>
      <c r="P468">
        <f>INDEX(script.out!D:D,results.txt!$M468)</f>
        <v>0.14002999999999999</v>
      </c>
      <c r="Q468">
        <f>INDEX(script.out!E:E,results.txt!$M468)</f>
        <v>27.893458563471</v>
      </c>
      <c r="R468">
        <f>INDEX(script.out!F:F,results.txt!$M468)</f>
        <v>100</v>
      </c>
      <c r="S468">
        <f>INDEX(script.out!G:G,results.txt!$M468)</f>
        <v>1.0798910865077799E-2</v>
      </c>
      <c r="T468" t="str">
        <f>INDEX(script.out!H:H,results.txt!$M468)</f>
        <v>{</v>
      </c>
      <c r="U468">
        <f>INDEX(script.out!I:I,results.txt!$M468)</f>
        <v>0.45204100000000003</v>
      </c>
      <c r="V468">
        <f>INDEX(script.out!J:J,results.txt!$M468)</f>
        <v>127.5271</v>
      </c>
      <c r="W468">
        <f>INDEX(script.out!K:K,results.txt!$M468)</f>
        <v>92.617699999999999</v>
      </c>
      <c r="X468" t="str">
        <f>INDEX(script.out!L:L,results.txt!$M468)</f>
        <v>}</v>
      </c>
      <c r="Y468" t="str">
        <f>INDEX(script.out!M:M,results.txt!$M468)</f>
        <v>{</v>
      </c>
      <c r="Z468">
        <f>INDEX(script.out!N:N,results.txt!$M468)</f>
        <v>15.2814258078165</v>
      </c>
      <c r="AA468">
        <f>INDEX(script.out!O:O,results.txt!$M468)</f>
        <v>18</v>
      </c>
      <c r="AB468">
        <f>INDEX(script.out!P:P,results.txt!$M468)</f>
        <v>7262.07</v>
      </c>
      <c r="AC468" t="str">
        <f>INDEX(script.out!Q:Q,results.txt!$M468)</f>
        <v>}</v>
      </c>
      <c r="AD468">
        <f t="shared" si="7"/>
        <v>2</v>
      </c>
    </row>
    <row r="469" spans="1:30" x14ac:dyDescent="0.25">
      <c r="A469" s="12" t="s">
        <v>5</v>
      </c>
      <c r="B469" s="12">
        <v>-3</v>
      </c>
      <c r="C469" s="12">
        <v>0.92207799999999995</v>
      </c>
      <c r="D469" s="12">
        <v>5.4322199999999998E-3</v>
      </c>
      <c r="E469" s="12">
        <v>0.61616499999999996</v>
      </c>
      <c r="F469" s="12">
        <v>-3</v>
      </c>
      <c r="G469" s="12">
        <v>5.3285</v>
      </c>
      <c r="H469" s="12">
        <v>72.25</v>
      </c>
      <c r="I469" s="12">
        <v>248.83199999999999</v>
      </c>
      <c r="J469" s="12" t="s">
        <v>3</v>
      </c>
      <c r="K469" s="12">
        <v>0</v>
      </c>
      <c r="M469">
        <f>MATCH(C469,script.out!B:B,0)</f>
        <v>611</v>
      </c>
      <c r="N469">
        <f>INDEX(script.out!B:B,results.txt!$M469)</f>
        <v>0.92207799999999995</v>
      </c>
      <c r="O469">
        <f>INDEX(script.out!C:C,results.txt!$M469)</f>
        <v>5.4322199999999998E-3</v>
      </c>
      <c r="P469">
        <f>INDEX(script.out!D:D,results.txt!$M469)</f>
        <v>0.61616499999999996</v>
      </c>
      <c r="Q469">
        <f>INDEX(script.out!E:E,results.txt!$M469)</f>
        <v>5.3284953959554304</v>
      </c>
      <c r="R469">
        <f>INDEX(script.out!F:F,results.txt!$M469)</f>
        <v>72.25</v>
      </c>
      <c r="S469">
        <f>INDEX(script.out!G:G,results.txt!$M469)</f>
        <v>248.83204110039401</v>
      </c>
      <c r="T469" t="str">
        <f>INDEX(script.out!H:H,results.txt!$M469)</f>
        <v>{</v>
      </c>
      <c r="U469">
        <f>INDEX(script.out!I:I,results.txt!$M469)</f>
        <v>1.0376620000000001</v>
      </c>
      <c r="V469">
        <f>INDEX(script.out!J:J,results.txt!$M469)</f>
        <v>102.71611</v>
      </c>
      <c r="W469">
        <f>INDEX(script.out!K:K,results.txt!$M469)</f>
        <v>373.53735</v>
      </c>
      <c r="X469" t="str">
        <f>INDEX(script.out!L:L,results.txt!$M469)</f>
        <v>}</v>
      </c>
      <c r="Y469" t="str">
        <f>INDEX(script.out!M:M,results.txt!$M469)</f>
        <v>{</v>
      </c>
      <c r="Z469">
        <f>INDEX(script.out!N:N,results.txt!$M469)</f>
        <v>12.3083533949452</v>
      </c>
      <c r="AA469">
        <f>INDEX(script.out!O:O,results.txt!$M469)</f>
        <v>16.5</v>
      </c>
      <c r="AB469">
        <f>INDEX(script.out!P:P,results.txt!$M469)</f>
        <v>1542.34</v>
      </c>
      <c r="AC469" t="str">
        <f>INDEX(script.out!Q:Q,results.txt!$M469)</f>
        <v>}</v>
      </c>
      <c r="AD469">
        <f t="shared" si="7"/>
        <v>2</v>
      </c>
    </row>
    <row r="470" spans="1:30" x14ac:dyDescent="0.25">
      <c r="A470" s="12" t="s">
        <v>5</v>
      </c>
      <c r="B470" s="12">
        <v>-3</v>
      </c>
      <c r="C470" s="12">
        <v>0.90659400000000001</v>
      </c>
      <c r="D470" s="12">
        <v>0.30770199999999998</v>
      </c>
      <c r="E470" s="12">
        <v>0.57460999999999995</v>
      </c>
      <c r="F470" s="12">
        <v>-3</v>
      </c>
      <c r="G470" s="12">
        <v>416.92200000000003</v>
      </c>
      <c r="H470" s="12">
        <v>36</v>
      </c>
      <c r="I470" s="12">
        <v>0.82491199999999998</v>
      </c>
      <c r="J470" s="12" t="s">
        <v>3</v>
      </c>
      <c r="K470" s="12">
        <v>0</v>
      </c>
      <c r="M470">
        <f>MATCH(C470,script.out!B:B,0)</f>
        <v>613</v>
      </c>
      <c r="N470">
        <f>INDEX(script.out!B:B,results.txt!$M470)</f>
        <v>0.90659400000000001</v>
      </c>
      <c r="O470">
        <f>INDEX(script.out!C:C,results.txt!$M470)</f>
        <v>0.30770199999999998</v>
      </c>
      <c r="P470">
        <f>INDEX(script.out!D:D,results.txt!$M470)</f>
        <v>0.57460999999999995</v>
      </c>
      <c r="Q470">
        <f>INDEX(script.out!E:E,results.txt!$M470)</f>
        <v>416.922229241048</v>
      </c>
      <c r="R470">
        <f>INDEX(script.out!F:F,results.txt!$M470)</f>
        <v>36</v>
      </c>
      <c r="S470">
        <f>INDEX(script.out!G:G,results.txt!$M470)</f>
        <v>0.82491184162131703</v>
      </c>
      <c r="T470" t="str">
        <f>INDEX(script.out!H:H,results.txt!$M470)</f>
        <v>{</v>
      </c>
      <c r="U470">
        <f>INDEX(script.out!I:I,results.txt!$M470)</f>
        <v>1.0252749999999999</v>
      </c>
      <c r="V470">
        <f>INDEX(script.out!J:J,results.txt!$M470)</f>
        <v>253.851</v>
      </c>
      <c r="W470">
        <f>INDEX(script.out!K:K,results.txt!$M470)</f>
        <v>349.01990000000001</v>
      </c>
      <c r="X470" t="str">
        <f>INDEX(script.out!L:L,results.txt!$M470)</f>
        <v>}</v>
      </c>
      <c r="Y470" t="str">
        <f>INDEX(script.out!M:M,results.txt!$M470)</f>
        <v>{</v>
      </c>
      <c r="Z470">
        <f>INDEX(script.out!N:N,results.txt!$M470)</f>
        <v>30.418673542643401</v>
      </c>
      <c r="AA470">
        <f>INDEX(script.out!O:O,results.txt!$M470)</f>
        <v>14</v>
      </c>
      <c r="AB470">
        <f>INDEX(script.out!P:P,results.txt!$M470)</f>
        <v>6968.49</v>
      </c>
      <c r="AC470" t="str">
        <f>INDEX(script.out!Q:Q,results.txt!$M470)</f>
        <v>}</v>
      </c>
      <c r="AD470">
        <f t="shared" si="7"/>
        <v>2</v>
      </c>
    </row>
    <row r="471" spans="1:30" x14ac:dyDescent="0.25">
      <c r="A471" s="12" t="s">
        <v>5</v>
      </c>
      <c r="B471" s="12">
        <v>-3</v>
      </c>
      <c r="C471" s="12">
        <v>1.0446200000000001</v>
      </c>
      <c r="D471" s="12">
        <v>0.13877500000000001</v>
      </c>
      <c r="E471" s="12">
        <v>0.63427999999999995</v>
      </c>
      <c r="F471" s="12">
        <v>-3</v>
      </c>
      <c r="G471" s="12">
        <v>106.039</v>
      </c>
      <c r="H471" s="12">
        <v>36</v>
      </c>
      <c r="I471" s="12">
        <v>111.089</v>
      </c>
      <c r="J471" s="12" t="s">
        <v>3</v>
      </c>
      <c r="K471" s="12">
        <v>0</v>
      </c>
      <c r="M471">
        <f>MATCH(C471,script.out!B:B,0)</f>
        <v>627</v>
      </c>
      <c r="N471">
        <f>INDEX(script.out!B:B,results.txt!$M471)</f>
        <v>1.0446200000000001</v>
      </c>
      <c r="O471">
        <f>INDEX(script.out!C:C,results.txt!$M471)</f>
        <v>0.13877500000000001</v>
      </c>
      <c r="P471">
        <f>INDEX(script.out!D:D,results.txt!$M471)</f>
        <v>0.63427999999999995</v>
      </c>
      <c r="Q471">
        <f>INDEX(script.out!E:E,results.txt!$M471)</f>
        <v>106.038700330285</v>
      </c>
      <c r="R471">
        <f>INDEX(script.out!F:F,results.txt!$M471)</f>
        <v>36</v>
      </c>
      <c r="S471">
        <f>INDEX(script.out!G:G,results.txt!$M471)</f>
        <v>111.088712347532</v>
      </c>
      <c r="T471" t="str">
        <f>INDEX(script.out!H:H,results.txt!$M471)</f>
        <v>{</v>
      </c>
      <c r="U471">
        <f>INDEX(script.out!I:I,results.txt!$M471)</f>
        <v>1.1356900000000001</v>
      </c>
      <c r="V471">
        <f>INDEX(script.out!J:J,results.txt!$M471)</f>
        <v>169.38749999999999</v>
      </c>
      <c r="W471">
        <f>INDEX(script.out!K:K,results.txt!$M471)</f>
        <v>384.22519999999997</v>
      </c>
      <c r="X471" t="str">
        <f>INDEX(script.out!L:L,results.txt!$M471)</f>
        <v>}</v>
      </c>
      <c r="Y471" t="str">
        <f>INDEX(script.out!M:M,results.txt!$M471)</f>
        <v>{</v>
      </c>
      <c r="Z471">
        <f>INDEX(script.out!N:N,results.txt!$M471)</f>
        <v>20.297509423655999</v>
      </c>
      <c r="AA471">
        <f>INDEX(script.out!O:O,results.txt!$M471)</f>
        <v>14</v>
      </c>
      <c r="AB471">
        <f>INDEX(script.out!P:P,results.txt!$M471)</f>
        <v>3452.95</v>
      </c>
      <c r="AC471" t="str">
        <f>INDEX(script.out!Q:Q,results.txt!$M471)</f>
        <v>}</v>
      </c>
      <c r="AD471">
        <f t="shared" si="7"/>
        <v>2</v>
      </c>
    </row>
    <row r="472" spans="1:30" x14ac:dyDescent="0.25">
      <c r="A472" s="12" t="s">
        <v>5</v>
      </c>
      <c r="B472" s="12">
        <v>-3</v>
      </c>
      <c r="C472" s="12">
        <v>1.04348</v>
      </c>
      <c r="D472" s="12">
        <v>0.240257</v>
      </c>
      <c r="E472" s="12">
        <v>0.55623199999999995</v>
      </c>
      <c r="F472" s="12">
        <v>-3</v>
      </c>
      <c r="G472" s="12">
        <v>268.23099999999999</v>
      </c>
      <c r="H472" s="12">
        <v>36</v>
      </c>
      <c r="I472" s="12">
        <v>46.206499999999998</v>
      </c>
      <c r="J472" s="12" t="s">
        <v>3</v>
      </c>
      <c r="K472" s="12">
        <v>0</v>
      </c>
      <c r="M472">
        <f>MATCH(C472,script.out!B:B,0)</f>
        <v>628</v>
      </c>
      <c r="N472">
        <f>INDEX(script.out!B:B,results.txt!$M472)</f>
        <v>1.04348</v>
      </c>
      <c r="O472">
        <f>INDEX(script.out!C:C,results.txt!$M472)</f>
        <v>0.240257</v>
      </c>
      <c r="P472">
        <f>INDEX(script.out!D:D,results.txt!$M472)</f>
        <v>0.55623199999999995</v>
      </c>
      <c r="Q472">
        <f>INDEX(script.out!E:E,results.txt!$M472)</f>
        <v>268.23053553500102</v>
      </c>
      <c r="R472">
        <f>INDEX(script.out!F:F,results.txt!$M472)</f>
        <v>36</v>
      </c>
      <c r="S472">
        <f>INDEX(script.out!G:G,results.txt!$M472)</f>
        <v>46.206471833364603</v>
      </c>
      <c r="T472" t="str">
        <f>INDEX(script.out!H:H,results.txt!$M472)</f>
        <v>{</v>
      </c>
      <c r="U472">
        <f>INDEX(script.out!I:I,results.txt!$M472)</f>
        <v>1.1347799999999999</v>
      </c>
      <c r="V472">
        <f>INDEX(script.out!J:J,results.txt!$M472)</f>
        <v>220.1285</v>
      </c>
      <c r="W472">
        <f>INDEX(script.out!K:K,results.txt!$M472)</f>
        <v>338.17687999999998</v>
      </c>
      <c r="X472" t="str">
        <f>INDEX(script.out!L:L,results.txt!$M472)</f>
        <v>}</v>
      </c>
      <c r="Y472" t="str">
        <f>INDEX(script.out!M:M,results.txt!$M472)</f>
        <v>{</v>
      </c>
      <c r="Z472">
        <f>INDEX(script.out!N:N,results.txt!$M472)</f>
        <v>26.377745129748501</v>
      </c>
      <c r="AA472">
        <f>INDEX(script.out!O:O,results.txt!$M472)</f>
        <v>14</v>
      </c>
      <c r="AB472">
        <f>INDEX(script.out!P:P,results.txt!$M472)</f>
        <v>4818.8999999999996</v>
      </c>
      <c r="AC472" t="str">
        <f>INDEX(script.out!Q:Q,results.txt!$M472)</f>
        <v>}</v>
      </c>
      <c r="AD472">
        <f t="shared" si="7"/>
        <v>2</v>
      </c>
    </row>
    <row r="473" spans="1:30" x14ac:dyDescent="0.25">
      <c r="A473" s="12" t="s">
        <v>5</v>
      </c>
      <c r="B473" s="12">
        <v>-3</v>
      </c>
      <c r="C473" s="12">
        <v>1.02474</v>
      </c>
      <c r="D473" s="12">
        <v>0.14191699999999999</v>
      </c>
      <c r="E473" s="12">
        <v>0.55102700000000004</v>
      </c>
      <c r="F473" s="12">
        <v>-3</v>
      </c>
      <c r="G473" s="12">
        <v>109.95099999999999</v>
      </c>
      <c r="H473" s="12">
        <v>36</v>
      </c>
      <c r="I473" s="12">
        <v>85.622799999999998</v>
      </c>
      <c r="J473" s="12" t="s">
        <v>3</v>
      </c>
      <c r="K473" s="12">
        <v>0</v>
      </c>
      <c r="M473">
        <f>MATCH(C473,script.out!B:B,0)</f>
        <v>629</v>
      </c>
      <c r="N473">
        <f>INDEX(script.out!B:B,results.txt!$M473)</f>
        <v>1.02474</v>
      </c>
      <c r="O473">
        <f>INDEX(script.out!C:C,results.txt!$M473)</f>
        <v>0.14191699999999999</v>
      </c>
      <c r="P473">
        <f>INDEX(script.out!D:D,results.txt!$M473)</f>
        <v>0.55102700000000004</v>
      </c>
      <c r="Q473">
        <f>INDEX(script.out!E:E,results.txt!$M473)</f>
        <v>109.951174267487</v>
      </c>
      <c r="R473">
        <f>INDEX(script.out!F:F,results.txt!$M473)</f>
        <v>36</v>
      </c>
      <c r="S473">
        <f>INDEX(script.out!G:G,results.txt!$M473)</f>
        <v>85.622825697879506</v>
      </c>
      <c r="T473" t="str">
        <f>INDEX(script.out!H:H,results.txt!$M473)</f>
        <v>{</v>
      </c>
      <c r="U473">
        <f>INDEX(script.out!I:I,results.txt!$M473)</f>
        <v>1.1197900000000001</v>
      </c>
      <c r="V473">
        <f>INDEX(script.out!J:J,results.txt!$M473)</f>
        <v>170.95849999999999</v>
      </c>
      <c r="W473">
        <f>INDEX(script.out!K:K,results.txt!$M473)</f>
        <v>335.10593</v>
      </c>
      <c r="X473" t="str">
        <f>INDEX(script.out!L:L,results.txt!$M473)</f>
        <v>}</v>
      </c>
      <c r="Y473" t="str">
        <f>INDEX(script.out!M:M,results.txt!$M473)</f>
        <v>{</v>
      </c>
      <c r="Z473">
        <f>INDEX(script.out!N:N,results.txt!$M473)</f>
        <v>20.485760547880499</v>
      </c>
      <c r="AA473">
        <f>INDEX(script.out!O:O,results.txt!$M473)</f>
        <v>14</v>
      </c>
      <c r="AB473">
        <f>INDEX(script.out!P:P,results.txt!$M473)</f>
        <v>3922.56</v>
      </c>
      <c r="AC473" t="str">
        <f>INDEX(script.out!Q:Q,results.txt!$M473)</f>
        <v>}</v>
      </c>
      <c r="AD473">
        <f t="shared" si="7"/>
        <v>2</v>
      </c>
    </row>
    <row r="474" spans="1:30" x14ac:dyDescent="0.25">
      <c r="A474" s="12" t="s">
        <v>5</v>
      </c>
      <c r="B474" s="12">
        <v>-3</v>
      </c>
      <c r="C474" s="12">
        <v>1.0447500000000001</v>
      </c>
      <c r="D474" s="12">
        <v>3.7119300000000001E-2</v>
      </c>
      <c r="E474" s="12">
        <v>0.64341899999999996</v>
      </c>
      <c r="F474" s="12">
        <v>-3</v>
      </c>
      <c r="G474" s="12">
        <v>17.697700000000001</v>
      </c>
      <c r="H474" s="12">
        <v>49</v>
      </c>
      <c r="I474" s="12">
        <v>217.19200000000001</v>
      </c>
      <c r="J474" s="12" t="s">
        <v>3</v>
      </c>
      <c r="K474" s="12">
        <v>0</v>
      </c>
      <c r="M474">
        <f>MATCH(C474,script.out!B:B,0)</f>
        <v>645</v>
      </c>
      <c r="N474">
        <f>INDEX(script.out!B:B,results.txt!$M474)</f>
        <v>1.0447500000000001</v>
      </c>
      <c r="O474">
        <f>INDEX(script.out!C:C,results.txt!$M474)</f>
        <v>3.7119300000000001E-2</v>
      </c>
      <c r="P474">
        <f>INDEX(script.out!D:D,results.txt!$M474)</f>
        <v>0.64341899999999996</v>
      </c>
      <c r="Q474">
        <f>INDEX(script.out!E:E,results.txt!$M474)</f>
        <v>17.697726437846399</v>
      </c>
      <c r="R474">
        <f>INDEX(script.out!F:F,results.txt!$M474)</f>
        <v>49</v>
      </c>
      <c r="S474">
        <f>INDEX(script.out!G:G,results.txt!$M474)</f>
        <v>217.192493067367</v>
      </c>
      <c r="T474" t="str">
        <f>INDEX(script.out!H:H,results.txt!$M474)</f>
        <v>{</v>
      </c>
      <c r="U474">
        <f>INDEX(script.out!I:I,results.txt!$M474)</f>
        <v>1.1357999999999999</v>
      </c>
      <c r="V474">
        <f>INDEX(script.out!J:J,results.txt!$M474)</f>
        <v>118.55965</v>
      </c>
      <c r="W474">
        <f>INDEX(script.out!K:K,results.txt!$M474)</f>
        <v>389.61721</v>
      </c>
      <c r="X474" t="str">
        <f>INDEX(script.out!L:L,results.txt!$M474)</f>
        <v>}</v>
      </c>
      <c r="Y474" t="str">
        <f>INDEX(script.out!M:M,results.txt!$M474)</f>
        <v>{</v>
      </c>
      <c r="Z474">
        <f>INDEX(script.out!N:N,results.txt!$M474)</f>
        <v>14.2068665818928</v>
      </c>
      <c r="AA474">
        <f>INDEX(script.out!O:O,results.txt!$M474)</f>
        <v>15</v>
      </c>
      <c r="AB474">
        <f>INDEX(script.out!P:P,results.txt!$M474)</f>
        <v>1920.83</v>
      </c>
      <c r="AC474" t="str">
        <f>INDEX(script.out!Q:Q,results.txt!$M474)</f>
        <v>}</v>
      </c>
      <c r="AD474">
        <f t="shared" si="7"/>
        <v>2</v>
      </c>
    </row>
    <row r="475" spans="1:30" x14ac:dyDescent="0.25">
      <c r="A475" s="12" t="s">
        <v>5</v>
      </c>
      <c r="B475" s="12">
        <v>-3</v>
      </c>
      <c r="C475" s="12">
        <v>0.54935699999999998</v>
      </c>
      <c r="D475" s="12">
        <v>3.6383400000000003E-2</v>
      </c>
      <c r="E475" s="12">
        <v>0.17711099999999999</v>
      </c>
      <c r="F475" s="12">
        <v>-3</v>
      </c>
      <c r="G475" s="12">
        <v>17.328700000000001</v>
      </c>
      <c r="H475" s="12">
        <v>100</v>
      </c>
      <c r="I475" s="12">
        <v>7.92461E-2</v>
      </c>
      <c r="J475" s="12" t="s">
        <v>3</v>
      </c>
      <c r="K475" s="12">
        <v>0</v>
      </c>
      <c r="M475">
        <f>MATCH(C475,script.out!B:B,0)</f>
        <v>650</v>
      </c>
      <c r="N475">
        <f>INDEX(script.out!B:B,results.txt!$M475)</f>
        <v>0.54935699999999998</v>
      </c>
      <c r="O475">
        <f>INDEX(script.out!C:C,results.txt!$M475)</f>
        <v>3.6383400000000003E-2</v>
      </c>
      <c r="P475">
        <f>INDEX(script.out!D:D,results.txt!$M475)</f>
        <v>0.17711099999999999</v>
      </c>
      <c r="Q475">
        <f>INDEX(script.out!E:E,results.txt!$M475)</f>
        <v>17.328700332382699</v>
      </c>
      <c r="R475">
        <f>INDEX(script.out!F:F,results.txt!$M475)</f>
        <v>100</v>
      </c>
      <c r="S475">
        <f>INDEX(script.out!G:G,results.txt!$M475)</f>
        <v>7.9246106211296602E-2</v>
      </c>
      <c r="T475" t="str">
        <f>INDEX(script.out!H:H,results.txt!$M475)</f>
        <v>{</v>
      </c>
      <c r="U475">
        <f>INDEX(script.out!I:I,results.txt!$M475)</f>
        <v>0.73948499999999995</v>
      </c>
      <c r="V475">
        <f>INDEX(script.out!J:J,results.txt!$M475)</f>
        <v>118.1917</v>
      </c>
      <c r="W475">
        <f>INDEX(script.out!K:K,results.txt!$M475)</f>
        <v>114.49549</v>
      </c>
      <c r="X475" t="str">
        <f>INDEX(script.out!L:L,results.txt!$M475)</f>
        <v>}</v>
      </c>
      <c r="Y475" t="str">
        <f>INDEX(script.out!M:M,results.txt!$M475)</f>
        <v>{</v>
      </c>
      <c r="Z475">
        <f>INDEX(script.out!N:N,results.txt!$M475)</f>
        <v>14.1627755563305</v>
      </c>
      <c r="AA475">
        <f>INDEX(script.out!O:O,results.txt!$M475)</f>
        <v>18</v>
      </c>
      <c r="AB475">
        <f>INDEX(script.out!P:P,results.txt!$M475)</f>
        <v>7402.75</v>
      </c>
      <c r="AC475" t="str">
        <f>INDEX(script.out!Q:Q,results.txt!$M475)</f>
        <v>}</v>
      </c>
      <c r="AD475">
        <f t="shared" si="7"/>
        <v>2</v>
      </c>
    </row>
    <row r="476" spans="1:30" x14ac:dyDescent="0.25">
      <c r="A476" s="12" t="s">
        <v>5</v>
      </c>
      <c r="B476" s="12">
        <v>-3</v>
      </c>
      <c r="C476" s="12">
        <v>0.98429999999999995</v>
      </c>
      <c r="D476" s="12">
        <v>3.25475E-2</v>
      </c>
      <c r="E476" s="12">
        <v>0.65069900000000003</v>
      </c>
      <c r="F476" s="12">
        <v>-3</v>
      </c>
      <c r="G476" s="12">
        <v>15.4681</v>
      </c>
      <c r="H476" s="12">
        <v>56.25</v>
      </c>
      <c r="I476" s="12">
        <v>216.358</v>
      </c>
      <c r="J476" s="12" t="s">
        <v>3</v>
      </c>
      <c r="K476" s="12">
        <v>0</v>
      </c>
      <c r="M476">
        <f>MATCH(C476,script.out!B:B,0)</f>
        <v>654</v>
      </c>
      <c r="N476">
        <f>INDEX(script.out!B:B,results.txt!$M476)</f>
        <v>0.98429999999999995</v>
      </c>
      <c r="O476">
        <f>INDEX(script.out!C:C,results.txt!$M476)</f>
        <v>3.25475E-2</v>
      </c>
      <c r="P476">
        <f>INDEX(script.out!D:D,results.txt!$M476)</f>
        <v>0.65069900000000003</v>
      </c>
      <c r="Q476">
        <f>INDEX(script.out!E:E,results.txt!$M476)</f>
        <v>15.468094226900201</v>
      </c>
      <c r="R476">
        <f>INDEX(script.out!F:F,results.txt!$M476)</f>
        <v>56.25</v>
      </c>
      <c r="S476">
        <f>INDEX(script.out!G:G,results.txt!$M476)</f>
        <v>216.35750191330399</v>
      </c>
      <c r="T476" t="str">
        <f>INDEX(script.out!H:H,results.txt!$M476)</f>
        <v>{</v>
      </c>
      <c r="U476">
        <f>INDEX(script.out!I:I,results.txt!$M476)</f>
        <v>1.0873999999999999</v>
      </c>
      <c r="V476">
        <f>INDEX(script.out!J:J,results.txt!$M476)</f>
        <v>116.27375000000001</v>
      </c>
      <c r="W476">
        <f>INDEX(script.out!K:K,results.txt!$M476)</f>
        <v>393.91241000000002</v>
      </c>
      <c r="X476" t="str">
        <f>INDEX(script.out!L:L,results.txt!$M476)</f>
        <v>}</v>
      </c>
      <c r="Y476" t="str">
        <f>INDEX(script.out!M:M,results.txt!$M476)</f>
        <v>{</v>
      </c>
      <c r="Z476">
        <f>INDEX(script.out!N:N,results.txt!$M476)</f>
        <v>13.932949812405401</v>
      </c>
      <c r="AA476">
        <f>INDEX(script.out!O:O,results.txt!$M476)</f>
        <v>15.5</v>
      </c>
      <c r="AB476">
        <f>INDEX(script.out!P:P,results.txt!$M476)</f>
        <v>1931.18</v>
      </c>
      <c r="AC476" t="str">
        <f>INDEX(script.out!Q:Q,results.txt!$M476)</f>
        <v>}</v>
      </c>
      <c r="AD476">
        <f t="shared" si="7"/>
        <v>2</v>
      </c>
    </row>
    <row r="477" spans="1:30" x14ac:dyDescent="0.25">
      <c r="A477" s="12" t="s">
        <v>5</v>
      </c>
      <c r="B477" s="12">
        <v>-3</v>
      </c>
      <c r="C477" s="12">
        <v>1.0440400000000001</v>
      </c>
      <c r="D477" s="12">
        <v>4.15559E-2</v>
      </c>
      <c r="E477" s="12">
        <v>0.57645299999999999</v>
      </c>
      <c r="F477" s="12">
        <v>-3</v>
      </c>
      <c r="G477" s="12">
        <v>20.004899999999999</v>
      </c>
      <c r="H477" s="12">
        <v>49</v>
      </c>
      <c r="I477" s="12">
        <v>195.066</v>
      </c>
      <c r="J477" s="12" t="s">
        <v>3</v>
      </c>
      <c r="K477" s="12">
        <v>0</v>
      </c>
      <c r="M477">
        <f>MATCH(C477,script.out!B:B,0)</f>
        <v>656</v>
      </c>
      <c r="N477">
        <f>INDEX(script.out!B:B,results.txt!$M477)</f>
        <v>1.0440400000000001</v>
      </c>
      <c r="O477">
        <f>INDEX(script.out!C:C,results.txt!$M477)</f>
        <v>4.15559E-2</v>
      </c>
      <c r="P477">
        <f>INDEX(script.out!D:D,results.txt!$M477)</f>
        <v>0.57645299999999999</v>
      </c>
      <c r="Q477">
        <f>INDEX(script.out!E:E,results.txt!$M477)</f>
        <v>20.004892512543101</v>
      </c>
      <c r="R477">
        <f>INDEX(script.out!F:F,results.txt!$M477)</f>
        <v>49</v>
      </c>
      <c r="S477">
        <f>INDEX(script.out!G:G,results.txt!$M477)</f>
        <v>195.06599208932201</v>
      </c>
      <c r="T477" t="str">
        <f>INDEX(script.out!H:H,results.txt!$M477)</f>
        <v>{</v>
      </c>
      <c r="U477">
        <f>INDEX(script.out!I:I,results.txt!$M477)</f>
        <v>1.13523</v>
      </c>
      <c r="V477">
        <f>INDEX(script.out!J:J,results.txt!$M477)</f>
        <v>120.77795</v>
      </c>
      <c r="W477">
        <f>INDEX(script.out!K:K,results.txt!$M477)</f>
        <v>350.10727000000003</v>
      </c>
      <c r="X477" t="str">
        <f>INDEX(script.out!L:L,results.txt!$M477)</f>
        <v>}</v>
      </c>
      <c r="Y477" t="str">
        <f>INDEX(script.out!M:M,results.txt!$M477)</f>
        <v>{</v>
      </c>
      <c r="Z477">
        <f>INDEX(script.out!N:N,results.txt!$M477)</f>
        <v>14.4726829210825</v>
      </c>
      <c r="AA477">
        <f>INDEX(script.out!O:O,results.txt!$M477)</f>
        <v>15</v>
      </c>
      <c r="AB477">
        <f>INDEX(script.out!P:P,results.txt!$M477)</f>
        <v>2202.19</v>
      </c>
      <c r="AC477" t="str">
        <f>INDEX(script.out!Q:Q,results.txt!$M477)</f>
        <v>}</v>
      </c>
      <c r="AD477">
        <f t="shared" si="7"/>
        <v>2</v>
      </c>
    </row>
    <row r="478" spans="1:30" x14ac:dyDescent="0.25">
      <c r="A478" s="12" t="s">
        <v>5</v>
      </c>
      <c r="B478" s="12">
        <v>-3</v>
      </c>
      <c r="C478" s="12">
        <v>0.97477800000000003</v>
      </c>
      <c r="D478" s="12">
        <v>0.126274</v>
      </c>
      <c r="E478" s="12">
        <v>0.54028900000000002</v>
      </c>
      <c r="F478" s="12">
        <v>-3</v>
      </c>
      <c r="G478" s="12">
        <v>91.174199999999999</v>
      </c>
      <c r="H478" s="12">
        <v>42.25</v>
      </c>
      <c r="I478" s="12">
        <v>86.242999999999995</v>
      </c>
      <c r="J478" s="12" t="s">
        <v>3</v>
      </c>
      <c r="K478" s="12">
        <v>0</v>
      </c>
      <c r="M478">
        <f>MATCH(C478,script.out!B:B,0)</f>
        <v>658</v>
      </c>
      <c r="N478">
        <f>INDEX(script.out!B:B,results.txt!$M478)</f>
        <v>0.97477800000000003</v>
      </c>
      <c r="O478">
        <f>INDEX(script.out!C:C,results.txt!$M478)</f>
        <v>0.126274</v>
      </c>
      <c r="P478">
        <f>INDEX(script.out!D:D,results.txt!$M478)</f>
        <v>0.54028900000000002</v>
      </c>
      <c r="Q478">
        <f>INDEX(script.out!E:E,results.txt!$M478)</f>
        <v>91.174218783902802</v>
      </c>
      <c r="R478">
        <f>INDEX(script.out!F:F,results.txt!$M478)</f>
        <v>42.25</v>
      </c>
      <c r="S478">
        <f>INDEX(script.out!G:G,results.txt!$M478)</f>
        <v>86.243025877275201</v>
      </c>
      <c r="T478" t="str">
        <f>INDEX(script.out!H:H,results.txt!$M478)</f>
        <v>{</v>
      </c>
      <c r="U478">
        <f>INDEX(script.out!I:I,results.txt!$M478)</f>
        <v>1.0798220000000001</v>
      </c>
      <c r="V478">
        <f>INDEX(script.out!J:J,results.txt!$M478)</f>
        <v>163.137</v>
      </c>
      <c r="W478">
        <f>INDEX(script.out!K:K,results.txt!$M478)</f>
        <v>328.77051</v>
      </c>
      <c r="X478" t="str">
        <f>INDEX(script.out!L:L,results.txt!$M478)</f>
        <v>}</v>
      </c>
      <c r="Y478" t="str">
        <f>INDEX(script.out!M:M,results.txt!$M478)</f>
        <v>{</v>
      </c>
      <c r="Z478">
        <f>INDEX(script.out!N:N,results.txt!$M478)</f>
        <v>19.548519193252002</v>
      </c>
      <c r="AA478">
        <f>INDEX(script.out!O:O,results.txt!$M478)</f>
        <v>14.5</v>
      </c>
      <c r="AB478">
        <f>INDEX(script.out!P:P,results.txt!$M478)</f>
        <v>3910.35</v>
      </c>
      <c r="AC478" t="str">
        <f>INDEX(script.out!Q:Q,results.txt!$M478)</f>
        <v>}</v>
      </c>
      <c r="AD478">
        <f t="shared" si="7"/>
        <v>2</v>
      </c>
    </row>
    <row r="479" spans="1:30" x14ac:dyDescent="0.25">
      <c r="A479" s="12" t="s">
        <v>5</v>
      </c>
      <c r="B479" s="12">
        <v>-3</v>
      </c>
      <c r="C479" s="12">
        <v>0.141454</v>
      </c>
      <c r="D479" s="12">
        <v>-2.71501E-2</v>
      </c>
      <c r="E479" s="12">
        <v>0.16461100000000001</v>
      </c>
      <c r="F479" s="12">
        <v>-3</v>
      </c>
      <c r="G479" s="12">
        <v>0.12687999999999999</v>
      </c>
      <c r="H479" s="12">
        <v>132.25</v>
      </c>
      <c r="I479" s="12">
        <v>90.090800000000002</v>
      </c>
      <c r="J479" s="12" t="s">
        <v>3</v>
      </c>
      <c r="K479" s="12">
        <v>0</v>
      </c>
      <c r="M479">
        <f>MATCH(C479,script.out!B:B,0)</f>
        <v>660</v>
      </c>
      <c r="N479">
        <f>INDEX(script.out!B:B,results.txt!$M479)</f>
        <v>0.141454</v>
      </c>
      <c r="O479">
        <f>INDEX(script.out!C:C,results.txt!$M479)</f>
        <v>-2.71501E-2</v>
      </c>
      <c r="P479">
        <f>INDEX(script.out!D:D,results.txt!$M479)</f>
        <v>0.16461100000000001</v>
      </c>
      <c r="Q479">
        <f>INDEX(script.out!E:E,results.txt!$M479)</f>
        <v>0.126880162526089</v>
      </c>
      <c r="R479">
        <f>INDEX(script.out!F:F,results.txt!$M479)</f>
        <v>132.25</v>
      </c>
      <c r="S479">
        <f>INDEX(script.out!G:G,results.txt!$M479)</f>
        <v>90.0907826128729</v>
      </c>
      <c r="T479" t="str">
        <f>INDEX(script.out!H:H,results.txt!$M479)</f>
        <v>{</v>
      </c>
      <c r="U479">
        <f>INDEX(script.out!I:I,results.txt!$M479)</f>
        <v>0.413163</v>
      </c>
      <c r="V479">
        <f>INDEX(script.out!J:J,results.txt!$M479)</f>
        <v>86.424949999999995</v>
      </c>
      <c r="W479">
        <f>INDEX(script.out!K:K,results.txt!$M479)</f>
        <v>107.12049</v>
      </c>
      <c r="X479" t="str">
        <f>INDEX(script.out!L:L,results.txt!$M479)</f>
        <v>}</v>
      </c>
      <c r="Y479" t="str">
        <f>INDEX(script.out!M:M,results.txt!$M479)</f>
        <v>{</v>
      </c>
      <c r="Z479">
        <f>INDEX(script.out!N:N,results.txt!$M479)</f>
        <v>10.3562024179116</v>
      </c>
      <c r="AA479">
        <f>INDEX(script.out!O:O,results.txt!$M479)</f>
        <v>19.5</v>
      </c>
      <c r="AB479">
        <f>INDEX(script.out!P:P,results.txt!$M479)</f>
        <v>3835.56</v>
      </c>
      <c r="AC479" t="str">
        <f>INDEX(script.out!Q:Q,results.txt!$M479)</f>
        <v>}</v>
      </c>
      <c r="AD479">
        <f t="shared" si="7"/>
        <v>2</v>
      </c>
    </row>
    <row r="480" spans="1:30" x14ac:dyDescent="0.25">
      <c r="A480" s="12" t="s">
        <v>5</v>
      </c>
      <c r="B480" s="12">
        <v>-3</v>
      </c>
      <c r="C480" s="12">
        <v>1.03495</v>
      </c>
      <c r="D480" s="12">
        <v>-8.3284199999999996E-3</v>
      </c>
      <c r="E480" s="12">
        <v>0.68238299999999996</v>
      </c>
      <c r="F480" s="12">
        <v>-3</v>
      </c>
      <c r="G480" s="12">
        <v>2.20194</v>
      </c>
      <c r="H480" s="12">
        <v>64</v>
      </c>
      <c r="I480" s="12">
        <v>273.51900000000001</v>
      </c>
      <c r="J480" s="12" t="s">
        <v>3</v>
      </c>
      <c r="K480" s="12">
        <v>0</v>
      </c>
      <c r="M480">
        <f>MATCH(C480,script.out!B:B,0)</f>
        <v>667</v>
      </c>
      <c r="N480">
        <f>INDEX(script.out!B:B,results.txt!$M480)</f>
        <v>1.03495</v>
      </c>
      <c r="O480">
        <f>INDEX(script.out!C:C,results.txt!$M480)</f>
        <v>-8.3284199999999996E-3</v>
      </c>
      <c r="P480">
        <f>INDEX(script.out!D:D,results.txt!$M480)</f>
        <v>0.68238299999999996</v>
      </c>
      <c r="Q480">
        <f>INDEX(script.out!E:E,results.txt!$M480)</f>
        <v>2.2019371233426299</v>
      </c>
      <c r="R480">
        <f>INDEX(script.out!F:F,results.txt!$M480)</f>
        <v>64</v>
      </c>
      <c r="S480">
        <f>INDEX(script.out!G:G,results.txt!$M480)</f>
        <v>273.51903704559902</v>
      </c>
      <c r="T480" t="str">
        <f>INDEX(script.out!H:H,results.txt!$M480)</f>
        <v>{</v>
      </c>
      <c r="U480">
        <f>INDEX(script.out!I:I,results.txt!$M480)</f>
        <v>1.1279600000000001</v>
      </c>
      <c r="V480">
        <f>INDEX(script.out!J:J,results.txt!$M480)</f>
        <v>95.835790000000003</v>
      </c>
      <c r="W480">
        <f>INDEX(script.out!K:K,results.txt!$M480)</f>
        <v>412.60597000000001</v>
      </c>
      <c r="X480" t="str">
        <f>INDEX(script.out!L:L,results.txt!$M480)</f>
        <v>}</v>
      </c>
      <c r="Y480" t="str">
        <f>INDEX(script.out!M:M,results.txt!$M480)</f>
        <v>{</v>
      </c>
      <c r="Z480">
        <f>INDEX(script.out!N:N,results.txt!$M480)</f>
        <v>11.483892557883699</v>
      </c>
      <c r="AA480">
        <f>INDEX(script.out!O:O,results.txt!$M480)</f>
        <v>16</v>
      </c>
      <c r="AB480">
        <f>INDEX(script.out!P:P,results.txt!$M480)</f>
        <v>1263.48</v>
      </c>
      <c r="AC480" t="str">
        <f>INDEX(script.out!Q:Q,results.txt!$M480)</f>
        <v>}</v>
      </c>
      <c r="AD480">
        <f t="shared" si="7"/>
        <v>2</v>
      </c>
    </row>
    <row r="481" spans="1:30" x14ac:dyDescent="0.25">
      <c r="A481" s="12" t="s">
        <v>5</v>
      </c>
      <c r="B481" s="12">
        <v>-3</v>
      </c>
      <c r="C481" s="12">
        <v>1.17293</v>
      </c>
      <c r="D481" s="12">
        <v>0.297954</v>
      </c>
      <c r="E481" s="12">
        <v>0.52996100000000002</v>
      </c>
      <c r="F481" s="12">
        <v>-3</v>
      </c>
      <c r="G481" s="12">
        <v>393.41199999999998</v>
      </c>
      <c r="H481" s="12">
        <v>30.25</v>
      </c>
      <c r="I481" s="12">
        <v>25.717700000000001</v>
      </c>
      <c r="J481" s="12" t="s">
        <v>3</v>
      </c>
      <c r="K481" s="12">
        <v>0</v>
      </c>
      <c r="M481">
        <f>MATCH(C481,script.out!B:B,0)</f>
        <v>669</v>
      </c>
      <c r="N481">
        <f>INDEX(script.out!B:B,results.txt!$M481)</f>
        <v>1.17293</v>
      </c>
      <c r="O481">
        <f>INDEX(script.out!C:C,results.txt!$M481)</f>
        <v>0.297954</v>
      </c>
      <c r="P481">
        <f>INDEX(script.out!D:D,results.txt!$M481)</f>
        <v>0.52996100000000002</v>
      </c>
      <c r="Q481">
        <f>INDEX(script.out!E:E,results.txt!$M481)</f>
        <v>393.41245699055202</v>
      </c>
      <c r="R481">
        <f>INDEX(script.out!F:F,results.txt!$M481)</f>
        <v>30.25</v>
      </c>
      <c r="S481">
        <f>INDEX(script.out!G:G,results.txt!$M481)</f>
        <v>25.717680766372599</v>
      </c>
      <c r="T481" t="str">
        <f>INDEX(script.out!H:H,results.txt!$M481)</f>
        <v>{</v>
      </c>
      <c r="U481">
        <f>INDEX(script.out!I:I,results.txt!$M481)</f>
        <v>1.23834</v>
      </c>
      <c r="V481">
        <f>INDEX(script.out!J:J,results.txt!$M481)</f>
        <v>248.977</v>
      </c>
      <c r="W481">
        <f>INDEX(script.out!K:K,results.txt!$M481)</f>
        <v>322.67698999999999</v>
      </c>
      <c r="X481" t="str">
        <f>INDEX(script.out!L:L,results.txt!$M481)</f>
        <v>}</v>
      </c>
      <c r="Y481" t="str">
        <f>INDEX(script.out!M:M,results.txt!$M481)</f>
        <v>{</v>
      </c>
      <c r="Z481">
        <f>INDEX(script.out!N:N,results.txt!$M481)</f>
        <v>29.834627725030501</v>
      </c>
      <c r="AA481">
        <f>INDEX(script.out!O:O,results.txt!$M481)</f>
        <v>13.5</v>
      </c>
      <c r="AB481">
        <f>INDEX(script.out!P:P,results.txt!$M481)</f>
        <v>5448.99</v>
      </c>
      <c r="AC481" t="str">
        <f>INDEX(script.out!Q:Q,results.txt!$M481)</f>
        <v>}</v>
      </c>
      <c r="AD481">
        <f t="shared" si="7"/>
        <v>2</v>
      </c>
    </row>
    <row r="482" spans="1:30" x14ac:dyDescent="0.25">
      <c r="A482" s="12" t="s">
        <v>5</v>
      </c>
      <c r="B482" s="12">
        <v>-3</v>
      </c>
      <c r="C482" s="12">
        <v>0.80974699999999999</v>
      </c>
      <c r="D482" s="12">
        <v>0.196353</v>
      </c>
      <c r="E482" s="12">
        <v>0.45133000000000001</v>
      </c>
      <c r="F482" s="12">
        <v>-3</v>
      </c>
      <c r="G482" s="12">
        <v>188.98699999999999</v>
      </c>
      <c r="H482" s="12">
        <v>42.25</v>
      </c>
      <c r="I482" s="12">
        <v>1.1035900000000001</v>
      </c>
      <c r="J482" s="12" t="s">
        <v>3</v>
      </c>
      <c r="K482" s="12">
        <v>0</v>
      </c>
      <c r="M482">
        <f>MATCH(C482,script.out!B:B,0)</f>
        <v>683</v>
      </c>
      <c r="N482">
        <f>INDEX(script.out!B:B,results.txt!$M482)</f>
        <v>0.80974699999999999</v>
      </c>
      <c r="O482">
        <f>INDEX(script.out!C:C,results.txt!$M482)</f>
        <v>0.196353</v>
      </c>
      <c r="P482">
        <f>INDEX(script.out!D:D,results.txt!$M482)</f>
        <v>0.45133000000000001</v>
      </c>
      <c r="Q482">
        <f>INDEX(script.out!E:E,results.txt!$M482)</f>
        <v>188.98721805961199</v>
      </c>
      <c r="R482">
        <f>INDEX(script.out!F:F,results.txt!$M482)</f>
        <v>42.25</v>
      </c>
      <c r="S482">
        <f>INDEX(script.out!G:G,results.txt!$M482)</f>
        <v>1.10359342165509</v>
      </c>
      <c r="T482" t="str">
        <f>INDEX(script.out!H:H,results.txt!$M482)</f>
        <v>{</v>
      </c>
      <c r="U482">
        <f>INDEX(script.out!I:I,results.txt!$M482)</f>
        <v>0.947797</v>
      </c>
      <c r="V482">
        <f>INDEX(script.out!J:J,results.txt!$M482)</f>
        <v>198.1765</v>
      </c>
      <c r="W482">
        <f>INDEX(script.out!K:K,results.txt!$M482)</f>
        <v>276.28469999999999</v>
      </c>
      <c r="X482" t="str">
        <f>INDEX(script.out!L:L,results.txt!$M482)</f>
        <v>}</v>
      </c>
      <c r="Y482" t="str">
        <f>INDEX(script.out!M:M,results.txt!$M482)</f>
        <v>{</v>
      </c>
      <c r="Z482">
        <f>INDEX(script.out!N:N,results.txt!$M482)</f>
        <v>23.747262202329999</v>
      </c>
      <c r="AA482">
        <f>INDEX(script.out!O:O,results.txt!$M482)</f>
        <v>14.5</v>
      </c>
      <c r="AB482">
        <f>INDEX(script.out!P:P,results.txt!$M482)</f>
        <v>6916.56</v>
      </c>
      <c r="AC482" t="str">
        <f>INDEX(script.out!Q:Q,results.txt!$M482)</f>
        <v>}</v>
      </c>
      <c r="AD482">
        <f t="shared" si="7"/>
        <v>2</v>
      </c>
    </row>
    <row r="483" spans="1:30" x14ac:dyDescent="0.25">
      <c r="A483" s="12" t="s">
        <v>5</v>
      </c>
      <c r="B483" s="12">
        <v>-3</v>
      </c>
      <c r="C483" s="12">
        <v>1.0236000000000001</v>
      </c>
      <c r="D483" s="12">
        <v>3.9057699999999998E-3</v>
      </c>
      <c r="E483" s="12">
        <v>0.67142800000000002</v>
      </c>
      <c r="F483" s="12">
        <v>-3</v>
      </c>
      <c r="G483" s="12">
        <v>4.9146299999999998</v>
      </c>
      <c r="H483" s="12">
        <v>64</v>
      </c>
      <c r="I483" s="12">
        <v>262.822</v>
      </c>
      <c r="J483" s="12" t="s">
        <v>3</v>
      </c>
      <c r="K483" s="12">
        <v>0</v>
      </c>
      <c r="M483">
        <f>MATCH(C483,script.out!B:B,0)</f>
        <v>685</v>
      </c>
      <c r="N483">
        <f>INDEX(script.out!B:B,results.txt!$M483)</f>
        <v>1.0236000000000001</v>
      </c>
      <c r="O483">
        <f>INDEX(script.out!C:C,results.txt!$M483)</f>
        <v>3.9057699999999998E-3</v>
      </c>
      <c r="P483">
        <f>INDEX(script.out!D:D,results.txt!$M483)</f>
        <v>0.67142800000000002</v>
      </c>
      <c r="Q483">
        <f>INDEX(script.out!E:E,results.txt!$M483)</f>
        <v>4.9146323994096601</v>
      </c>
      <c r="R483">
        <f>INDEX(script.out!F:F,results.txt!$M483)</f>
        <v>64</v>
      </c>
      <c r="S483">
        <f>INDEX(script.out!G:G,results.txt!$M483)</f>
        <v>262.82183741790197</v>
      </c>
      <c r="T483" t="str">
        <f>INDEX(script.out!H:H,results.txt!$M483)</f>
        <v>{</v>
      </c>
      <c r="U483">
        <f>INDEX(script.out!I:I,results.txt!$M483)</f>
        <v>1.1188</v>
      </c>
      <c r="V483">
        <f>INDEX(script.out!J:J,results.txt!$M483)</f>
        <v>101.95288499999999</v>
      </c>
      <c r="W483">
        <f>INDEX(script.out!K:K,results.txt!$M483)</f>
        <v>406.14251999999999</v>
      </c>
      <c r="X483" t="str">
        <f>INDEX(script.out!L:L,results.txt!$M483)</f>
        <v>}</v>
      </c>
      <c r="Y483" t="str">
        <f>INDEX(script.out!M:M,results.txt!$M483)</f>
        <v>{</v>
      </c>
      <c r="Z483">
        <f>INDEX(script.out!N:N,results.txt!$M483)</f>
        <v>12.2168970204792</v>
      </c>
      <c r="AA483">
        <f>INDEX(script.out!O:O,results.txt!$M483)</f>
        <v>16</v>
      </c>
      <c r="AB483">
        <f>INDEX(script.out!P:P,results.txt!$M483)</f>
        <v>1382.7</v>
      </c>
      <c r="AC483" t="str">
        <f>INDEX(script.out!Q:Q,results.txt!$M483)</f>
        <v>}</v>
      </c>
      <c r="AD483">
        <f t="shared" si="7"/>
        <v>2</v>
      </c>
    </row>
    <row r="484" spans="1:30" x14ac:dyDescent="0.25">
      <c r="A484" s="12" t="s">
        <v>5</v>
      </c>
      <c r="B484" s="12">
        <v>-3</v>
      </c>
      <c r="C484" s="12">
        <v>0.87267399999999995</v>
      </c>
      <c r="D484" s="12">
        <v>-4.03083E-3</v>
      </c>
      <c r="E484" s="12">
        <v>0.70748699999999998</v>
      </c>
      <c r="F484" s="12">
        <v>-3</v>
      </c>
      <c r="G484" s="12">
        <v>3.0324</v>
      </c>
      <c r="H484" s="12">
        <v>81</v>
      </c>
      <c r="I484" s="12">
        <v>266.12</v>
      </c>
      <c r="J484" s="12" t="s">
        <v>3</v>
      </c>
      <c r="K484" s="12">
        <v>0</v>
      </c>
      <c r="M484">
        <f>MATCH(C484,script.out!B:B,0)</f>
        <v>689</v>
      </c>
      <c r="N484">
        <f>INDEX(script.out!B:B,results.txt!$M484)</f>
        <v>0.87267399999999995</v>
      </c>
      <c r="O484">
        <f>INDEX(script.out!C:C,results.txt!$M484)</f>
        <v>-4.03083E-3</v>
      </c>
      <c r="P484">
        <f>INDEX(script.out!D:D,results.txt!$M484)</f>
        <v>0.70748699999999998</v>
      </c>
      <c r="Q484">
        <f>INDEX(script.out!E:E,results.txt!$M484)</f>
        <v>3.03240497593004</v>
      </c>
      <c r="R484">
        <f>INDEX(script.out!F:F,results.txt!$M484)</f>
        <v>81</v>
      </c>
      <c r="S484">
        <f>INDEX(script.out!G:G,results.txt!$M484)</f>
        <v>266.11977914130199</v>
      </c>
      <c r="T484" t="str">
        <f>INDEX(script.out!H:H,results.txt!$M484)</f>
        <v>{</v>
      </c>
      <c r="U484">
        <f>INDEX(script.out!I:I,results.txt!$M484)</f>
        <v>0.998139</v>
      </c>
      <c r="V484">
        <f>INDEX(script.out!J:J,results.txt!$M484)</f>
        <v>97.984584999999996</v>
      </c>
      <c r="W484">
        <f>INDEX(script.out!K:K,results.txt!$M484)</f>
        <v>427.41732999999999</v>
      </c>
      <c r="X484" t="str">
        <f>INDEX(script.out!L:L,results.txt!$M484)</f>
        <v>}</v>
      </c>
      <c r="Y484" t="str">
        <f>INDEX(script.out!M:M,results.txt!$M484)</f>
        <v>{</v>
      </c>
      <c r="Z484">
        <f>INDEX(script.out!N:N,results.txt!$M484)</f>
        <v>11.7413801928154</v>
      </c>
      <c r="AA484">
        <f>INDEX(script.out!O:O,results.txt!$M484)</f>
        <v>17</v>
      </c>
      <c r="AB484">
        <f>INDEX(script.out!P:P,results.txt!$M484)</f>
        <v>1345.69</v>
      </c>
      <c r="AC484" t="str">
        <f>INDEX(script.out!Q:Q,results.txt!$M484)</f>
        <v>}</v>
      </c>
      <c r="AD484">
        <f t="shared" si="7"/>
        <v>2</v>
      </c>
    </row>
    <row r="485" spans="1:30" x14ac:dyDescent="0.25">
      <c r="A485" s="12" t="s">
        <v>5</v>
      </c>
      <c r="B485" s="12">
        <v>-3</v>
      </c>
      <c r="C485" s="12">
        <v>0.55617000000000005</v>
      </c>
      <c r="D485" s="12">
        <v>6.4415700000000006E-2</v>
      </c>
      <c r="E485" s="12">
        <v>0.207145</v>
      </c>
      <c r="F485" s="12">
        <v>-3</v>
      </c>
      <c r="G485" s="12">
        <v>34.132599999999996</v>
      </c>
      <c r="H485" s="12">
        <v>90.25</v>
      </c>
      <c r="I485" s="12">
        <v>2.1404099999999999E-2</v>
      </c>
      <c r="J485" s="12" t="s">
        <v>3</v>
      </c>
      <c r="K485" s="12">
        <v>0</v>
      </c>
      <c r="M485">
        <f>MATCH(C485,script.out!B:B,0)</f>
        <v>697</v>
      </c>
      <c r="N485">
        <f>INDEX(script.out!B:B,results.txt!$M485)</f>
        <v>0.55617000000000005</v>
      </c>
      <c r="O485">
        <f>INDEX(script.out!C:C,results.txt!$M485)</f>
        <v>6.4415700000000006E-2</v>
      </c>
      <c r="P485">
        <f>INDEX(script.out!D:D,results.txt!$M485)</f>
        <v>0.207145</v>
      </c>
      <c r="Q485">
        <f>INDEX(script.out!E:E,results.txt!$M485)</f>
        <v>34.132641054529998</v>
      </c>
      <c r="R485">
        <f>INDEX(script.out!F:F,results.txt!$M485)</f>
        <v>90.25</v>
      </c>
      <c r="S485">
        <f>INDEX(script.out!G:G,results.txt!$M485)</f>
        <v>2.1404090823794301E-2</v>
      </c>
      <c r="T485" t="str">
        <f>INDEX(script.out!H:H,results.txt!$M485)</f>
        <v>{</v>
      </c>
      <c r="U485">
        <f>INDEX(script.out!I:I,results.txt!$M485)</f>
        <v>0.74492999999999998</v>
      </c>
      <c r="V485">
        <f>INDEX(script.out!J:J,results.txt!$M485)</f>
        <v>132.20785000000001</v>
      </c>
      <c r="W485">
        <f>INDEX(script.out!K:K,results.txt!$M485)</f>
        <v>132.21555000000001</v>
      </c>
      <c r="X485" t="str">
        <f>INDEX(script.out!L:L,results.txt!$M485)</f>
        <v>}</v>
      </c>
      <c r="Y485" t="str">
        <f>INDEX(script.out!M:M,results.txt!$M485)</f>
        <v>{</v>
      </c>
      <c r="Z485">
        <f>INDEX(script.out!N:N,results.txt!$M485)</f>
        <v>15.842314700059299</v>
      </c>
      <c r="AA485">
        <f>INDEX(script.out!O:O,results.txt!$M485)</f>
        <v>17.5</v>
      </c>
      <c r="AB485">
        <f>INDEX(script.out!P:P,results.txt!$M485)</f>
        <v>7246.6</v>
      </c>
      <c r="AC485" t="str">
        <f>INDEX(script.out!Q:Q,results.txt!$M485)</f>
        <v>}</v>
      </c>
      <c r="AD485">
        <f t="shared" si="7"/>
        <v>2</v>
      </c>
    </row>
    <row r="486" spans="1:30" x14ac:dyDescent="0.25">
      <c r="A486" s="12" t="s">
        <v>5</v>
      </c>
      <c r="B486" s="12">
        <v>-3</v>
      </c>
      <c r="C486" s="12">
        <v>1.0308200000000001</v>
      </c>
      <c r="D486" s="12">
        <v>3.6142800000000003E-2</v>
      </c>
      <c r="E486" s="12">
        <v>0.603491</v>
      </c>
      <c r="F486" s="12">
        <v>-3</v>
      </c>
      <c r="G486" s="12">
        <v>17.2089</v>
      </c>
      <c r="H486" s="12">
        <v>56.25</v>
      </c>
      <c r="I486" s="12">
        <v>201.75899999999999</v>
      </c>
      <c r="J486" s="12" t="s">
        <v>3</v>
      </c>
      <c r="K486" s="12">
        <v>0</v>
      </c>
      <c r="M486">
        <f>MATCH(C486,script.out!B:B,0)</f>
        <v>709</v>
      </c>
      <c r="N486">
        <f>INDEX(script.out!B:B,results.txt!$M486)</f>
        <v>1.0308200000000001</v>
      </c>
      <c r="O486">
        <f>INDEX(script.out!C:C,results.txt!$M486)</f>
        <v>3.6142800000000003E-2</v>
      </c>
      <c r="P486">
        <f>INDEX(script.out!D:D,results.txt!$M486)</f>
        <v>0.603491</v>
      </c>
      <c r="Q486">
        <f>INDEX(script.out!E:E,results.txt!$M486)</f>
        <v>17.208891897673301</v>
      </c>
      <c r="R486">
        <f>INDEX(script.out!F:F,results.txt!$M486)</f>
        <v>56.25</v>
      </c>
      <c r="S486">
        <f>INDEX(script.out!G:G,results.txt!$M486)</f>
        <v>201.75906414636799</v>
      </c>
      <c r="T486" t="str">
        <f>INDEX(script.out!H:H,results.txt!$M486)</f>
        <v>{</v>
      </c>
      <c r="U486">
        <f>INDEX(script.out!I:I,results.txt!$M486)</f>
        <v>1.1246499999999999</v>
      </c>
      <c r="V486">
        <f>INDEX(script.out!J:J,results.txt!$M486)</f>
        <v>118.0714</v>
      </c>
      <c r="W486">
        <f>INDEX(script.out!K:K,results.txt!$M486)</f>
        <v>366.05968999999999</v>
      </c>
      <c r="X486" t="str">
        <f>INDEX(script.out!L:L,results.txt!$M486)</f>
        <v>}</v>
      </c>
      <c r="Y486" t="str">
        <f>INDEX(script.out!M:M,results.txt!$M486)</f>
        <v>{</v>
      </c>
      <c r="Z486">
        <f>INDEX(script.out!N:N,results.txt!$M486)</f>
        <v>14.1483601456085</v>
      </c>
      <c r="AA486">
        <f>INDEX(script.out!O:O,results.txt!$M486)</f>
        <v>15.5</v>
      </c>
      <c r="AB486">
        <f>INDEX(script.out!P:P,results.txt!$M486)</f>
        <v>2115.4699999999998</v>
      </c>
      <c r="AC486" t="str">
        <f>INDEX(script.out!Q:Q,results.txt!$M486)</f>
        <v>}</v>
      </c>
      <c r="AD486">
        <f t="shared" si="7"/>
        <v>2</v>
      </c>
    </row>
    <row r="487" spans="1:30" x14ac:dyDescent="0.25">
      <c r="A487" s="12" t="s">
        <v>5</v>
      </c>
      <c r="B487" s="12">
        <v>-3</v>
      </c>
      <c r="C487" s="12">
        <v>1.04169</v>
      </c>
      <c r="D487" s="12">
        <v>4.0283100000000002E-2</v>
      </c>
      <c r="E487" s="12">
        <v>0.60659399999999997</v>
      </c>
      <c r="F487" s="12">
        <v>-3</v>
      </c>
      <c r="G487" s="12">
        <v>19.328499999999998</v>
      </c>
      <c r="H487" s="12">
        <v>49</v>
      </c>
      <c r="I487" s="12">
        <v>204.898</v>
      </c>
      <c r="J487" s="12" t="s">
        <v>3</v>
      </c>
      <c r="K487" s="12">
        <v>0</v>
      </c>
      <c r="M487">
        <f>MATCH(C487,script.out!B:B,0)</f>
        <v>716</v>
      </c>
      <c r="N487">
        <f>INDEX(script.out!B:B,results.txt!$M487)</f>
        <v>1.04169</v>
      </c>
      <c r="O487">
        <f>INDEX(script.out!C:C,results.txt!$M487)</f>
        <v>4.0283100000000002E-2</v>
      </c>
      <c r="P487">
        <f>INDEX(script.out!D:D,results.txt!$M487)</f>
        <v>0.60659399999999997</v>
      </c>
      <c r="Q487">
        <f>INDEX(script.out!E:E,results.txt!$M487)</f>
        <v>19.328542586093</v>
      </c>
      <c r="R487">
        <f>INDEX(script.out!F:F,results.txt!$M487)</f>
        <v>49</v>
      </c>
      <c r="S487">
        <f>INDEX(script.out!G:G,results.txt!$M487)</f>
        <v>204.89843936273201</v>
      </c>
      <c r="T487" t="str">
        <f>INDEX(script.out!H:H,results.txt!$M487)</f>
        <v>{</v>
      </c>
      <c r="U487">
        <f>INDEX(script.out!I:I,results.txt!$M487)</f>
        <v>1.1333500000000001</v>
      </c>
      <c r="V487">
        <f>INDEX(script.out!J:J,results.txt!$M487)</f>
        <v>120.14155</v>
      </c>
      <c r="W487">
        <f>INDEX(script.out!K:K,results.txt!$M487)</f>
        <v>367.89046000000002</v>
      </c>
      <c r="X487" t="str">
        <f>INDEX(script.out!L:L,results.txt!$M487)</f>
        <v>}</v>
      </c>
      <c r="Y487" t="str">
        <f>INDEX(script.out!M:M,results.txt!$M487)</f>
        <v>{</v>
      </c>
      <c r="Z487">
        <f>INDEX(script.out!N:N,results.txt!$M487)</f>
        <v>14.3964238405882</v>
      </c>
      <c r="AA487">
        <f>INDEX(script.out!O:O,results.txt!$M487)</f>
        <v>15</v>
      </c>
      <c r="AB487">
        <f>INDEX(script.out!P:P,results.txt!$M487)</f>
        <v>2075.29</v>
      </c>
      <c r="AC487" t="str">
        <f>INDEX(script.out!Q:Q,results.txt!$M487)</f>
        <v>}</v>
      </c>
      <c r="AD487">
        <f t="shared" si="7"/>
        <v>2</v>
      </c>
    </row>
    <row r="488" spans="1:30" x14ac:dyDescent="0.25">
      <c r="A488" s="12" t="s">
        <v>5</v>
      </c>
      <c r="B488" s="12">
        <v>-3</v>
      </c>
      <c r="C488" s="12">
        <v>1.04467</v>
      </c>
      <c r="D488" s="12">
        <v>4.5121000000000001E-2</v>
      </c>
      <c r="E488" s="12">
        <v>0.57565</v>
      </c>
      <c r="F488" s="12">
        <v>-3</v>
      </c>
      <c r="G488" s="12">
        <v>21.961300000000001</v>
      </c>
      <c r="H488" s="12">
        <v>49</v>
      </c>
      <c r="I488" s="12">
        <v>190.82300000000001</v>
      </c>
      <c r="J488" s="12" t="s">
        <v>3</v>
      </c>
      <c r="K488" s="12">
        <v>0</v>
      </c>
      <c r="M488">
        <f>MATCH(C488,script.out!B:B,0)</f>
        <v>724</v>
      </c>
      <c r="N488">
        <f>INDEX(script.out!B:B,results.txt!$M488)</f>
        <v>1.04467</v>
      </c>
      <c r="O488">
        <f>INDEX(script.out!C:C,results.txt!$M488)</f>
        <v>4.5121000000000001E-2</v>
      </c>
      <c r="P488">
        <f>INDEX(script.out!D:D,results.txt!$M488)</f>
        <v>0.57565</v>
      </c>
      <c r="Q488">
        <f>INDEX(script.out!E:E,results.txt!$M488)</f>
        <v>21.961256216318802</v>
      </c>
      <c r="R488">
        <f>INDEX(script.out!F:F,results.txt!$M488)</f>
        <v>49</v>
      </c>
      <c r="S488">
        <f>INDEX(script.out!G:G,results.txt!$M488)</f>
        <v>190.822811361231</v>
      </c>
      <c r="T488" t="str">
        <f>INDEX(script.out!H:H,results.txt!$M488)</f>
        <v>{</v>
      </c>
      <c r="U488">
        <f>INDEX(script.out!I:I,results.txt!$M488)</f>
        <v>1.1357299999999999</v>
      </c>
      <c r="V488">
        <f>INDEX(script.out!J:J,results.txt!$M488)</f>
        <v>122.5605</v>
      </c>
      <c r="W488">
        <f>INDEX(script.out!K:K,results.txt!$M488)</f>
        <v>349.63350000000003</v>
      </c>
      <c r="X488" t="str">
        <f>INDEX(script.out!L:L,results.txt!$M488)</f>
        <v>}</v>
      </c>
      <c r="Y488" t="str">
        <f>INDEX(script.out!M:M,results.txt!$M488)</f>
        <v>{</v>
      </c>
      <c r="Z488">
        <f>INDEX(script.out!N:N,results.txt!$M488)</f>
        <v>14.686283838642099</v>
      </c>
      <c r="AA488">
        <f>INDEX(script.out!O:O,results.txt!$M488)</f>
        <v>15</v>
      </c>
      <c r="AB488">
        <f>INDEX(script.out!P:P,results.txt!$M488)</f>
        <v>2257.94</v>
      </c>
      <c r="AC488" t="str">
        <f>INDEX(script.out!Q:Q,results.txt!$M488)</f>
        <v>}</v>
      </c>
      <c r="AD488">
        <f t="shared" si="7"/>
        <v>2</v>
      </c>
    </row>
    <row r="489" spans="1:30" x14ac:dyDescent="0.25">
      <c r="A489" s="12" t="s">
        <v>5</v>
      </c>
      <c r="B489" s="12">
        <v>-3</v>
      </c>
      <c r="C489" s="12">
        <v>0.89129000000000003</v>
      </c>
      <c r="D489" s="12">
        <v>0.316884</v>
      </c>
      <c r="E489" s="12">
        <v>0.56539700000000004</v>
      </c>
      <c r="F489" s="12">
        <v>-3</v>
      </c>
      <c r="G489" s="12">
        <v>439.69099999999997</v>
      </c>
      <c r="H489" s="12">
        <v>36</v>
      </c>
      <c r="I489" s="12">
        <v>0.105403</v>
      </c>
      <c r="J489" s="12" t="s">
        <v>3</v>
      </c>
      <c r="K489" s="12">
        <v>0</v>
      </c>
      <c r="M489">
        <f>MATCH(C489,script.out!B:B,0)</f>
        <v>726</v>
      </c>
      <c r="N489">
        <f>INDEX(script.out!B:B,results.txt!$M489)</f>
        <v>0.89129000000000003</v>
      </c>
      <c r="O489">
        <f>INDEX(script.out!C:C,results.txt!$M489)</f>
        <v>0.316884</v>
      </c>
      <c r="P489">
        <f>INDEX(script.out!D:D,results.txt!$M489)</f>
        <v>0.56539700000000004</v>
      </c>
      <c r="Q489">
        <f>INDEX(script.out!E:E,results.txt!$M489)</f>
        <v>439.69090036666802</v>
      </c>
      <c r="R489">
        <f>INDEX(script.out!F:F,results.txt!$M489)</f>
        <v>36</v>
      </c>
      <c r="S489">
        <f>INDEX(script.out!G:G,results.txt!$M489)</f>
        <v>0.105402514543066</v>
      </c>
      <c r="T489" t="str">
        <f>INDEX(script.out!H:H,results.txt!$M489)</f>
        <v>{</v>
      </c>
      <c r="U489">
        <f>INDEX(script.out!I:I,results.txt!$M489)</f>
        <v>1.0130300000000001</v>
      </c>
      <c r="V489">
        <f>INDEX(script.out!J:J,results.txt!$M489)</f>
        <v>258.44200000000001</v>
      </c>
      <c r="W489">
        <f>INDEX(script.out!K:K,results.txt!$M489)</f>
        <v>343.58422999999999</v>
      </c>
      <c r="X489" t="str">
        <f>INDEX(script.out!L:L,results.txt!$M489)</f>
        <v>}</v>
      </c>
      <c r="Y489" t="str">
        <f>INDEX(script.out!M:M,results.txt!$M489)</f>
        <v>{</v>
      </c>
      <c r="Z489">
        <f>INDEX(script.out!N:N,results.txt!$M489)</f>
        <v>30.968807795548798</v>
      </c>
      <c r="AA489">
        <f>INDEX(script.out!O:O,results.txt!$M489)</f>
        <v>14</v>
      </c>
      <c r="AB489">
        <f>INDEX(script.out!P:P,results.txt!$M489)</f>
        <v>7181.5</v>
      </c>
      <c r="AC489" t="str">
        <f>INDEX(script.out!Q:Q,results.txt!$M489)</f>
        <v>}</v>
      </c>
      <c r="AD489">
        <f t="shared" si="7"/>
        <v>2</v>
      </c>
    </row>
    <row r="490" spans="1:30" x14ac:dyDescent="0.25">
      <c r="A490" s="12" t="s">
        <v>5</v>
      </c>
      <c r="B490" s="12">
        <v>-3</v>
      </c>
      <c r="C490" s="12">
        <v>1.1464399999999999</v>
      </c>
      <c r="D490" s="12">
        <v>3.8861199999999999E-3</v>
      </c>
      <c r="E490" s="12">
        <v>0.66831600000000002</v>
      </c>
      <c r="F490" s="12">
        <v>-3</v>
      </c>
      <c r="G490" s="12">
        <v>4.9094100000000003</v>
      </c>
      <c r="H490" s="12">
        <v>56.25</v>
      </c>
      <c r="I490" s="12">
        <v>265.53399999999999</v>
      </c>
      <c r="J490" s="12" t="s">
        <v>3</v>
      </c>
      <c r="K490" s="12">
        <v>0</v>
      </c>
      <c r="M490">
        <f>MATCH(C490,script.out!B:B,0)</f>
        <v>733</v>
      </c>
      <c r="N490">
        <f>INDEX(script.out!B:B,results.txt!$M490)</f>
        <v>1.1464399999999999</v>
      </c>
      <c r="O490">
        <f>INDEX(script.out!C:C,results.txt!$M490)</f>
        <v>3.8861199999999999E-3</v>
      </c>
      <c r="P490">
        <f>INDEX(script.out!D:D,results.txt!$M490)</f>
        <v>0.66831600000000002</v>
      </c>
      <c r="Q490">
        <f>INDEX(script.out!E:E,results.txt!$M490)</f>
        <v>4.9094137979307</v>
      </c>
      <c r="R490">
        <f>INDEX(script.out!F:F,results.txt!$M490)</f>
        <v>56.25</v>
      </c>
      <c r="S490">
        <f>INDEX(script.out!G:G,results.txt!$M490)</f>
        <v>265.53372161756403</v>
      </c>
      <c r="T490" t="str">
        <f>INDEX(script.out!H:H,results.txt!$M490)</f>
        <v>{</v>
      </c>
      <c r="U490">
        <f>INDEX(script.out!I:I,results.txt!$M490)</f>
        <v>1.21715</v>
      </c>
      <c r="V490">
        <f>INDEX(script.out!J:J,results.txt!$M490)</f>
        <v>101.94306</v>
      </c>
      <c r="W490">
        <f>INDEX(script.out!K:K,results.txt!$M490)</f>
        <v>404.30644000000001</v>
      </c>
      <c r="X490" t="str">
        <f>INDEX(script.out!L:L,results.txt!$M490)</f>
        <v>}</v>
      </c>
      <c r="Y490" t="str">
        <f>INDEX(script.out!M:M,results.txt!$M490)</f>
        <v>{</v>
      </c>
      <c r="Z490">
        <f>INDEX(script.out!N:N,results.txt!$M490)</f>
        <v>12.215719702022501</v>
      </c>
      <c r="AA490">
        <f>INDEX(script.out!O:O,results.txt!$M490)</f>
        <v>15.5</v>
      </c>
      <c r="AB490">
        <f>INDEX(script.out!P:P,results.txt!$M490)</f>
        <v>1352.25</v>
      </c>
      <c r="AC490" t="str">
        <f>INDEX(script.out!Q:Q,results.txt!$M490)</f>
        <v>}</v>
      </c>
      <c r="AD490">
        <f t="shared" si="7"/>
        <v>2</v>
      </c>
    </row>
    <row r="491" spans="1:30" x14ac:dyDescent="0.25">
      <c r="A491" s="12" t="s">
        <v>5</v>
      </c>
      <c r="B491" s="12">
        <v>-3</v>
      </c>
      <c r="C491" s="12">
        <v>0.95921000000000001</v>
      </c>
      <c r="D491" s="12">
        <v>0.34667100000000001</v>
      </c>
      <c r="E491" s="12">
        <v>0.59077299999999999</v>
      </c>
      <c r="F491" s="12">
        <v>-3</v>
      </c>
      <c r="G491" s="12">
        <v>517.721</v>
      </c>
      <c r="H491" s="12">
        <v>30.25</v>
      </c>
      <c r="I491" s="12">
        <v>5.1367699999999997E-3</v>
      </c>
      <c r="J491" s="12" t="s">
        <v>3</v>
      </c>
      <c r="K491" s="12">
        <v>0</v>
      </c>
      <c r="M491">
        <f>MATCH(C491,script.out!B:B,0)</f>
        <v>737</v>
      </c>
      <c r="N491">
        <f>INDEX(script.out!B:B,results.txt!$M491)</f>
        <v>0.95921000000000001</v>
      </c>
      <c r="O491">
        <f>INDEX(script.out!C:C,results.txt!$M491)</f>
        <v>0.34667100000000001</v>
      </c>
      <c r="P491">
        <f>INDEX(script.out!D:D,results.txt!$M491)</f>
        <v>0.59077299999999999</v>
      </c>
      <c r="Q491">
        <f>INDEX(script.out!E:E,results.txt!$M491)</f>
        <v>517.72079665168496</v>
      </c>
      <c r="R491">
        <f>INDEX(script.out!F:F,results.txt!$M491)</f>
        <v>30.25</v>
      </c>
      <c r="S491">
        <f>INDEX(script.out!G:G,results.txt!$M491)</f>
        <v>5.1367656220679299E-3</v>
      </c>
      <c r="T491" t="str">
        <f>INDEX(script.out!H:H,results.txt!$M491)</f>
        <v>{</v>
      </c>
      <c r="U491">
        <f>INDEX(script.out!I:I,results.txt!$M491)</f>
        <v>1.0673600000000001</v>
      </c>
      <c r="V491">
        <f>INDEX(script.out!J:J,results.txt!$M491)</f>
        <v>273.33550000000002</v>
      </c>
      <c r="W491">
        <f>INDEX(script.out!K:K,results.txt!$M491)</f>
        <v>358.55606999999998</v>
      </c>
      <c r="X491" t="str">
        <f>INDEX(script.out!L:L,results.txt!$M491)</f>
        <v>}</v>
      </c>
      <c r="Y491" t="str">
        <f>INDEX(script.out!M:M,results.txt!$M491)</f>
        <v>{</v>
      </c>
      <c r="Z491">
        <f>INDEX(script.out!N:N,results.txt!$M491)</f>
        <v>32.753478781313497</v>
      </c>
      <c r="AA491">
        <f>INDEX(script.out!O:O,results.txt!$M491)</f>
        <v>13.5</v>
      </c>
      <c r="AB491">
        <f>INDEX(script.out!P:P,results.txt!$M491)</f>
        <v>7273.84</v>
      </c>
      <c r="AC491" t="str">
        <f>INDEX(script.out!Q:Q,results.txt!$M491)</f>
        <v>}</v>
      </c>
      <c r="AD491">
        <f t="shared" si="7"/>
        <v>2</v>
      </c>
    </row>
    <row r="492" spans="1:30" x14ac:dyDescent="0.25">
      <c r="A492" s="12" t="s">
        <v>5</v>
      </c>
      <c r="B492" s="12">
        <v>-3</v>
      </c>
      <c r="C492" s="12">
        <v>1.03688</v>
      </c>
      <c r="D492" s="12">
        <v>-1.9765399999999999E-2</v>
      </c>
      <c r="E492" s="12">
        <v>0.61463400000000001</v>
      </c>
      <c r="F492" s="12">
        <v>-3</v>
      </c>
      <c r="G492" s="12">
        <v>0.63784600000000002</v>
      </c>
      <c r="H492" s="12">
        <v>81</v>
      </c>
      <c r="I492" s="12">
        <v>279.13</v>
      </c>
      <c r="J492" s="12" t="s">
        <v>3</v>
      </c>
      <c r="K492" s="12">
        <v>0</v>
      </c>
      <c r="M492">
        <f>MATCH(C492,script.out!B:B,0)</f>
        <v>738</v>
      </c>
      <c r="N492">
        <f>INDEX(script.out!B:B,results.txt!$M492)</f>
        <v>1.03688</v>
      </c>
      <c r="O492">
        <f>INDEX(script.out!C:C,results.txt!$M492)</f>
        <v>-1.9765399999999999E-2</v>
      </c>
      <c r="P492">
        <f>INDEX(script.out!D:D,results.txt!$M492)</f>
        <v>0.61463400000000001</v>
      </c>
      <c r="Q492">
        <f>INDEX(script.out!E:E,results.txt!$M492)</f>
        <v>0.63784577464847103</v>
      </c>
      <c r="R492">
        <f>INDEX(script.out!F:F,results.txt!$M492)</f>
        <v>81</v>
      </c>
      <c r="S492">
        <f>INDEX(script.out!G:G,results.txt!$M492)</f>
        <v>279.12979947006897</v>
      </c>
      <c r="T492" t="str">
        <f>INDEX(script.out!H:H,results.txt!$M492)</f>
        <v>{</v>
      </c>
      <c r="U492">
        <f>INDEX(script.out!I:I,results.txt!$M492)</f>
        <v>1.1294999999999999</v>
      </c>
      <c r="V492">
        <f>INDEX(script.out!J:J,results.txt!$M492)</f>
        <v>90.1173</v>
      </c>
      <c r="W492">
        <f>INDEX(script.out!K:K,results.txt!$M492)</f>
        <v>372.63405999999998</v>
      </c>
      <c r="X492" t="str">
        <f>INDEX(script.out!L:L,results.txt!$M492)</f>
        <v>}</v>
      </c>
      <c r="Y492" t="str">
        <f>INDEX(script.out!M:M,results.txt!$M492)</f>
        <v>{</v>
      </c>
      <c r="Z492">
        <f>INDEX(script.out!N:N,results.txt!$M492)</f>
        <v>10.7986524742642</v>
      </c>
      <c r="AA492">
        <f>INDEX(script.out!O:O,results.txt!$M492)</f>
        <v>17</v>
      </c>
      <c r="AB492">
        <f>INDEX(script.out!P:P,results.txt!$M492)</f>
        <v>1201.8800000000001</v>
      </c>
      <c r="AC492" t="str">
        <f>INDEX(script.out!Q:Q,results.txt!$M492)</f>
        <v>}</v>
      </c>
      <c r="AD492">
        <f t="shared" si="7"/>
        <v>2</v>
      </c>
    </row>
    <row r="493" spans="1:30" x14ac:dyDescent="0.25">
      <c r="A493" s="12" t="s">
        <v>5</v>
      </c>
      <c r="B493" s="12">
        <v>-3</v>
      </c>
      <c r="C493" s="12">
        <v>3.8540499999999998E-2</v>
      </c>
      <c r="D493" s="12">
        <v>4.3412499999999996E-3</v>
      </c>
      <c r="E493" s="12">
        <v>8.6211499999999996E-2</v>
      </c>
      <c r="F493" s="12">
        <v>-3</v>
      </c>
      <c r="G493" s="12">
        <v>5.0309999999999997</v>
      </c>
      <c r="H493" s="12">
        <v>110.25</v>
      </c>
      <c r="I493" s="12">
        <v>23.547499999999999</v>
      </c>
      <c r="J493" s="12" t="s">
        <v>3</v>
      </c>
      <c r="K493" s="12">
        <v>0</v>
      </c>
      <c r="M493">
        <f>MATCH(C493,script.out!B:B,0)</f>
        <v>745</v>
      </c>
      <c r="N493">
        <f>INDEX(script.out!B:B,results.txt!$M493)</f>
        <v>3.8540499999999998E-2</v>
      </c>
      <c r="O493">
        <f>INDEX(script.out!C:C,results.txt!$M493)</f>
        <v>4.3412499999999996E-3</v>
      </c>
      <c r="P493">
        <f>INDEX(script.out!D:D,results.txt!$M493)</f>
        <v>8.6211499999999996E-2</v>
      </c>
      <c r="Q493">
        <f>INDEX(script.out!E:E,results.txt!$M493)</f>
        <v>5.0309976551667903</v>
      </c>
      <c r="R493">
        <f>INDEX(script.out!F:F,results.txt!$M493)</f>
        <v>110.25</v>
      </c>
      <c r="S493">
        <f>INDEX(script.out!G:G,results.txt!$M493)</f>
        <v>23.547487454306602</v>
      </c>
      <c r="T493" t="str">
        <f>INDEX(script.out!H:H,results.txt!$M493)</f>
        <v>{</v>
      </c>
      <c r="U493">
        <f>INDEX(script.out!I:I,results.txt!$M493)</f>
        <v>0.33083240000000003</v>
      </c>
      <c r="V493">
        <f>INDEX(script.out!J:J,results.txt!$M493)</f>
        <v>102.170625</v>
      </c>
      <c r="W493">
        <f>INDEX(script.out!K:K,results.txt!$M493)</f>
        <v>60.864784999999998</v>
      </c>
      <c r="X493" t="str">
        <f>INDEX(script.out!L:L,results.txt!$M493)</f>
        <v>}</v>
      </c>
      <c r="Y493" t="str">
        <f>INDEX(script.out!M:M,results.txt!$M493)</f>
        <v>{</v>
      </c>
      <c r="Z493">
        <f>INDEX(script.out!N:N,results.txt!$M493)</f>
        <v>12.2429885543994</v>
      </c>
      <c r="AA493">
        <f>INDEX(script.out!O:O,results.txt!$M493)</f>
        <v>18.5</v>
      </c>
      <c r="AB493">
        <f>INDEX(script.out!P:P,results.txt!$M493)</f>
        <v>5528.81</v>
      </c>
      <c r="AC493" t="str">
        <f>INDEX(script.out!Q:Q,results.txt!$M493)</f>
        <v>}</v>
      </c>
      <c r="AD493">
        <f t="shared" si="7"/>
        <v>2</v>
      </c>
    </row>
    <row r="494" spans="1:30" x14ac:dyDescent="0.25">
      <c r="A494" s="12" t="s">
        <v>5</v>
      </c>
      <c r="B494" s="12">
        <v>-3</v>
      </c>
      <c r="C494" s="12">
        <v>0.50305299999999997</v>
      </c>
      <c r="D494" s="12">
        <v>-2.0377300000000001E-2</v>
      </c>
      <c r="E494" s="12">
        <v>0.13814499999999999</v>
      </c>
      <c r="F494" s="12">
        <v>-3</v>
      </c>
      <c r="G494" s="12">
        <v>0.58062999999999998</v>
      </c>
      <c r="H494" s="12">
        <v>132.25</v>
      </c>
      <c r="I494" s="12">
        <v>6.5738200000000004</v>
      </c>
      <c r="J494" s="12" t="s">
        <v>3</v>
      </c>
      <c r="K494" s="12">
        <v>0</v>
      </c>
      <c r="M494">
        <f>MATCH(C494,script.out!B:B,0)</f>
        <v>749</v>
      </c>
      <c r="N494">
        <f>INDEX(script.out!B:B,results.txt!$M494)</f>
        <v>0.50305299999999997</v>
      </c>
      <c r="O494">
        <f>INDEX(script.out!C:C,results.txt!$M494)</f>
        <v>-2.0377300000000001E-2</v>
      </c>
      <c r="P494">
        <f>INDEX(script.out!D:D,results.txt!$M494)</f>
        <v>0.13814499999999999</v>
      </c>
      <c r="Q494">
        <f>INDEX(script.out!E:E,results.txt!$M494)</f>
        <v>0.58063003633717403</v>
      </c>
      <c r="R494">
        <f>INDEX(script.out!F:F,results.txt!$M494)</f>
        <v>132.25</v>
      </c>
      <c r="S494">
        <f>INDEX(script.out!G:G,results.txt!$M494)</f>
        <v>6.5738150167010598</v>
      </c>
      <c r="T494" t="str">
        <f>INDEX(script.out!H:H,results.txt!$M494)</f>
        <v>{</v>
      </c>
      <c r="U494">
        <f>INDEX(script.out!I:I,results.txt!$M494)</f>
        <v>0.70244200000000001</v>
      </c>
      <c r="V494">
        <f>INDEX(script.out!J:J,results.txt!$M494)</f>
        <v>89.811350000000004</v>
      </c>
      <c r="W494">
        <f>INDEX(script.out!K:K,results.txt!$M494)</f>
        <v>91.505549999999999</v>
      </c>
      <c r="X494" t="str">
        <f>INDEX(script.out!L:L,results.txt!$M494)</f>
        <v>}</v>
      </c>
      <c r="Y494" t="str">
        <f>INDEX(script.out!M:M,results.txt!$M494)</f>
        <v>{</v>
      </c>
      <c r="Z494">
        <f>INDEX(script.out!N:N,results.txt!$M494)</f>
        <v>10.7619908374364</v>
      </c>
      <c r="AA494">
        <f>INDEX(script.out!O:O,results.txt!$M494)</f>
        <v>19.5</v>
      </c>
      <c r="AB494">
        <f>INDEX(script.out!P:P,results.txt!$M494)</f>
        <v>6364.16</v>
      </c>
      <c r="AC494" t="str">
        <f>INDEX(script.out!Q:Q,results.txt!$M494)</f>
        <v>}</v>
      </c>
      <c r="AD494">
        <f t="shared" si="7"/>
        <v>2</v>
      </c>
    </row>
    <row r="495" spans="1:30" x14ac:dyDescent="0.25">
      <c r="A495" s="12" t="s">
        <v>5</v>
      </c>
      <c r="B495" s="12">
        <v>-3</v>
      </c>
      <c r="C495" s="12">
        <v>0.97041500000000003</v>
      </c>
      <c r="D495" s="12">
        <v>0.105874</v>
      </c>
      <c r="E495" s="12">
        <v>0.58579700000000001</v>
      </c>
      <c r="F495" s="12">
        <v>-3</v>
      </c>
      <c r="G495" s="12">
        <v>69.326700000000002</v>
      </c>
      <c r="H495" s="12">
        <v>42.25</v>
      </c>
      <c r="I495" s="12">
        <v>111.712</v>
      </c>
      <c r="J495" s="12" t="s">
        <v>3</v>
      </c>
      <c r="K495" s="12">
        <v>0</v>
      </c>
      <c r="M495">
        <f>MATCH(C495,script.out!B:B,0)</f>
        <v>753</v>
      </c>
      <c r="N495">
        <f>INDEX(script.out!B:B,results.txt!$M495)</f>
        <v>0.97041500000000003</v>
      </c>
      <c r="O495">
        <f>INDEX(script.out!C:C,results.txt!$M495)</f>
        <v>0.105874</v>
      </c>
      <c r="P495">
        <f>INDEX(script.out!D:D,results.txt!$M495)</f>
        <v>0.58579700000000001</v>
      </c>
      <c r="Q495">
        <f>INDEX(script.out!E:E,results.txt!$M495)</f>
        <v>69.326687477635701</v>
      </c>
      <c r="R495">
        <f>INDEX(script.out!F:F,results.txt!$M495)</f>
        <v>42.25</v>
      </c>
      <c r="S495">
        <f>INDEX(script.out!G:G,results.txt!$M495)</f>
        <v>111.711579301182</v>
      </c>
      <c r="T495" t="str">
        <f>INDEX(script.out!H:H,results.txt!$M495)</f>
        <v>{</v>
      </c>
      <c r="U495">
        <f>INDEX(script.out!I:I,results.txt!$M495)</f>
        <v>1.0763320000000001</v>
      </c>
      <c r="V495">
        <f>INDEX(script.out!J:J,results.txt!$M495)</f>
        <v>152.93700000000001</v>
      </c>
      <c r="W495">
        <f>INDEX(script.out!K:K,results.txt!$M495)</f>
        <v>355.62022999999999</v>
      </c>
      <c r="X495" t="str">
        <f>INDEX(script.out!L:L,results.txt!$M495)</f>
        <v>}</v>
      </c>
      <c r="Y495" t="str">
        <f>INDEX(script.out!M:M,results.txt!$M495)</f>
        <v>{</v>
      </c>
      <c r="Z495">
        <f>INDEX(script.out!N:N,results.txt!$M495)</f>
        <v>18.326264917574701</v>
      </c>
      <c r="AA495">
        <f>INDEX(script.out!O:O,results.txt!$M495)</f>
        <v>14.5</v>
      </c>
      <c r="AB495">
        <f>INDEX(script.out!P:P,results.txt!$M495)</f>
        <v>3442.18</v>
      </c>
      <c r="AC495" t="str">
        <f>INDEX(script.out!Q:Q,results.txt!$M495)</f>
        <v>}</v>
      </c>
      <c r="AD495">
        <f t="shared" si="7"/>
        <v>2</v>
      </c>
    </row>
    <row r="496" spans="1:30" x14ac:dyDescent="0.25">
      <c r="A496" s="12" t="s">
        <v>5</v>
      </c>
      <c r="B496" s="12">
        <v>-3</v>
      </c>
      <c r="C496" s="12">
        <v>0.137846</v>
      </c>
      <c r="D496" s="12">
        <v>-2.7607199999999998E-2</v>
      </c>
      <c r="E496" s="12">
        <v>0.208874</v>
      </c>
      <c r="F496" s="12">
        <v>-3</v>
      </c>
      <c r="G496" s="12">
        <v>0.10811999999999999</v>
      </c>
      <c r="H496" s="12">
        <v>132.25</v>
      </c>
      <c r="I496" s="12">
        <v>126.051</v>
      </c>
      <c r="J496" s="12" t="s">
        <v>3</v>
      </c>
      <c r="K496" s="12">
        <v>0</v>
      </c>
      <c r="M496">
        <f>MATCH(C496,script.out!B:B,0)</f>
        <v>754</v>
      </c>
      <c r="N496">
        <f>INDEX(script.out!B:B,results.txt!$M496)</f>
        <v>0.137846</v>
      </c>
      <c r="O496">
        <f>INDEX(script.out!C:C,results.txt!$M496)</f>
        <v>-2.7607199999999998E-2</v>
      </c>
      <c r="P496">
        <f>INDEX(script.out!D:D,results.txt!$M496)</f>
        <v>0.208874</v>
      </c>
      <c r="Q496">
        <f>INDEX(script.out!E:E,results.txt!$M496)</f>
        <v>0.108119655476592</v>
      </c>
      <c r="R496">
        <f>INDEX(script.out!F:F,results.txt!$M496)</f>
        <v>132.25</v>
      </c>
      <c r="S496">
        <f>INDEX(script.out!G:G,results.txt!$M496)</f>
        <v>126.051373259523</v>
      </c>
      <c r="T496" t="str">
        <f>INDEX(script.out!H:H,results.txt!$M496)</f>
        <v>{</v>
      </c>
      <c r="U496">
        <f>INDEX(script.out!I:I,results.txt!$M496)</f>
        <v>0.41027599999999997</v>
      </c>
      <c r="V496">
        <f>INDEX(script.out!J:J,results.txt!$M496)</f>
        <v>86.196399999999997</v>
      </c>
      <c r="W496">
        <f>INDEX(script.out!K:K,results.txt!$M496)</f>
        <v>133.23566</v>
      </c>
      <c r="X496" t="str">
        <f>INDEX(script.out!L:L,results.txt!$M496)</f>
        <v>}</v>
      </c>
      <c r="Y496" t="str">
        <f>INDEX(script.out!M:M,results.txt!$M496)</f>
        <v>{</v>
      </c>
      <c r="Z496">
        <f>INDEX(script.out!N:N,results.txt!$M496)</f>
        <v>10.328815534116901</v>
      </c>
      <c r="AA496">
        <f>INDEX(script.out!O:O,results.txt!$M496)</f>
        <v>19.5</v>
      </c>
      <c r="AB496">
        <f>INDEX(script.out!P:P,results.txt!$M496)</f>
        <v>3202.05</v>
      </c>
      <c r="AC496" t="str">
        <f>INDEX(script.out!Q:Q,results.txt!$M496)</f>
        <v>}</v>
      </c>
      <c r="AD496">
        <f t="shared" si="7"/>
        <v>2</v>
      </c>
    </row>
    <row r="497" spans="1:30" x14ac:dyDescent="0.25">
      <c r="A497" s="12" t="s">
        <v>5</v>
      </c>
      <c r="B497" s="12">
        <v>-3</v>
      </c>
      <c r="C497" s="12">
        <v>1.0660799999999999</v>
      </c>
      <c r="D497" s="12">
        <v>-1.1938600000000001E-2</v>
      </c>
      <c r="E497" s="12">
        <v>0.62314700000000001</v>
      </c>
      <c r="F497" s="12">
        <v>-3</v>
      </c>
      <c r="G497" s="12">
        <v>1.6067899999999999</v>
      </c>
      <c r="H497" s="12">
        <v>72.25</v>
      </c>
      <c r="I497" s="12">
        <v>282.42</v>
      </c>
      <c r="J497" s="12" t="s">
        <v>3</v>
      </c>
      <c r="K497" s="12">
        <v>0</v>
      </c>
      <c r="M497">
        <f>MATCH(C497,script.out!B:B,0)</f>
        <v>761</v>
      </c>
      <c r="N497">
        <f>INDEX(script.out!B:B,results.txt!$M497)</f>
        <v>1.0660799999999999</v>
      </c>
      <c r="O497">
        <f>INDEX(script.out!C:C,results.txt!$M497)</f>
        <v>-1.1938600000000001E-2</v>
      </c>
      <c r="P497">
        <f>INDEX(script.out!D:D,results.txt!$M497)</f>
        <v>0.62314700000000001</v>
      </c>
      <c r="Q497">
        <f>INDEX(script.out!E:E,results.txt!$M497)</f>
        <v>1.60678617773848</v>
      </c>
      <c r="R497">
        <f>INDEX(script.out!F:F,results.txt!$M497)</f>
        <v>72.25</v>
      </c>
      <c r="S497">
        <f>INDEX(script.out!G:G,results.txt!$M497)</f>
        <v>282.41953539125501</v>
      </c>
      <c r="T497" t="str">
        <f>INDEX(script.out!H:H,results.txt!$M497)</f>
        <v>{</v>
      </c>
      <c r="U497">
        <f>INDEX(script.out!I:I,results.txt!$M497)</f>
        <v>1.15286</v>
      </c>
      <c r="V497">
        <f>INDEX(script.out!J:J,results.txt!$M497)</f>
        <v>94.030699999999996</v>
      </c>
      <c r="W497">
        <f>INDEX(script.out!K:K,results.txt!$M497)</f>
        <v>377.65672999999998</v>
      </c>
      <c r="X497" t="str">
        <f>INDEX(script.out!L:L,results.txt!$M497)</f>
        <v>}</v>
      </c>
      <c r="Y497" t="str">
        <f>INDEX(script.out!M:M,results.txt!$M497)</f>
        <v>{</v>
      </c>
      <c r="Z497">
        <f>INDEX(script.out!N:N,results.txt!$M497)</f>
        <v>11.2675906980324</v>
      </c>
      <c r="AA497">
        <f>INDEX(script.out!O:O,results.txt!$M497)</f>
        <v>16.5</v>
      </c>
      <c r="AB497">
        <f>INDEX(script.out!P:P,results.txt!$M497)</f>
        <v>1166.05</v>
      </c>
      <c r="AC497" t="str">
        <f>INDEX(script.out!Q:Q,results.txt!$M497)</f>
        <v>}</v>
      </c>
      <c r="AD497">
        <f t="shared" si="7"/>
        <v>2</v>
      </c>
    </row>
    <row r="498" spans="1:30" x14ac:dyDescent="0.25">
      <c r="A498" s="12" t="s">
        <v>5</v>
      </c>
      <c r="B498" s="12">
        <v>-3</v>
      </c>
      <c r="C498" s="12">
        <v>0.210565</v>
      </c>
      <c r="D498" s="12">
        <v>6.5054400000000004E-3</v>
      </c>
      <c r="E498" s="12">
        <v>9.6895899999999993E-2</v>
      </c>
      <c r="F498" s="12">
        <v>-3</v>
      </c>
      <c r="G498" s="12">
        <v>5.6294899999999997</v>
      </c>
      <c r="H498" s="12">
        <v>132.25</v>
      </c>
      <c r="I498" s="13">
        <v>2.2464999999999999E-5</v>
      </c>
      <c r="J498" s="12" t="s">
        <v>3</v>
      </c>
      <c r="K498" s="12">
        <v>0</v>
      </c>
      <c r="M498">
        <f>MATCH(C498,script.out!B:B,0)</f>
        <v>764</v>
      </c>
      <c r="N498">
        <f>INDEX(script.out!B:B,results.txt!$M498)</f>
        <v>0.210565</v>
      </c>
      <c r="O498">
        <f>INDEX(script.out!C:C,results.txt!$M498)</f>
        <v>6.5054400000000004E-3</v>
      </c>
      <c r="P498">
        <f>INDEX(script.out!D:D,results.txt!$M498)</f>
        <v>9.6895899999999993E-2</v>
      </c>
      <c r="Q498">
        <f>INDEX(script.out!E:E,results.txt!$M498)</f>
        <v>5.6294905837784199</v>
      </c>
      <c r="R498">
        <f>INDEX(script.out!F:F,results.txt!$M498)</f>
        <v>132.25</v>
      </c>
      <c r="S498">
        <f>INDEX(script.out!G:G,results.txt!$M498)</f>
        <v>2.2465002814787001E-5</v>
      </c>
      <c r="T498" t="str">
        <f>INDEX(script.out!H:H,results.txt!$M498)</f>
        <v>{</v>
      </c>
      <c r="U498">
        <f>INDEX(script.out!I:I,results.txt!$M498)</f>
        <v>0.46845199999999998</v>
      </c>
      <c r="V498">
        <f>INDEX(script.out!J:J,results.txt!$M498)</f>
        <v>103.25272</v>
      </c>
      <c r="W498">
        <f>INDEX(script.out!K:K,results.txt!$M498)</f>
        <v>67.168581000000003</v>
      </c>
      <c r="X498" t="str">
        <f>INDEX(script.out!L:L,results.txt!$M498)</f>
        <v>}</v>
      </c>
      <c r="Y498" t="str">
        <f>INDEX(script.out!M:M,results.txt!$M498)</f>
        <v>{</v>
      </c>
      <c r="Z498">
        <f>INDEX(script.out!N:N,results.txt!$M498)</f>
        <v>12.372654754442401</v>
      </c>
      <c r="AA498">
        <f>INDEX(script.out!O:O,results.txt!$M498)</f>
        <v>19.5</v>
      </c>
      <c r="AB498">
        <f>INDEX(script.out!P:P,results.txt!$M498)</f>
        <v>7301.73</v>
      </c>
      <c r="AC498" t="str">
        <f>INDEX(script.out!Q:Q,results.txt!$M498)</f>
        <v>}</v>
      </c>
      <c r="AD498">
        <f t="shared" si="7"/>
        <v>2</v>
      </c>
    </row>
    <row r="499" spans="1:30" x14ac:dyDescent="0.25">
      <c r="A499" s="12" t="s">
        <v>5</v>
      </c>
      <c r="B499" s="12">
        <v>-3</v>
      </c>
      <c r="C499" s="12">
        <v>0.82169099999999995</v>
      </c>
      <c r="D499" s="12">
        <v>7.8037800000000004E-2</v>
      </c>
      <c r="E499" s="12">
        <v>0.65423600000000004</v>
      </c>
      <c r="F499" s="12">
        <v>-3</v>
      </c>
      <c r="G499" s="12">
        <v>44.335299999999997</v>
      </c>
      <c r="H499" s="12">
        <v>56.25</v>
      </c>
      <c r="I499" s="12">
        <v>141.91800000000001</v>
      </c>
      <c r="J499" s="12" t="s">
        <v>3</v>
      </c>
      <c r="K499" s="12">
        <v>0</v>
      </c>
      <c r="M499">
        <f>MATCH(C499,script.out!B:B,0)</f>
        <v>769</v>
      </c>
      <c r="N499">
        <f>INDEX(script.out!B:B,results.txt!$M499)</f>
        <v>0.82169099999999995</v>
      </c>
      <c r="O499">
        <f>INDEX(script.out!C:C,results.txt!$M499)</f>
        <v>7.8037800000000004E-2</v>
      </c>
      <c r="P499">
        <f>INDEX(script.out!D:D,results.txt!$M499)</f>
        <v>0.65423600000000004</v>
      </c>
      <c r="Q499">
        <f>INDEX(script.out!E:E,results.txt!$M499)</f>
        <v>44.335289227651103</v>
      </c>
      <c r="R499">
        <f>INDEX(script.out!F:F,results.txt!$M499)</f>
        <v>56.25</v>
      </c>
      <c r="S499">
        <f>INDEX(script.out!G:G,results.txt!$M499)</f>
        <v>141.917937086883</v>
      </c>
      <c r="T499" t="str">
        <f>INDEX(script.out!H:H,results.txt!$M499)</f>
        <v>{</v>
      </c>
      <c r="U499">
        <f>INDEX(script.out!I:I,results.txt!$M499)</f>
        <v>0.95735199999999998</v>
      </c>
      <c r="V499">
        <f>INDEX(script.out!J:J,results.txt!$M499)</f>
        <v>139.0189</v>
      </c>
      <c r="W499">
        <f>INDEX(script.out!K:K,results.txt!$M499)</f>
        <v>395.99923999999999</v>
      </c>
      <c r="X499" t="str">
        <f>INDEX(script.out!L:L,results.txt!$M499)</f>
        <v>}</v>
      </c>
      <c r="Y499" t="str">
        <f>INDEX(script.out!M:M,results.txt!$M499)</f>
        <v>{</v>
      </c>
      <c r="Z499">
        <f>INDEX(script.out!N:N,results.txt!$M499)</f>
        <v>16.658474992642901</v>
      </c>
      <c r="AA499">
        <f>INDEX(script.out!O:O,results.txt!$M499)</f>
        <v>15.5</v>
      </c>
      <c r="AB499">
        <f>INDEX(script.out!P:P,results.txt!$M499)</f>
        <v>2951.78</v>
      </c>
      <c r="AC499" t="str">
        <f>INDEX(script.out!Q:Q,results.txt!$M499)</f>
        <v>}</v>
      </c>
      <c r="AD499">
        <f t="shared" si="7"/>
        <v>2</v>
      </c>
    </row>
    <row r="500" spans="1:30" x14ac:dyDescent="0.25">
      <c r="A500" s="12" t="s">
        <v>5</v>
      </c>
      <c r="B500" s="12">
        <v>-3</v>
      </c>
      <c r="C500" s="12">
        <v>1.1841200000000001</v>
      </c>
      <c r="D500" s="12">
        <v>-2.1138500000000001E-2</v>
      </c>
      <c r="E500" s="12">
        <v>0.58893799999999996</v>
      </c>
      <c r="F500" s="12">
        <v>-3</v>
      </c>
      <c r="G500" s="12">
        <v>0.51320600000000005</v>
      </c>
      <c r="H500" s="12">
        <v>64</v>
      </c>
      <c r="I500" s="12">
        <v>282.43900000000002</v>
      </c>
      <c r="J500" s="12" t="s">
        <v>3</v>
      </c>
      <c r="K500" s="12">
        <v>0</v>
      </c>
      <c r="M500">
        <f>MATCH(C500,script.out!B:B,0)</f>
        <v>770</v>
      </c>
      <c r="N500">
        <f>INDEX(script.out!B:B,results.txt!$M500)</f>
        <v>1.1841200000000001</v>
      </c>
      <c r="O500">
        <f>INDEX(script.out!C:C,results.txt!$M500)</f>
        <v>-2.1138500000000001E-2</v>
      </c>
      <c r="P500">
        <f>INDEX(script.out!D:D,results.txt!$M500)</f>
        <v>0.58893799999999996</v>
      </c>
      <c r="Q500">
        <f>INDEX(script.out!E:E,results.txt!$M500)</f>
        <v>0.51320600238005698</v>
      </c>
      <c r="R500">
        <f>INDEX(script.out!F:F,results.txt!$M500)</f>
        <v>64</v>
      </c>
      <c r="S500">
        <f>INDEX(script.out!G:G,results.txt!$M500)</f>
        <v>282.43887337661801</v>
      </c>
      <c r="T500" t="str">
        <f>INDEX(script.out!H:H,results.txt!$M500)</f>
        <v>{</v>
      </c>
      <c r="U500">
        <f>INDEX(script.out!I:I,results.txt!$M500)</f>
        <v>1.24729</v>
      </c>
      <c r="V500">
        <f>INDEX(script.out!J:J,results.txt!$M500)</f>
        <v>89.430750000000003</v>
      </c>
      <c r="W500">
        <f>INDEX(script.out!K:K,results.txt!$M500)</f>
        <v>357.47341999999998</v>
      </c>
      <c r="X500" t="str">
        <f>INDEX(script.out!L:L,results.txt!$M500)</f>
        <v>}</v>
      </c>
      <c r="Y500" t="str">
        <f>INDEX(script.out!M:M,results.txt!$M500)</f>
        <v>{</v>
      </c>
      <c r="Z500">
        <f>INDEX(script.out!N:N,results.txt!$M500)</f>
        <v>10.716383976914599</v>
      </c>
      <c r="AA500">
        <f>INDEX(script.out!O:O,results.txt!$M500)</f>
        <v>16</v>
      </c>
      <c r="AB500">
        <f>INDEX(script.out!P:P,results.txt!$M500)</f>
        <v>1165.8399999999999</v>
      </c>
      <c r="AC500" t="str">
        <f>INDEX(script.out!Q:Q,results.txt!$M500)</f>
        <v>}</v>
      </c>
      <c r="AD500">
        <f t="shared" si="7"/>
        <v>2</v>
      </c>
    </row>
    <row r="501" spans="1:30" x14ac:dyDescent="0.25">
      <c r="A501" s="12" t="s">
        <v>5</v>
      </c>
      <c r="B501" s="12">
        <v>-3</v>
      </c>
      <c r="C501" s="12">
        <v>0.95099100000000003</v>
      </c>
      <c r="D501" s="12">
        <v>4.6025700000000003E-2</v>
      </c>
      <c r="E501" s="12">
        <v>0.53393000000000002</v>
      </c>
      <c r="F501" s="12">
        <v>-3</v>
      </c>
      <c r="G501" s="12">
        <v>22.472200000000001</v>
      </c>
      <c r="H501" s="12">
        <v>56.25</v>
      </c>
      <c r="I501" s="12">
        <v>173.703</v>
      </c>
      <c r="J501" s="12" t="s">
        <v>3</v>
      </c>
      <c r="K501" s="12">
        <v>0</v>
      </c>
      <c r="M501">
        <f>MATCH(C501,script.out!B:B,0)</f>
        <v>772</v>
      </c>
      <c r="N501">
        <f>INDEX(script.out!B:B,results.txt!$M501)</f>
        <v>0.95099100000000003</v>
      </c>
      <c r="O501">
        <f>INDEX(script.out!C:C,results.txt!$M501)</f>
        <v>4.6025700000000003E-2</v>
      </c>
      <c r="P501">
        <f>INDEX(script.out!D:D,results.txt!$M501)</f>
        <v>0.53393000000000002</v>
      </c>
      <c r="Q501">
        <f>INDEX(script.out!E:E,results.txt!$M501)</f>
        <v>22.472230452488201</v>
      </c>
      <c r="R501">
        <f>INDEX(script.out!F:F,results.txt!$M501)</f>
        <v>56.25</v>
      </c>
      <c r="S501">
        <f>INDEX(script.out!G:G,results.txt!$M501)</f>
        <v>173.703011633702</v>
      </c>
      <c r="T501" t="str">
        <f>INDEX(script.out!H:H,results.txt!$M501)</f>
        <v>{</v>
      </c>
      <c r="U501">
        <f>INDEX(script.out!I:I,results.txt!$M501)</f>
        <v>1.060792</v>
      </c>
      <c r="V501">
        <f>INDEX(script.out!J:J,results.txt!$M501)</f>
        <v>123.01285</v>
      </c>
      <c r="W501">
        <f>INDEX(script.out!K:K,results.txt!$M501)</f>
        <v>325.01870000000002</v>
      </c>
      <c r="X501" t="str">
        <f>INDEX(script.out!L:L,results.txt!$M501)</f>
        <v>}</v>
      </c>
      <c r="Y501" t="str">
        <f>INDEX(script.out!M:M,results.txt!$M501)</f>
        <v>{</v>
      </c>
      <c r="Z501">
        <f>INDEX(script.out!N:N,results.txt!$M501)</f>
        <v>14.740488419191401</v>
      </c>
      <c r="AA501">
        <f>INDEX(script.out!O:O,results.txt!$M501)</f>
        <v>15.5</v>
      </c>
      <c r="AB501">
        <f>INDEX(script.out!P:P,results.txt!$M501)</f>
        <v>2489.4299999999998</v>
      </c>
      <c r="AC501" t="str">
        <f>INDEX(script.out!Q:Q,results.txt!$M501)</f>
        <v>}</v>
      </c>
      <c r="AD501">
        <f t="shared" si="7"/>
        <v>2</v>
      </c>
    </row>
    <row r="502" spans="1:30" x14ac:dyDescent="0.25">
      <c r="A502" s="12" t="s">
        <v>5</v>
      </c>
      <c r="B502" s="12">
        <v>-3</v>
      </c>
      <c r="C502" s="12">
        <v>0.90958000000000006</v>
      </c>
      <c r="D502" s="12">
        <v>7.2333200000000003E-4</v>
      </c>
      <c r="E502" s="12">
        <v>0.62061599999999995</v>
      </c>
      <c r="F502" s="12">
        <v>-3</v>
      </c>
      <c r="G502" s="12">
        <v>4.1055799999999998</v>
      </c>
      <c r="H502" s="12">
        <v>72.25</v>
      </c>
      <c r="I502" s="12">
        <v>252.548</v>
      </c>
      <c r="J502" s="12" t="s">
        <v>3</v>
      </c>
      <c r="K502" s="12">
        <v>0</v>
      </c>
      <c r="M502">
        <f>MATCH(C502,script.out!B:B,0)</f>
        <v>774</v>
      </c>
      <c r="N502">
        <f>INDEX(script.out!B:B,results.txt!$M502)</f>
        <v>0.90958000000000006</v>
      </c>
      <c r="O502">
        <f>INDEX(script.out!C:C,results.txt!$M502)</f>
        <v>7.2333200000000003E-4</v>
      </c>
      <c r="P502">
        <f>INDEX(script.out!D:D,results.txt!$M502)</f>
        <v>0.62061599999999995</v>
      </c>
      <c r="Q502">
        <f>INDEX(script.out!E:E,results.txt!$M502)</f>
        <v>4.1055799566545499</v>
      </c>
      <c r="R502">
        <f>INDEX(script.out!F:F,results.txt!$M502)</f>
        <v>72.25</v>
      </c>
      <c r="S502">
        <f>INDEX(script.out!G:G,results.txt!$M502)</f>
        <v>252.547826910114</v>
      </c>
      <c r="T502" t="str">
        <f>INDEX(script.out!H:H,results.txt!$M502)</f>
        <v>{</v>
      </c>
      <c r="U502">
        <f>INDEX(script.out!I:I,results.txt!$M502)</f>
        <v>1.02766</v>
      </c>
      <c r="V502">
        <f>INDEX(script.out!J:J,results.txt!$M502)</f>
        <v>100.361666</v>
      </c>
      <c r="W502">
        <f>INDEX(script.out!K:K,results.txt!$M502)</f>
        <v>376.16343999999998</v>
      </c>
      <c r="X502" t="str">
        <f>INDEX(script.out!L:L,results.txt!$M502)</f>
        <v>}</v>
      </c>
      <c r="Y502" t="str">
        <f>INDEX(script.out!M:M,results.txt!$M502)</f>
        <v>{</v>
      </c>
      <c r="Z502">
        <f>INDEX(script.out!N:N,results.txt!$M502)</f>
        <v>12.026223076725399</v>
      </c>
      <c r="AA502">
        <f>INDEX(script.out!O:O,results.txt!$M502)</f>
        <v>16.5</v>
      </c>
      <c r="AB502">
        <f>INDEX(script.out!P:P,results.txt!$M502)</f>
        <v>1499.51</v>
      </c>
      <c r="AC502" t="str">
        <f>INDEX(script.out!Q:Q,results.txt!$M502)</f>
        <v>}</v>
      </c>
      <c r="AD502">
        <f t="shared" si="7"/>
        <v>2</v>
      </c>
    </row>
    <row r="503" spans="1:30" x14ac:dyDescent="0.25">
      <c r="A503" s="12" t="s">
        <v>5</v>
      </c>
      <c r="B503" s="12">
        <v>-3</v>
      </c>
      <c r="C503" s="12">
        <v>0.89823500000000001</v>
      </c>
      <c r="D503" s="12">
        <v>0.29504799999999998</v>
      </c>
      <c r="E503" s="12">
        <v>0.57559700000000003</v>
      </c>
      <c r="F503" s="12">
        <v>-3</v>
      </c>
      <c r="G503" s="12">
        <v>386.536</v>
      </c>
      <c r="H503" s="12">
        <v>36</v>
      </c>
      <c r="I503" s="12">
        <v>1.7406600000000001</v>
      </c>
      <c r="J503" s="12" t="s">
        <v>3</v>
      </c>
      <c r="K503" s="12">
        <v>0</v>
      </c>
      <c r="M503">
        <f>MATCH(C503,script.out!B:B,0)</f>
        <v>775</v>
      </c>
      <c r="N503">
        <f>INDEX(script.out!B:B,results.txt!$M503)</f>
        <v>0.89823500000000001</v>
      </c>
      <c r="O503">
        <f>INDEX(script.out!C:C,results.txt!$M503)</f>
        <v>0.29504799999999998</v>
      </c>
      <c r="P503">
        <f>INDEX(script.out!D:D,results.txt!$M503)</f>
        <v>0.57559700000000003</v>
      </c>
      <c r="Q503">
        <f>INDEX(script.out!E:E,results.txt!$M503)</f>
        <v>386.53590531803098</v>
      </c>
      <c r="R503">
        <f>INDEX(script.out!F:F,results.txt!$M503)</f>
        <v>36</v>
      </c>
      <c r="S503">
        <f>INDEX(script.out!G:G,results.txt!$M503)</f>
        <v>1.7406645419403199</v>
      </c>
      <c r="T503" t="str">
        <f>INDEX(script.out!H:H,results.txt!$M503)</f>
        <v>{</v>
      </c>
      <c r="U503">
        <f>INDEX(script.out!I:I,results.txt!$M503)</f>
        <v>1.018588</v>
      </c>
      <c r="V503">
        <f>INDEX(script.out!J:J,results.txt!$M503)</f>
        <v>247.524</v>
      </c>
      <c r="W503">
        <f>INDEX(script.out!K:K,results.txt!$M503)</f>
        <v>349.60223000000002</v>
      </c>
      <c r="X503" t="str">
        <f>INDEX(script.out!L:L,results.txt!$M503)</f>
        <v>}</v>
      </c>
      <c r="Y503" t="str">
        <f>INDEX(script.out!M:M,results.txt!$M503)</f>
        <v>{</v>
      </c>
      <c r="Z503">
        <f>INDEX(script.out!N:N,results.txt!$M503)</f>
        <v>29.660516405171801</v>
      </c>
      <c r="AA503">
        <f>INDEX(script.out!O:O,results.txt!$M503)</f>
        <v>14</v>
      </c>
      <c r="AB503">
        <f>INDEX(script.out!P:P,results.txt!$M503)</f>
        <v>6818.44</v>
      </c>
      <c r="AC503" t="str">
        <f>INDEX(script.out!Q:Q,results.txt!$M503)</f>
        <v>}</v>
      </c>
      <c r="AD503">
        <f t="shared" si="7"/>
        <v>2</v>
      </c>
    </row>
    <row r="504" spans="1:30" x14ac:dyDescent="0.25">
      <c r="A504" s="12" t="s">
        <v>5</v>
      </c>
      <c r="B504" s="12">
        <v>-3</v>
      </c>
      <c r="C504" s="12">
        <v>1.0422400000000001</v>
      </c>
      <c r="D504" s="12">
        <v>0.13772699999999999</v>
      </c>
      <c r="E504" s="12">
        <v>0.63768800000000003</v>
      </c>
      <c r="F504" s="12">
        <v>-3</v>
      </c>
      <c r="G504" s="12">
        <v>104.749</v>
      </c>
      <c r="H504" s="12">
        <v>36</v>
      </c>
      <c r="I504" s="12">
        <v>113.83799999999999</v>
      </c>
      <c r="J504" s="12" t="s">
        <v>3</v>
      </c>
      <c r="K504" s="12">
        <v>0</v>
      </c>
      <c r="M504">
        <f>MATCH(C504,script.out!B:B,0)</f>
        <v>776</v>
      </c>
      <c r="N504">
        <f>INDEX(script.out!B:B,results.txt!$M504)</f>
        <v>1.0422400000000001</v>
      </c>
      <c r="O504">
        <f>INDEX(script.out!C:C,results.txt!$M504)</f>
        <v>0.13772699999999999</v>
      </c>
      <c r="P504">
        <f>INDEX(script.out!D:D,results.txt!$M504)</f>
        <v>0.63768800000000003</v>
      </c>
      <c r="Q504">
        <f>INDEX(script.out!E:E,results.txt!$M504)</f>
        <v>104.74947517799301</v>
      </c>
      <c r="R504">
        <f>INDEX(script.out!F:F,results.txt!$M504)</f>
        <v>36</v>
      </c>
      <c r="S504">
        <f>INDEX(script.out!G:G,results.txt!$M504)</f>
        <v>113.83837640758099</v>
      </c>
      <c r="T504" t="str">
        <f>INDEX(script.out!H:H,results.txt!$M504)</f>
        <v>{</v>
      </c>
      <c r="U504">
        <f>INDEX(script.out!I:I,results.txt!$M504)</f>
        <v>1.1337900000000001</v>
      </c>
      <c r="V504">
        <f>INDEX(script.out!J:J,results.txt!$M504)</f>
        <v>168.86349999999999</v>
      </c>
      <c r="W504">
        <f>INDEX(script.out!K:K,results.txt!$M504)</f>
        <v>386.23592000000002</v>
      </c>
      <c r="X504" t="str">
        <f>INDEX(script.out!L:L,results.txt!$M504)</f>
        <v>}</v>
      </c>
      <c r="Y504" t="str">
        <f>INDEX(script.out!M:M,results.txt!$M504)</f>
        <v>{</v>
      </c>
      <c r="Z504">
        <f>INDEX(script.out!N:N,results.txt!$M504)</f>
        <v>20.234719105964398</v>
      </c>
      <c r="AA504">
        <f>INDEX(script.out!O:O,results.txt!$M504)</f>
        <v>14</v>
      </c>
      <c r="AB504">
        <f>INDEX(script.out!P:P,results.txt!$M504)</f>
        <v>3405.63</v>
      </c>
      <c r="AC504" t="str">
        <f>INDEX(script.out!Q:Q,results.txt!$M504)</f>
        <v>}</v>
      </c>
      <c r="AD504">
        <f t="shared" si="7"/>
        <v>2</v>
      </c>
    </row>
    <row r="505" spans="1:30" x14ac:dyDescent="0.25">
      <c r="A505" s="12" t="s">
        <v>5</v>
      </c>
      <c r="B505" s="12">
        <v>-3</v>
      </c>
      <c r="C505" s="12">
        <v>1.0946899999999999</v>
      </c>
      <c r="D505" s="12">
        <v>9.2437900000000003E-2</v>
      </c>
      <c r="E505" s="12">
        <v>0.57492900000000002</v>
      </c>
      <c r="F505" s="12">
        <v>-3</v>
      </c>
      <c r="G505" s="12">
        <v>56.569200000000002</v>
      </c>
      <c r="H505" s="12">
        <v>42.25</v>
      </c>
      <c r="I505" s="12">
        <v>165.7</v>
      </c>
      <c r="J505" s="12" t="s">
        <v>3</v>
      </c>
      <c r="K505" s="12">
        <v>0</v>
      </c>
      <c r="M505">
        <f>MATCH(C505,script.out!B:B,0)</f>
        <v>778</v>
      </c>
      <c r="N505">
        <f>INDEX(script.out!B:B,results.txt!$M505)</f>
        <v>1.0946899999999999</v>
      </c>
      <c r="O505">
        <f>INDEX(script.out!C:C,results.txt!$M505)</f>
        <v>9.2437900000000003E-2</v>
      </c>
      <c r="P505">
        <f>INDEX(script.out!D:D,results.txt!$M505)</f>
        <v>0.57492900000000002</v>
      </c>
      <c r="Q505">
        <f>INDEX(script.out!E:E,results.txt!$M505)</f>
        <v>56.5691821289901</v>
      </c>
      <c r="R505">
        <f>INDEX(script.out!F:F,results.txt!$M505)</f>
        <v>42.25</v>
      </c>
      <c r="S505">
        <f>INDEX(script.out!G:G,results.txt!$M505)</f>
        <v>165.70037457308999</v>
      </c>
      <c r="T505" t="str">
        <f>INDEX(script.out!H:H,results.txt!$M505)</f>
        <v>{</v>
      </c>
      <c r="U505">
        <f>INDEX(script.out!I:I,results.txt!$M505)</f>
        <v>1.1757500000000001</v>
      </c>
      <c r="V505">
        <f>INDEX(script.out!J:J,results.txt!$M505)</f>
        <v>146.21895000000001</v>
      </c>
      <c r="W505">
        <f>INDEX(script.out!K:K,results.txt!$M505)</f>
        <v>349.20810999999998</v>
      </c>
      <c r="X505" t="str">
        <f>INDEX(script.out!L:L,results.txt!$M505)</f>
        <v>}</v>
      </c>
      <c r="Y505" t="str">
        <f>INDEX(script.out!M:M,results.txt!$M505)</f>
        <v>{</v>
      </c>
      <c r="Z505">
        <f>INDEX(script.out!N:N,results.txt!$M505)</f>
        <v>17.521248708092902</v>
      </c>
      <c r="AA505">
        <f>INDEX(script.out!O:O,results.txt!$M505)</f>
        <v>14.5</v>
      </c>
      <c r="AB505">
        <f>INDEX(script.out!P:P,results.txt!$M505)</f>
        <v>2601.5500000000002</v>
      </c>
      <c r="AC505" t="str">
        <f>INDEX(script.out!Q:Q,results.txt!$M505)</f>
        <v>}</v>
      </c>
      <c r="AD505">
        <f t="shared" si="7"/>
        <v>2</v>
      </c>
    </row>
    <row r="506" spans="1:30" x14ac:dyDescent="0.25">
      <c r="A506" s="12" t="s">
        <v>5</v>
      </c>
      <c r="B506" s="12">
        <v>-3</v>
      </c>
      <c r="C506" s="12">
        <v>0.86912400000000001</v>
      </c>
      <c r="D506" s="12">
        <v>0.15381300000000001</v>
      </c>
      <c r="E506" s="12">
        <v>0.42841899999999999</v>
      </c>
      <c r="F506" s="12">
        <v>-3</v>
      </c>
      <c r="G506" s="12">
        <v>125.40600000000001</v>
      </c>
      <c r="H506" s="12">
        <v>49</v>
      </c>
      <c r="I506" s="12">
        <v>36.3675</v>
      </c>
      <c r="J506" s="12" t="s">
        <v>3</v>
      </c>
      <c r="K506" s="12">
        <v>0</v>
      </c>
      <c r="M506">
        <f>MATCH(C506,script.out!B:B,0)</f>
        <v>779</v>
      </c>
      <c r="N506">
        <f>INDEX(script.out!B:B,results.txt!$M506)</f>
        <v>0.86912400000000001</v>
      </c>
      <c r="O506">
        <f>INDEX(script.out!C:C,results.txt!$M506)</f>
        <v>0.15381300000000001</v>
      </c>
      <c r="P506">
        <f>INDEX(script.out!D:D,results.txt!$M506)</f>
        <v>0.42841899999999999</v>
      </c>
      <c r="Q506">
        <f>INDEX(script.out!E:E,results.txt!$M506)</f>
        <v>125.40645938455501</v>
      </c>
      <c r="R506">
        <f>INDEX(script.out!F:F,results.txt!$M506)</f>
        <v>49</v>
      </c>
      <c r="S506">
        <f>INDEX(script.out!G:G,results.txt!$M506)</f>
        <v>36.367508519422003</v>
      </c>
      <c r="T506" t="str">
        <f>INDEX(script.out!H:H,results.txt!$M506)</f>
        <v>{</v>
      </c>
      <c r="U506">
        <f>INDEX(script.out!I:I,results.txt!$M506)</f>
        <v>0.99529900000000004</v>
      </c>
      <c r="V506">
        <f>INDEX(script.out!J:J,results.txt!$M506)</f>
        <v>176.90649999999999</v>
      </c>
      <c r="W506">
        <f>INDEX(script.out!K:K,results.txt!$M506)</f>
        <v>262.76720999999998</v>
      </c>
      <c r="X506" t="str">
        <f>INDEX(script.out!L:L,results.txt!$M506)</f>
        <v>}</v>
      </c>
      <c r="Y506" t="str">
        <f>INDEX(script.out!M:M,results.txt!$M506)</f>
        <v>{</v>
      </c>
      <c r="Z506">
        <f>INDEX(script.out!N:N,results.txt!$M506)</f>
        <v>21.198502550991101</v>
      </c>
      <c r="AA506">
        <f>INDEX(script.out!O:O,results.txt!$M506)</f>
        <v>15</v>
      </c>
      <c r="AB506">
        <f>INDEX(script.out!P:P,results.txt!$M506)</f>
        <v>5098.8500000000004</v>
      </c>
      <c r="AC506" t="str">
        <f>INDEX(script.out!Q:Q,results.txt!$M506)</f>
        <v>}</v>
      </c>
      <c r="AD506">
        <f t="shared" si="7"/>
        <v>2</v>
      </c>
    </row>
    <row r="507" spans="1:30" x14ac:dyDescent="0.25">
      <c r="A507" s="12" t="s">
        <v>5</v>
      </c>
      <c r="B507" s="12">
        <v>-3</v>
      </c>
      <c r="C507" s="12">
        <v>0.60672899999999996</v>
      </c>
      <c r="D507" s="12">
        <v>-2.5474299999999998E-2</v>
      </c>
      <c r="E507" s="12">
        <v>0.170762</v>
      </c>
      <c r="F507" s="12">
        <v>-3</v>
      </c>
      <c r="G507" s="12">
        <v>0.20849000000000001</v>
      </c>
      <c r="H507" s="12">
        <v>132.25</v>
      </c>
      <c r="I507" s="12">
        <v>47.471699999999998</v>
      </c>
      <c r="J507" s="12" t="s">
        <v>3</v>
      </c>
      <c r="K507" s="12">
        <v>0</v>
      </c>
      <c r="M507">
        <f>MATCH(C507,script.out!B:B,0)</f>
        <v>784</v>
      </c>
      <c r="N507">
        <f>INDEX(script.out!B:B,results.txt!$M507)</f>
        <v>0.60672899999999996</v>
      </c>
      <c r="O507">
        <f>INDEX(script.out!C:C,results.txt!$M507)</f>
        <v>-2.5474299999999998E-2</v>
      </c>
      <c r="P507">
        <f>INDEX(script.out!D:D,results.txt!$M507)</f>
        <v>0.170762</v>
      </c>
      <c r="Q507">
        <f>INDEX(script.out!E:E,results.txt!$M507)</f>
        <v>0.208489963218534</v>
      </c>
      <c r="R507">
        <f>INDEX(script.out!F:F,results.txt!$M507)</f>
        <v>132.25</v>
      </c>
      <c r="S507">
        <f>INDEX(script.out!G:G,results.txt!$M507)</f>
        <v>47.471722466503998</v>
      </c>
      <c r="T507" t="str">
        <f>INDEX(script.out!H:H,results.txt!$M507)</f>
        <v>{</v>
      </c>
      <c r="U507">
        <f>INDEX(script.out!I:I,results.txt!$M507)</f>
        <v>0.78538300000000005</v>
      </c>
      <c r="V507">
        <f>INDEX(script.out!J:J,results.txt!$M507)</f>
        <v>87.26285</v>
      </c>
      <c r="W507">
        <f>INDEX(script.out!K:K,results.txt!$M507)</f>
        <v>110.74957999999999</v>
      </c>
      <c r="X507" t="str">
        <f>INDEX(script.out!L:L,results.txt!$M507)</f>
        <v>}</v>
      </c>
      <c r="Y507" t="str">
        <f>INDEX(script.out!M:M,results.txt!$M507)</f>
        <v>{</v>
      </c>
      <c r="Z507">
        <f>INDEX(script.out!N:N,results.txt!$M507)</f>
        <v>10.456607011793</v>
      </c>
      <c r="AA507">
        <f>INDEX(script.out!O:O,results.txt!$M507)</f>
        <v>19.5</v>
      </c>
      <c r="AB507">
        <f>INDEX(script.out!P:P,results.txt!$M507)</f>
        <v>4785.16</v>
      </c>
      <c r="AC507" t="str">
        <f>INDEX(script.out!Q:Q,results.txt!$M507)</f>
        <v>}</v>
      </c>
      <c r="AD507">
        <f t="shared" si="7"/>
        <v>2</v>
      </c>
    </row>
    <row r="508" spans="1:30" x14ac:dyDescent="0.25">
      <c r="A508" s="12" t="s">
        <v>5</v>
      </c>
      <c r="B508" s="12">
        <v>-3</v>
      </c>
      <c r="C508" s="12">
        <v>1.0212600000000001</v>
      </c>
      <c r="D508" s="12">
        <v>4.0188300000000003E-2</v>
      </c>
      <c r="E508" s="12">
        <v>0.60040300000000002</v>
      </c>
      <c r="F508" s="12">
        <v>-3</v>
      </c>
      <c r="G508" s="12">
        <v>19.278600000000001</v>
      </c>
      <c r="H508" s="12">
        <v>56.25</v>
      </c>
      <c r="I508" s="12">
        <v>198.67699999999999</v>
      </c>
      <c r="J508" s="12" t="s">
        <v>3</v>
      </c>
      <c r="K508" s="12">
        <v>0</v>
      </c>
      <c r="M508">
        <f>MATCH(C508,script.out!B:B,0)</f>
        <v>789</v>
      </c>
      <c r="N508">
        <f>INDEX(script.out!B:B,results.txt!$M508)</f>
        <v>1.0212600000000001</v>
      </c>
      <c r="O508">
        <f>INDEX(script.out!C:C,results.txt!$M508)</f>
        <v>4.0188300000000003E-2</v>
      </c>
      <c r="P508">
        <f>INDEX(script.out!D:D,results.txt!$M508)</f>
        <v>0.60040300000000002</v>
      </c>
      <c r="Q508">
        <f>INDEX(script.out!E:E,results.txt!$M508)</f>
        <v>19.2786324614374</v>
      </c>
      <c r="R508">
        <f>INDEX(script.out!F:F,results.txt!$M508)</f>
        <v>56.25</v>
      </c>
      <c r="S508">
        <f>INDEX(script.out!G:G,results.txt!$M508)</f>
        <v>198.677134534809</v>
      </c>
      <c r="T508" t="str">
        <f>INDEX(script.out!H:H,results.txt!$M508)</f>
        <v>{</v>
      </c>
      <c r="U508">
        <f>INDEX(script.out!I:I,results.txt!$M508)</f>
        <v>1.117</v>
      </c>
      <c r="V508">
        <f>INDEX(script.out!J:J,results.txt!$M508)</f>
        <v>120.09415</v>
      </c>
      <c r="W508">
        <f>INDEX(script.out!K:K,results.txt!$M508)</f>
        <v>364.23777000000001</v>
      </c>
      <c r="X508" t="str">
        <f>INDEX(script.out!L:L,results.txt!$M508)</f>
        <v>}</v>
      </c>
      <c r="Y508" t="str">
        <f>INDEX(script.out!M:M,results.txt!$M508)</f>
        <v>{</v>
      </c>
      <c r="Z508">
        <f>INDEX(script.out!N:N,results.txt!$M508)</f>
        <v>14.390743953071899</v>
      </c>
      <c r="AA508">
        <f>INDEX(script.out!O:O,results.txt!$M508)</f>
        <v>15.5</v>
      </c>
      <c r="AB508">
        <f>INDEX(script.out!P:P,results.txt!$M508)</f>
        <v>2155.2199999999998</v>
      </c>
      <c r="AC508" t="str">
        <f>INDEX(script.out!Q:Q,results.txt!$M508)</f>
        <v>}</v>
      </c>
      <c r="AD508">
        <f t="shared" si="7"/>
        <v>2</v>
      </c>
    </row>
    <row r="509" spans="1:30" x14ac:dyDescent="0.25">
      <c r="A509" s="12" t="s">
        <v>5</v>
      </c>
      <c r="B509" s="12">
        <v>-3</v>
      </c>
      <c r="C509" s="12">
        <v>1.02532</v>
      </c>
      <c r="D509" s="12">
        <v>-1.5121500000000001E-3</v>
      </c>
      <c r="E509" s="12">
        <v>0.68779599999999996</v>
      </c>
      <c r="F509" s="12">
        <v>-3</v>
      </c>
      <c r="G509" s="12">
        <v>3.58074</v>
      </c>
      <c r="H509" s="12">
        <v>64</v>
      </c>
      <c r="I509" s="12">
        <v>269.56900000000002</v>
      </c>
      <c r="J509" s="12" t="s">
        <v>3</v>
      </c>
      <c r="K509" s="12">
        <v>0</v>
      </c>
      <c r="M509">
        <f>MATCH(C509,script.out!B:B,0)</f>
        <v>790</v>
      </c>
      <c r="N509">
        <f>INDEX(script.out!B:B,results.txt!$M509)</f>
        <v>1.02532</v>
      </c>
      <c r="O509">
        <f>INDEX(script.out!C:C,results.txt!$M509)</f>
        <v>-1.5121500000000001E-3</v>
      </c>
      <c r="P509">
        <f>INDEX(script.out!D:D,results.txt!$M509)</f>
        <v>0.68779599999999996</v>
      </c>
      <c r="Q509">
        <f>INDEX(script.out!E:E,results.txt!$M509)</f>
        <v>3.5807442525729498</v>
      </c>
      <c r="R509">
        <f>INDEX(script.out!F:F,results.txt!$M509)</f>
        <v>64</v>
      </c>
      <c r="S509">
        <f>INDEX(script.out!G:G,results.txt!$M509)</f>
        <v>269.56871662901102</v>
      </c>
      <c r="T509" t="str">
        <f>INDEX(script.out!H:H,results.txt!$M509)</f>
        <v>{</v>
      </c>
      <c r="U509">
        <f>INDEX(script.out!I:I,results.txt!$M509)</f>
        <v>1.12025</v>
      </c>
      <c r="V509">
        <f>INDEX(script.out!J:J,results.txt!$M509)</f>
        <v>99.243925000000004</v>
      </c>
      <c r="W509">
        <f>INDEX(script.out!K:K,results.txt!$M509)</f>
        <v>415.79964000000001</v>
      </c>
      <c r="X509" t="str">
        <f>INDEX(script.out!L:L,results.txt!$M509)</f>
        <v>}</v>
      </c>
      <c r="Y509" t="str">
        <f>INDEX(script.out!M:M,results.txt!$M509)</f>
        <v>{</v>
      </c>
      <c r="Z509">
        <f>INDEX(script.out!N:N,results.txt!$M509)</f>
        <v>11.892285457475399</v>
      </c>
      <c r="AA509">
        <f>INDEX(script.out!O:O,results.txt!$M509)</f>
        <v>16</v>
      </c>
      <c r="AB509">
        <f>INDEX(script.out!P:P,results.txt!$M509)</f>
        <v>1307.23</v>
      </c>
      <c r="AC509" t="str">
        <f>INDEX(script.out!Q:Q,results.txt!$M509)</f>
        <v>}</v>
      </c>
      <c r="AD509">
        <f t="shared" si="7"/>
        <v>2</v>
      </c>
    </row>
    <row r="510" spans="1:30" x14ac:dyDescent="0.25">
      <c r="A510" s="12" t="s">
        <v>5</v>
      </c>
      <c r="B510" s="12">
        <v>-3</v>
      </c>
      <c r="C510" s="12">
        <v>1.17605</v>
      </c>
      <c r="D510" s="12">
        <v>0.28706300000000001</v>
      </c>
      <c r="E510" s="12">
        <v>0.54840599999999995</v>
      </c>
      <c r="F510" s="12">
        <v>-3</v>
      </c>
      <c r="G510" s="12">
        <v>367.95299999999997</v>
      </c>
      <c r="H510" s="12">
        <v>30.25</v>
      </c>
      <c r="I510" s="12">
        <v>33.3979</v>
      </c>
      <c r="J510" s="12" t="s">
        <v>3</v>
      </c>
      <c r="K510" s="12">
        <v>0</v>
      </c>
      <c r="M510">
        <f>MATCH(C510,script.out!B:B,0)</f>
        <v>791</v>
      </c>
      <c r="N510">
        <f>INDEX(script.out!B:B,results.txt!$M510)</f>
        <v>1.17605</v>
      </c>
      <c r="O510">
        <f>INDEX(script.out!C:C,results.txt!$M510)</f>
        <v>0.28706300000000001</v>
      </c>
      <c r="P510">
        <f>INDEX(script.out!D:D,results.txt!$M510)</f>
        <v>0.54840599999999995</v>
      </c>
      <c r="Q510">
        <f>INDEX(script.out!E:E,results.txt!$M510)</f>
        <v>367.95294964211399</v>
      </c>
      <c r="R510">
        <f>INDEX(script.out!F:F,results.txt!$M510)</f>
        <v>30.25</v>
      </c>
      <c r="S510">
        <f>INDEX(script.out!G:G,results.txt!$M510)</f>
        <v>33.397949310564798</v>
      </c>
      <c r="T510" t="str">
        <f>INDEX(script.out!H:H,results.txt!$M510)</f>
        <v>{</v>
      </c>
      <c r="U510">
        <f>INDEX(script.out!I:I,results.txt!$M510)</f>
        <v>1.2408399999999999</v>
      </c>
      <c r="V510">
        <f>INDEX(script.out!J:J,results.txt!$M510)</f>
        <v>243.53149999999999</v>
      </c>
      <c r="W510">
        <f>INDEX(script.out!K:K,results.txt!$M510)</f>
        <v>333.55954000000003</v>
      </c>
      <c r="X510" t="str">
        <f>INDEX(script.out!L:L,results.txt!$M510)</f>
        <v>}</v>
      </c>
      <c r="Y510" t="str">
        <f>INDEX(script.out!M:M,results.txt!$M510)</f>
        <v>{</v>
      </c>
      <c r="Z510">
        <f>INDEX(script.out!N:N,results.txt!$M510)</f>
        <v>29.182099719324601</v>
      </c>
      <c r="AA510">
        <f>INDEX(script.out!O:O,results.txt!$M510)</f>
        <v>13.5</v>
      </c>
      <c r="AB510">
        <f>INDEX(script.out!P:P,results.txt!$M510)</f>
        <v>5190.63</v>
      </c>
      <c r="AC510" t="str">
        <f>INDEX(script.out!Q:Q,results.txt!$M510)</f>
        <v>}</v>
      </c>
      <c r="AD510">
        <f t="shared" si="7"/>
        <v>2</v>
      </c>
    </row>
    <row r="511" spans="1:30" x14ac:dyDescent="0.25">
      <c r="A511" s="12" t="s">
        <v>5</v>
      </c>
      <c r="B511" s="12">
        <v>-3</v>
      </c>
      <c r="C511" s="12">
        <v>0.85123700000000002</v>
      </c>
      <c r="D511" s="12">
        <v>0.34456900000000001</v>
      </c>
      <c r="E511" s="12">
        <v>0.58035599999999998</v>
      </c>
      <c r="F511" s="12">
        <v>-3</v>
      </c>
      <c r="G511" s="12">
        <v>512.00599999999997</v>
      </c>
      <c r="H511" s="12">
        <v>42.25</v>
      </c>
      <c r="I511" s="13">
        <v>7.3567299999999998E-6</v>
      </c>
      <c r="J511" s="12" t="s">
        <v>3</v>
      </c>
      <c r="K511" s="12">
        <v>0</v>
      </c>
      <c r="M511">
        <f>MATCH(C511,script.out!B:B,0)</f>
        <v>795</v>
      </c>
      <c r="N511">
        <f>INDEX(script.out!B:B,results.txt!$M511)</f>
        <v>0.85123700000000002</v>
      </c>
      <c r="O511">
        <f>INDEX(script.out!C:C,results.txt!$M511)</f>
        <v>0.34456900000000001</v>
      </c>
      <c r="P511">
        <f>INDEX(script.out!D:D,results.txt!$M511)</f>
        <v>0.58035599999999998</v>
      </c>
      <c r="Q511">
        <f>INDEX(script.out!E:E,results.txt!$M511)</f>
        <v>512.00550578166997</v>
      </c>
      <c r="R511">
        <f>INDEX(script.out!F:F,results.txt!$M511)</f>
        <v>42.25</v>
      </c>
      <c r="S511">
        <f>INDEX(script.out!G:G,results.txt!$M511)</f>
        <v>7.3567273409645298E-6</v>
      </c>
      <c r="T511" t="str">
        <f>INDEX(script.out!H:H,results.txt!$M511)</f>
        <v>{</v>
      </c>
      <c r="U511">
        <f>INDEX(script.out!I:I,results.txt!$M511)</f>
        <v>0.980989</v>
      </c>
      <c r="V511">
        <f>INDEX(script.out!J:J,results.txt!$M511)</f>
        <v>272.28449999999998</v>
      </c>
      <c r="W511">
        <f>INDEX(script.out!K:K,results.txt!$M511)</f>
        <v>352.41003999999998</v>
      </c>
      <c r="X511" t="str">
        <f>INDEX(script.out!L:L,results.txt!$M511)</f>
        <v>}</v>
      </c>
      <c r="Y511" t="str">
        <f>INDEX(script.out!M:M,results.txt!$M511)</f>
        <v>{</v>
      </c>
      <c r="Z511">
        <f>INDEX(script.out!N:N,results.txt!$M511)</f>
        <v>32.627538659378502</v>
      </c>
      <c r="AA511">
        <f>INDEX(script.out!O:O,results.txt!$M511)</f>
        <v>14.5</v>
      </c>
      <c r="AB511">
        <f>INDEX(script.out!P:P,results.txt!$M511)</f>
        <v>7299.01</v>
      </c>
      <c r="AC511" t="str">
        <f>INDEX(script.out!Q:Q,results.txt!$M511)</f>
        <v>}</v>
      </c>
      <c r="AD511">
        <f t="shared" si="7"/>
        <v>2</v>
      </c>
    </row>
    <row r="512" spans="1:30" x14ac:dyDescent="0.25">
      <c r="A512" s="12" t="s">
        <v>5</v>
      </c>
      <c r="B512" s="12">
        <v>-3</v>
      </c>
      <c r="C512" s="12">
        <v>0.164218</v>
      </c>
      <c r="D512" s="12">
        <v>-3.3487000000000003E-2</v>
      </c>
      <c r="E512" s="12">
        <v>0.167044</v>
      </c>
      <c r="F512" s="12">
        <v>-3</v>
      </c>
      <c r="G512" s="12">
        <v>5.5080799999999996E-4</v>
      </c>
      <c r="H512" s="12">
        <v>144</v>
      </c>
      <c r="I512" s="12">
        <v>88.593999999999994</v>
      </c>
      <c r="J512" s="12" t="s">
        <v>3</v>
      </c>
      <c r="K512" s="12">
        <v>0</v>
      </c>
      <c r="M512">
        <f>MATCH(C512,script.out!B:B,0)</f>
        <v>800</v>
      </c>
      <c r="N512">
        <f>INDEX(script.out!B:B,results.txt!$M512)</f>
        <v>0.164218</v>
      </c>
      <c r="O512">
        <f>INDEX(script.out!C:C,results.txt!$M512)</f>
        <v>-3.3487000000000003E-2</v>
      </c>
      <c r="P512">
        <f>INDEX(script.out!D:D,results.txt!$M512)</f>
        <v>0.167044</v>
      </c>
      <c r="Q512">
        <f>INDEX(script.out!E:E,results.txt!$M512)</f>
        <v>5.5080821308516699E-4</v>
      </c>
      <c r="R512">
        <f>INDEX(script.out!F:F,results.txt!$M512)</f>
        <v>144</v>
      </c>
      <c r="S512">
        <f>INDEX(script.out!G:G,results.txt!$M512)</f>
        <v>88.5939958085944</v>
      </c>
      <c r="T512" t="str">
        <f>INDEX(script.out!H:H,results.txt!$M512)</f>
        <v>{</v>
      </c>
      <c r="U512">
        <f>INDEX(script.out!I:I,results.txt!$M512)</f>
        <v>0.43137399999999998</v>
      </c>
      <c r="V512">
        <f>INDEX(script.out!J:J,results.txt!$M512)</f>
        <v>83.256500000000003</v>
      </c>
      <c r="W512">
        <f>INDEX(script.out!K:K,results.txt!$M512)</f>
        <v>108.55596</v>
      </c>
      <c r="X512" t="str">
        <f>INDEX(script.out!L:L,results.txt!$M512)</f>
        <v>}</v>
      </c>
      <c r="Y512" t="str">
        <f>INDEX(script.out!M:M,results.txt!$M512)</f>
        <v>{</v>
      </c>
      <c r="Z512">
        <f>INDEX(script.out!N:N,results.txt!$M512)</f>
        <v>9.9765306963655593</v>
      </c>
      <c r="AA512">
        <f>INDEX(script.out!O:O,results.txt!$M512)</f>
        <v>20</v>
      </c>
      <c r="AB512">
        <f>INDEX(script.out!P:P,results.txt!$M512)</f>
        <v>3864.46</v>
      </c>
      <c r="AC512" t="str">
        <f>INDEX(script.out!Q:Q,results.txt!$M512)</f>
        <v>}</v>
      </c>
      <c r="AD512">
        <f t="shared" si="7"/>
        <v>2</v>
      </c>
    </row>
    <row r="513" spans="1:30" x14ac:dyDescent="0.25">
      <c r="A513" s="12" t="s">
        <v>5</v>
      </c>
      <c r="B513" s="12">
        <v>-3</v>
      </c>
      <c r="C513" s="12">
        <v>1.08653</v>
      </c>
      <c r="D513" s="12">
        <v>6.12928E-3</v>
      </c>
      <c r="E513" s="12">
        <v>0.63983100000000004</v>
      </c>
      <c r="F513" s="12">
        <v>-3</v>
      </c>
      <c r="G513" s="12">
        <v>5.5230499999999996</v>
      </c>
      <c r="H513" s="12">
        <v>56.25</v>
      </c>
      <c r="I513" s="12">
        <v>261.25099999999998</v>
      </c>
      <c r="J513" s="12" t="s">
        <v>3</v>
      </c>
      <c r="K513" s="12">
        <v>0</v>
      </c>
      <c r="M513">
        <f>MATCH(C513,script.out!B:B,0)</f>
        <v>803</v>
      </c>
      <c r="N513">
        <f>INDEX(script.out!B:B,results.txt!$M513)</f>
        <v>1.08653</v>
      </c>
      <c r="O513">
        <f>INDEX(script.out!C:C,results.txt!$M513)</f>
        <v>6.12928E-3</v>
      </c>
      <c r="P513">
        <f>INDEX(script.out!D:D,results.txt!$M513)</f>
        <v>0.63983100000000004</v>
      </c>
      <c r="Q513">
        <f>INDEX(script.out!E:E,results.txt!$M513)</f>
        <v>5.52305153164962</v>
      </c>
      <c r="R513">
        <f>INDEX(script.out!F:F,results.txt!$M513)</f>
        <v>56.25</v>
      </c>
      <c r="S513">
        <f>INDEX(script.out!G:G,results.txt!$M513)</f>
        <v>261.25098268417997</v>
      </c>
      <c r="T513" t="str">
        <f>INDEX(script.out!H:H,results.txt!$M513)</f>
        <v>{</v>
      </c>
      <c r="U513">
        <f>INDEX(script.out!I:I,results.txt!$M513)</f>
        <v>1.1692199999999999</v>
      </c>
      <c r="V513">
        <f>INDEX(script.out!J:J,results.txt!$M513)</f>
        <v>103.06464</v>
      </c>
      <c r="W513">
        <f>INDEX(script.out!K:K,results.txt!$M513)</f>
        <v>387.50029000000001</v>
      </c>
      <c r="X513" t="str">
        <f>INDEX(script.out!L:L,results.txt!$M513)</f>
        <v>}</v>
      </c>
      <c r="Y513" t="str">
        <f>INDEX(script.out!M:M,results.txt!$M513)</f>
        <v>{</v>
      </c>
      <c r="Z513">
        <f>INDEX(script.out!N:N,results.txt!$M513)</f>
        <v>12.3501173442297</v>
      </c>
      <c r="AA513">
        <f>INDEX(script.out!O:O,results.txt!$M513)</f>
        <v>15.5</v>
      </c>
      <c r="AB513">
        <f>INDEX(script.out!P:P,results.txt!$M513)</f>
        <v>1400.41</v>
      </c>
      <c r="AC513" t="str">
        <f>INDEX(script.out!Q:Q,results.txt!$M513)</f>
        <v>}</v>
      </c>
      <c r="AD513">
        <f t="shared" si="7"/>
        <v>2</v>
      </c>
    </row>
    <row r="514" spans="1:30" x14ac:dyDescent="0.25">
      <c r="A514" s="12" t="s">
        <v>5</v>
      </c>
      <c r="B514" s="12">
        <v>-3</v>
      </c>
      <c r="C514" s="12">
        <v>0.88389300000000004</v>
      </c>
      <c r="D514" s="12">
        <v>0.25754199999999999</v>
      </c>
      <c r="E514" s="12">
        <v>0.53811100000000001</v>
      </c>
      <c r="F514" s="12">
        <v>-3</v>
      </c>
      <c r="G514" s="12">
        <v>303.22500000000002</v>
      </c>
      <c r="H514" s="12">
        <v>36</v>
      </c>
      <c r="I514" s="12">
        <v>2.4809299999999999</v>
      </c>
      <c r="J514" s="12" t="s">
        <v>3</v>
      </c>
      <c r="K514" s="12">
        <v>0</v>
      </c>
      <c r="M514">
        <f>MATCH(C514,script.out!B:B,0)</f>
        <v>805</v>
      </c>
      <c r="N514">
        <f>INDEX(script.out!B:B,results.txt!$M514)</f>
        <v>0.88389300000000004</v>
      </c>
      <c r="O514">
        <f>INDEX(script.out!C:C,results.txt!$M514)</f>
        <v>0.25754199999999999</v>
      </c>
      <c r="P514">
        <f>INDEX(script.out!D:D,results.txt!$M514)</f>
        <v>0.53811100000000001</v>
      </c>
      <c r="Q514">
        <f>INDEX(script.out!E:E,results.txt!$M514)</f>
        <v>303.22531442897298</v>
      </c>
      <c r="R514">
        <f>INDEX(script.out!F:F,results.txt!$M514)</f>
        <v>36</v>
      </c>
      <c r="S514">
        <f>INDEX(script.out!G:G,results.txt!$M514)</f>
        <v>2.48092706398949</v>
      </c>
      <c r="T514" t="str">
        <f>INDEX(script.out!H:H,results.txt!$M514)</f>
        <v>{</v>
      </c>
      <c r="U514">
        <f>INDEX(script.out!I:I,results.txt!$M514)</f>
        <v>1.0071140000000001</v>
      </c>
      <c r="V514">
        <f>INDEX(script.out!J:J,results.txt!$M514)</f>
        <v>228.77099999999999</v>
      </c>
      <c r="W514">
        <f>INDEX(script.out!K:K,results.txt!$M514)</f>
        <v>327.48549000000003</v>
      </c>
      <c r="X514" t="str">
        <f>INDEX(script.out!L:L,results.txt!$M514)</f>
        <v>}</v>
      </c>
      <c r="Y514" t="str">
        <f>INDEX(script.out!M:M,results.txt!$M514)</f>
        <v>{</v>
      </c>
      <c r="Z514">
        <f>INDEX(script.out!N:N,results.txt!$M514)</f>
        <v>27.413365970683898</v>
      </c>
      <c r="AA514">
        <f>INDEX(script.out!O:O,results.txt!$M514)</f>
        <v>14</v>
      </c>
      <c r="AB514">
        <f>INDEX(script.out!P:P,results.txt!$M514)</f>
        <v>6725.09</v>
      </c>
      <c r="AC514" t="str">
        <f>INDEX(script.out!Q:Q,results.txt!$M514)</f>
        <v>}</v>
      </c>
      <c r="AD514">
        <f t="shared" si="7"/>
        <v>2</v>
      </c>
    </row>
    <row r="515" spans="1:30" x14ac:dyDescent="0.25">
      <c r="A515" s="12" t="s">
        <v>5</v>
      </c>
      <c r="B515" s="12">
        <v>-3</v>
      </c>
      <c r="C515" s="12">
        <v>0.81798599999999999</v>
      </c>
      <c r="D515" s="12">
        <v>0.21520900000000001</v>
      </c>
      <c r="E515" s="12">
        <v>0.445463</v>
      </c>
      <c r="F515" s="12">
        <v>-3</v>
      </c>
      <c r="G515" s="12">
        <v>221.32499999999999</v>
      </c>
      <c r="H515" s="12">
        <v>42.25</v>
      </c>
      <c r="I515" s="12">
        <v>1.9676800000000001E-2</v>
      </c>
      <c r="J515" s="12" t="s">
        <v>3</v>
      </c>
      <c r="K515" s="12">
        <v>0</v>
      </c>
      <c r="M515">
        <f>MATCH(C515,script.out!B:B,0)</f>
        <v>810</v>
      </c>
      <c r="N515">
        <f>INDEX(script.out!B:B,results.txt!$M515)</f>
        <v>0.81798599999999999</v>
      </c>
      <c r="O515">
        <f>INDEX(script.out!C:C,results.txt!$M515)</f>
        <v>0.21520900000000001</v>
      </c>
      <c r="P515">
        <f>INDEX(script.out!D:D,results.txt!$M515)</f>
        <v>0.445463</v>
      </c>
      <c r="Q515">
        <f>INDEX(script.out!E:E,results.txt!$M515)</f>
        <v>221.32538504448101</v>
      </c>
      <c r="R515">
        <f>INDEX(script.out!F:F,results.txt!$M515)</f>
        <v>42.25</v>
      </c>
      <c r="S515">
        <f>INDEX(script.out!G:G,results.txt!$M515)</f>
        <v>1.9676787389754102E-2</v>
      </c>
      <c r="T515" t="str">
        <f>INDEX(script.out!H:H,results.txt!$M515)</f>
        <v>{</v>
      </c>
      <c r="U515">
        <f>INDEX(script.out!I:I,results.txt!$M515)</f>
        <v>0.95438800000000001</v>
      </c>
      <c r="V515">
        <f>INDEX(script.out!J:J,results.txt!$M515)</f>
        <v>207.6045</v>
      </c>
      <c r="W515">
        <f>INDEX(script.out!K:K,results.txt!$M515)</f>
        <v>272.82317</v>
      </c>
      <c r="X515" t="str">
        <f>INDEX(script.out!L:L,results.txt!$M515)</f>
        <v>}</v>
      </c>
      <c r="Y515" t="str">
        <f>INDEX(script.out!M:M,results.txt!$M515)</f>
        <v>{</v>
      </c>
      <c r="Z515">
        <f>INDEX(script.out!N:N,results.txt!$M515)</f>
        <v>24.877008605377601</v>
      </c>
      <c r="AA515">
        <f>INDEX(script.out!O:O,results.txt!$M515)</f>
        <v>14.5</v>
      </c>
      <c r="AB515">
        <f>INDEX(script.out!P:P,results.txt!$M515)</f>
        <v>7248.8</v>
      </c>
      <c r="AC515" t="str">
        <f>INDEX(script.out!Q:Q,results.txt!$M515)</f>
        <v>}</v>
      </c>
      <c r="AD515">
        <f t="shared" si="7"/>
        <v>2</v>
      </c>
    </row>
    <row r="516" spans="1:30" x14ac:dyDescent="0.25">
      <c r="A516" s="12" t="s">
        <v>5</v>
      </c>
      <c r="B516" s="12">
        <v>-3</v>
      </c>
      <c r="C516" s="12">
        <v>0.88565899999999997</v>
      </c>
      <c r="D516" s="12">
        <v>0.27458300000000002</v>
      </c>
      <c r="E516" s="12">
        <v>0.55247900000000005</v>
      </c>
      <c r="F516" s="12">
        <v>-3</v>
      </c>
      <c r="G516" s="12">
        <v>339.82600000000002</v>
      </c>
      <c r="H516" s="12">
        <v>36</v>
      </c>
      <c r="I516" s="12">
        <v>1.95617</v>
      </c>
      <c r="J516" s="12" t="s">
        <v>3</v>
      </c>
      <c r="K516" s="12">
        <v>0</v>
      </c>
      <c r="M516">
        <f>MATCH(C516,script.out!B:B,0)</f>
        <v>816</v>
      </c>
      <c r="N516">
        <f>INDEX(script.out!B:B,results.txt!$M516)</f>
        <v>0.88565899999999997</v>
      </c>
      <c r="O516">
        <f>INDEX(script.out!C:C,results.txt!$M516)</f>
        <v>0.27458300000000002</v>
      </c>
      <c r="P516">
        <f>INDEX(script.out!D:D,results.txt!$M516)</f>
        <v>0.55247900000000005</v>
      </c>
      <c r="Q516">
        <f>INDEX(script.out!E:E,results.txt!$M516)</f>
        <v>339.82591219837599</v>
      </c>
      <c r="R516">
        <f>INDEX(script.out!F:F,results.txt!$M516)</f>
        <v>36</v>
      </c>
      <c r="S516">
        <f>INDEX(script.out!G:G,results.txt!$M516)</f>
        <v>1.9561662600863201</v>
      </c>
      <c r="T516" t="str">
        <f>INDEX(script.out!H:H,results.txt!$M516)</f>
        <v>{</v>
      </c>
      <c r="U516">
        <f>INDEX(script.out!I:I,results.txt!$M516)</f>
        <v>1.008527</v>
      </c>
      <c r="V516">
        <f>INDEX(script.out!J:J,results.txt!$M516)</f>
        <v>237.29150000000001</v>
      </c>
      <c r="W516">
        <f>INDEX(script.out!K:K,results.txt!$M516)</f>
        <v>335.96260999999998</v>
      </c>
      <c r="X516" t="str">
        <f>INDEX(script.out!L:L,results.txt!$M516)</f>
        <v>}</v>
      </c>
      <c r="Y516" t="str">
        <f>INDEX(script.out!M:M,results.txt!$M516)</f>
        <v>{</v>
      </c>
      <c r="Z516">
        <f>INDEX(script.out!N:N,results.txt!$M516)</f>
        <v>28.434367691851399</v>
      </c>
      <c r="AA516">
        <f>INDEX(script.out!O:O,results.txt!$M516)</f>
        <v>14</v>
      </c>
      <c r="AB516">
        <f>INDEX(script.out!P:P,results.txt!$M516)</f>
        <v>6789.5</v>
      </c>
      <c r="AC516" t="str">
        <f>INDEX(script.out!Q:Q,results.txt!$M516)</f>
        <v>}</v>
      </c>
      <c r="AD516">
        <f t="shared" ref="AD516:AD554" si="8">IF(A516="all",1)+IF(A516="nonDominatedFront",2)</f>
        <v>2</v>
      </c>
    </row>
    <row r="517" spans="1:30" x14ac:dyDescent="0.25">
      <c r="A517" s="12" t="s">
        <v>5</v>
      </c>
      <c r="B517" s="12">
        <v>-3</v>
      </c>
      <c r="C517" s="12">
        <v>1.0415399999999999</v>
      </c>
      <c r="D517" s="12">
        <v>-2.7833299999999998E-2</v>
      </c>
      <c r="E517" s="12">
        <v>0.599997</v>
      </c>
      <c r="F517" s="12">
        <v>-3</v>
      </c>
      <c r="G517" s="12">
        <v>9.9394499999999997E-2</v>
      </c>
      <c r="H517" s="12">
        <v>81</v>
      </c>
      <c r="I517" s="12">
        <v>282.28199999999998</v>
      </c>
      <c r="J517" s="12" t="s">
        <v>3</v>
      </c>
      <c r="K517" s="12">
        <v>0</v>
      </c>
      <c r="M517">
        <f>MATCH(C517,script.out!B:B,0)</f>
        <v>822</v>
      </c>
      <c r="N517">
        <f>INDEX(script.out!B:B,results.txt!$M517)</f>
        <v>1.0415399999999999</v>
      </c>
      <c r="O517">
        <f>INDEX(script.out!C:C,results.txt!$M517)</f>
        <v>-2.7833299999999998E-2</v>
      </c>
      <c r="P517">
        <f>INDEX(script.out!D:D,results.txt!$M517)</f>
        <v>0.599997</v>
      </c>
      <c r="Q517">
        <f>INDEX(script.out!E:E,results.txt!$M517)</f>
        <v>9.9394468311572198E-2</v>
      </c>
      <c r="R517">
        <f>INDEX(script.out!F:F,results.txt!$M517)</f>
        <v>81</v>
      </c>
      <c r="S517">
        <f>INDEX(script.out!G:G,results.txt!$M517)</f>
        <v>282.28234679376902</v>
      </c>
      <c r="T517" t="str">
        <f>INDEX(script.out!H:H,results.txt!$M517)</f>
        <v>{</v>
      </c>
      <c r="U517">
        <f>INDEX(script.out!I:I,results.txt!$M517)</f>
        <v>1.13323</v>
      </c>
      <c r="V517">
        <f>INDEX(script.out!J:J,results.txt!$M517)</f>
        <v>86.083349999999996</v>
      </c>
      <c r="W517">
        <f>INDEX(script.out!K:K,results.txt!$M517)</f>
        <v>363.99822999999998</v>
      </c>
      <c r="X517" t="str">
        <f>INDEX(script.out!L:L,results.txt!$M517)</f>
        <v>}</v>
      </c>
      <c r="Y517" t="str">
        <f>INDEX(script.out!M:M,results.txt!$M517)</f>
        <v>{</v>
      </c>
      <c r="Z517">
        <f>INDEX(script.out!N:N,results.txt!$M517)</f>
        <v>10.3152688825614</v>
      </c>
      <c r="AA517">
        <f>INDEX(script.out!O:O,results.txt!$M517)</f>
        <v>17</v>
      </c>
      <c r="AB517">
        <f>INDEX(script.out!P:P,results.txt!$M517)</f>
        <v>1167.54</v>
      </c>
      <c r="AC517" t="str">
        <f>INDEX(script.out!Q:Q,results.txt!$M517)</f>
        <v>}</v>
      </c>
      <c r="AD517">
        <f t="shared" si="8"/>
        <v>2</v>
      </c>
    </row>
    <row r="518" spans="1:30" x14ac:dyDescent="0.25">
      <c r="A518" s="12" t="s">
        <v>5</v>
      </c>
      <c r="B518" s="12">
        <v>-3</v>
      </c>
      <c r="C518" s="12">
        <v>0.988954</v>
      </c>
      <c r="D518" s="12">
        <v>0.31143300000000002</v>
      </c>
      <c r="E518" s="12">
        <v>0.59365999999999997</v>
      </c>
      <c r="F518" s="12">
        <v>-3</v>
      </c>
      <c r="G518" s="12">
        <v>426.101</v>
      </c>
      <c r="H518" s="12">
        <v>30.25</v>
      </c>
      <c r="I518" s="12">
        <v>1.8135600000000001</v>
      </c>
      <c r="J518" s="12" t="s">
        <v>3</v>
      </c>
      <c r="K518" s="12">
        <v>0</v>
      </c>
      <c r="M518">
        <f>MATCH(C518,script.out!B:B,0)</f>
        <v>823</v>
      </c>
      <c r="N518">
        <f>INDEX(script.out!B:B,results.txt!$M518)</f>
        <v>0.988954</v>
      </c>
      <c r="O518">
        <f>INDEX(script.out!C:C,results.txt!$M518)</f>
        <v>0.31143300000000002</v>
      </c>
      <c r="P518">
        <f>INDEX(script.out!D:D,results.txt!$M518)</f>
        <v>0.59365999999999997</v>
      </c>
      <c r="Q518">
        <f>INDEX(script.out!E:E,results.txt!$M518)</f>
        <v>426.10100969433103</v>
      </c>
      <c r="R518">
        <f>INDEX(script.out!F:F,results.txt!$M518)</f>
        <v>30.25</v>
      </c>
      <c r="S518">
        <f>INDEX(script.out!G:G,results.txt!$M518)</f>
        <v>1.8135603047476001</v>
      </c>
      <c r="T518" t="str">
        <f>INDEX(script.out!H:H,results.txt!$M518)</f>
        <v>{</v>
      </c>
      <c r="U518">
        <f>INDEX(script.out!I:I,results.txt!$M518)</f>
        <v>1.0911630000000001</v>
      </c>
      <c r="V518">
        <f>INDEX(script.out!J:J,results.txt!$M518)</f>
        <v>255.7165</v>
      </c>
      <c r="W518">
        <f>INDEX(script.out!K:K,results.txt!$M518)</f>
        <v>360.25940000000003</v>
      </c>
      <c r="X518" t="str">
        <f>INDEX(script.out!L:L,results.txt!$M518)</f>
        <v>}</v>
      </c>
      <c r="Y518" t="str">
        <f>INDEX(script.out!M:M,results.txt!$M518)</f>
        <v>{</v>
      </c>
      <c r="Z518">
        <f>INDEX(script.out!N:N,results.txt!$M518)</f>
        <v>30.642214263356799</v>
      </c>
      <c r="AA518">
        <f>INDEX(script.out!O:O,results.txt!$M518)</f>
        <v>13.5</v>
      </c>
      <c r="AB518">
        <f>INDEX(script.out!P:P,results.txt!$M518)</f>
        <v>6808.46</v>
      </c>
      <c r="AC518" t="str">
        <f>INDEX(script.out!Q:Q,results.txt!$M518)</f>
        <v>}</v>
      </c>
      <c r="AD518">
        <f t="shared" si="8"/>
        <v>2</v>
      </c>
    </row>
    <row r="519" spans="1:30" x14ac:dyDescent="0.25">
      <c r="A519" s="12" t="s">
        <v>5</v>
      </c>
      <c r="B519" s="12">
        <v>-3</v>
      </c>
      <c r="C519" s="12">
        <v>1.0416700000000001</v>
      </c>
      <c r="D519" s="12">
        <v>2.1096699999999999E-2</v>
      </c>
      <c r="E519" s="12">
        <v>0.62362399999999996</v>
      </c>
      <c r="F519" s="12">
        <v>-3</v>
      </c>
      <c r="G519" s="12">
        <v>10.542199999999999</v>
      </c>
      <c r="H519" s="12">
        <v>49</v>
      </c>
      <c r="I519" s="12">
        <v>222.71100000000001</v>
      </c>
      <c r="J519" s="12" t="s">
        <v>3</v>
      </c>
      <c r="K519" s="12">
        <v>0</v>
      </c>
      <c r="M519">
        <f>MATCH(C519,script.out!B:B,0)</f>
        <v>824</v>
      </c>
      <c r="N519">
        <f>INDEX(script.out!B:B,results.txt!$M519)</f>
        <v>1.0416700000000001</v>
      </c>
      <c r="O519">
        <f>INDEX(script.out!C:C,results.txt!$M519)</f>
        <v>2.1096699999999999E-2</v>
      </c>
      <c r="P519">
        <f>INDEX(script.out!D:D,results.txt!$M519)</f>
        <v>0.62362399999999996</v>
      </c>
      <c r="Q519">
        <f>INDEX(script.out!E:E,results.txt!$M519)</f>
        <v>10.5422408480102</v>
      </c>
      <c r="R519">
        <f>INDEX(script.out!F:F,results.txt!$M519)</f>
        <v>49</v>
      </c>
      <c r="S519">
        <f>INDEX(script.out!G:G,results.txt!$M519)</f>
        <v>222.711056681553</v>
      </c>
      <c r="T519" t="str">
        <f>INDEX(script.out!H:H,results.txt!$M519)</f>
        <v>{</v>
      </c>
      <c r="U519">
        <f>INDEX(script.out!I:I,results.txt!$M519)</f>
        <v>1.1333299999999999</v>
      </c>
      <c r="V519">
        <f>INDEX(script.out!J:J,results.txt!$M519)</f>
        <v>110.54835</v>
      </c>
      <c r="W519">
        <f>INDEX(script.out!K:K,results.txt!$M519)</f>
        <v>377.93815999999998</v>
      </c>
      <c r="X519" t="str">
        <f>INDEX(script.out!L:L,results.txt!$M519)</f>
        <v>}</v>
      </c>
      <c r="Y519" t="str">
        <f>INDEX(script.out!M:M,results.txt!$M519)</f>
        <v>{</v>
      </c>
      <c r="Z519">
        <f>INDEX(script.out!N:N,results.txt!$M519)</f>
        <v>13.246881711428699</v>
      </c>
      <c r="AA519">
        <f>INDEX(script.out!O:O,results.txt!$M519)</f>
        <v>15</v>
      </c>
      <c r="AB519">
        <f>INDEX(script.out!P:P,results.txt!$M519)</f>
        <v>1852.92</v>
      </c>
      <c r="AC519" t="str">
        <f>INDEX(script.out!Q:Q,results.txt!$M519)</f>
        <v>}</v>
      </c>
      <c r="AD519">
        <f t="shared" si="8"/>
        <v>2</v>
      </c>
    </row>
    <row r="520" spans="1:30" x14ac:dyDescent="0.25">
      <c r="A520" s="12" t="s">
        <v>5</v>
      </c>
      <c r="B520" s="12">
        <v>-3</v>
      </c>
      <c r="C520" s="12">
        <v>0.83881600000000001</v>
      </c>
      <c r="D520" s="12">
        <v>-5.9238900000000002E-3</v>
      </c>
      <c r="E520" s="12">
        <v>0.77028799999999997</v>
      </c>
      <c r="F520" s="12">
        <v>-3</v>
      </c>
      <c r="G520" s="12">
        <v>2.6502500000000002</v>
      </c>
      <c r="H520" s="12">
        <v>90.25</v>
      </c>
      <c r="I520" s="12">
        <v>272.70800000000003</v>
      </c>
      <c r="J520" s="12" t="s">
        <v>3</v>
      </c>
      <c r="K520" s="12">
        <v>0</v>
      </c>
      <c r="M520">
        <f>MATCH(C520,script.out!B:B,0)</f>
        <v>826</v>
      </c>
      <c r="N520">
        <f>INDEX(script.out!B:B,results.txt!$M520)</f>
        <v>0.83881600000000001</v>
      </c>
      <c r="O520">
        <f>INDEX(script.out!C:C,results.txt!$M520)</f>
        <v>-5.9238900000000002E-3</v>
      </c>
      <c r="P520">
        <f>INDEX(script.out!D:D,results.txt!$M520)</f>
        <v>0.77028799999999997</v>
      </c>
      <c r="Q520">
        <f>INDEX(script.out!E:E,results.txt!$M520)</f>
        <v>2.6502491736790201</v>
      </c>
      <c r="R520">
        <f>INDEX(script.out!F:F,results.txt!$M520)</f>
        <v>90.25</v>
      </c>
      <c r="S520">
        <f>INDEX(script.out!G:G,results.txt!$M520)</f>
        <v>272.70767163520298</v>
      </c>
      <c r="T520" t="str">
        <f>INDEX(script.out!H:H,results.txt!$M520)</f>
        <v>{</v>
      </c>
      <c r="U520">
        <f>INDEX(script.out!I:I,results.txt!$M520)</f>
        <v>0.97105200000000003</v>
      </c>
      <c r="V520">
        <f>INDEX(script.out!J:J,results.txt!$M520)</f>
        <v>97.038055</v>
      </c>
      <c r="W520">
        <f>INDEX(script.out!K:K,results.txt!$M520)</f>
        <v>464.46992</v>
      </c>
      <c r="X520" t="str">
        <f>INDEX(script.out!L:L,results.txt!$M520)</f>
        <v>}</v>
      </c>
      <c r="Y520" t="str">
        <f>INDEX(script.out!M:M,results.txt!$M520)</f>
        <v>{</v>
      </c>
      <c r="Z520">
        <f>INDEX(script.out!N:N,results.txt!$M520)</f>
        <v>11.6279585908981</v>
      </c>
      <c r="AA520">
        <f>INDEX(script.out!O:O,results.txt!$M520)</f>
        <v>17.5</v>
      </c>
      <c r="AB520">
        <f>INDEX(script.out!P:P,results.txt!$M520)</f>
        <v>1272.44</v>
      </c>
      <c r="AC520" t="str">
        <f>INDEX(script.out!Q:Q,results.txt!$M520)</f>
        <v>}</v>
      </c>
      <c r="AD520">
        <f t="shared" si="8"/>
        <v>2</v>
      </c>
    </row>
    <row r="521" spans="1:30" x14ac:dyDescent="0.25">
      <c r="A521" s="12" t="s">
        <v>5</v>
      </c>
      <c r="B521" s="12">
        <v>-3</v>
      </c>
      <c r="C521" s="12">
        <v>1.09138</v>
      </c>
      <c r="D521" s="12">
        <v>0.115005</v>
      </c>
      <c r="E521" s="12">
        <v>0.64251800000000003</v>
      </c>
      <c r="F521" s="12">
        <v>-3</v>
      </c>
      <c r="G521" s="12">
        <v>78.736199999999997</v>
      </c>
      <c r="H521" s="12">
        <v>36</v>
      </c>
      <c r="I521" s="12">
        <v>127.206</v>
      </c>
      <c r="J521" s="12" t="s">
        <v>3</v>
      </c>
      <c r="K521" s="12">
        <v>0</v>
      </c>
      <c r="M521">
        <f>MATCH(C521,script.out!B:B,0)</f>
        <v>830</v>
      </c>
      <c r="N521">
        <f>INDEX(script.out!B:B,results.txt!$M521)</f>
        <v>1.09138</v>
      </c>
      <c r="O521">
        <f>INDEX(script.out!C:C,results.txt!$M521)</f>
        <v>0.115005</v>
      </c>
      <c r="P521">
        <f>INDEX(script.out!D:D,results.txt!$M521)</f>
        <v>0.64251800000000003</v>
      </c>
      <c r="Q521">
        <f>INDEX(script.out!E:E,results.txt!$M521)</f>
        <v>78.736225486415293</v>
      </c>
      <c r="R521">
        <f>INDEX(script.out!F:F,results.txt!$M521)</f>
        <v>36</v>
      </c>
      <c r="S521">
        <f>INDEX(script.out!G:G,results.txt!$M521)</f>
        <v>127.205643752298</v>
      </c>
      <c r="T521" t="str">
        <f>INDEX(script.out!H:H,results.txt!$M521)</f>
        <v>{</v>
      </c>
      <c r="U521">
        <f>INDEX(script.out!I:I,results.txt!$M521)</f>
        <v>1.1731</v>
      </c>
      <c r="V521">
        <f>INDEX(script.out!J:J,results.txt!$M521)</f>
        <v>157.5025</v>
      </c>
      <c r="W521">
        <f>INDEX(script.out!K:K,results.txt!$M521)</f>
        <v>389.08562000000001</v>
      </c>
      <c r="X521" t="str">
        <f>INDEX(script.out!L:L,results.txt!$M521)</f>
        <v>}</v>
      </c>
      <c r="Y521" t="str">
        <f>INDEX(script.out!M:M,results.txt!$M521)</f>
        <v>{</v>
      </c>
      <c r="Z521">
        <f>INDEX(script.out!N:N,results.txt!$M521)</f>
        <v>18.873343534790799</v>
      </c>
      <c r="AA521">
        <f>INDEX(script.out!O:O,results.txt!$M521)</f>
        <v>14</v>
      </c>
      <c r="AB521">
        <f>INDEX(script.out!P:P,results.txt!$M521)</f>
        <v>3183.33</v>
      </c>
      <c r="AC521" t="str">
        <f>INDEX(script.out!Q:Q,results.txt!$M521)</f>
        <v>}</v>
      </c>
      <c r="AD521">
        <f t="shared" si="8"/>
        <v>2</v>
      </c>
    </row>
    <row r="522" spans="1:30" x14ac:dyDescent="0.25">
      <c r="A522" s="12" t="s">
        <v>5</v>
      </c>
      <c r="B522" s="12">
        <v>-3</v>
      </c>
      <c r="C522" s="12">
        <v>1.0795399999999999</v>
      </c>
      <c r="D522" s="12">
        <v>7.5115100000000004E-2</v>
      </c>
      <c r="E522" s="12">
        <v>0.60932600000000003</v>
      </c>
      <c r="F522" s="12">
        <v>-3</v>
      </c>
      <c r="G522" s="12">
        <v>42.033999999999999</v>
      </c>
      <c r="H522" s="12">
        <v>49</v>
      </c>
      <c r="I522" s="12">
        <v>182.18299999999999</v>
      </c>
      <c r="J522" s="12" t="s">
        <v>3</v>
      </c>
      <c r="K522" s="12">
        <v>0</v>
      </c>
      <c r="M522">
        <f>MATCH(C522,script.out!B:B,0)</f>
        <v>831</v>
      </c>
      <c r="N522">
        <f>INDEX(script.out!B:B,results.txt!$M522)</f>
        <v>1.0795399999999999</v>
      </c>
      <c r="O522">
        <f>INDEX(script.out!C:C,results.txt!$M522)</f>
        <v>7.5115100000000004E-2</v>
      </c>
      <c r="P522">
        <f>INDEX(script.out!D:D,results.txt!$M522)</f>
        <v>0.60932600000000003</v>
      </c>
      <c r="Q522">
        <f>INDEX(script.out!E:E,results.txt!$M522)</f>
        <v>42.033997110845398</v>
      </c>
      <c r="R522">
        <f>INDEX(script.out!F:F,results.txt!$M522)</f>
        <v>49</v>
      </c>
      <c r="S522">
        <f>INDEX(script.out!G:G,results.txt!$M522)</f>
        <v>182.183430737474</v>
      </c>
      <c r="T522" t="str">
        <f>INDEX(script.out!H:H,results.txt!$M522)</f>
        <v>{</v>
      </c>
      <c r="U522">
        <f>INDEX(script.out!I:I,results.txt!$M522)</f>
        <v>1.1636299999999999</v>
      </c>
      <c r="V522">
        <f>INDEX(script.out!J:J,results.txt!$M522)</f>
        <v>137.55754999999999</v>
      </c>
      <c r="W522">
        <f>INDEX(script.out!K:K,results.txt!$M522)</f>
        <v>369.50234</v>
      </c>
      <c r="X522" t="str">
        <f>INDEX(script.out!L:L,results.txt!$M522)</f>
        <v>}</v>
      </c>
      <c r="Y522" t="str">
        <f>INDEX(script.out!M:M,results.txt!$M522)</f>
        <v>{</v>
      </c>
      <c r="Z522">
        <f>INDEX(script.out!N:N,results.txt!$M522)</f>
        <v>16.483363101881999</v>
      </c>
      <c r="AA522">
        <f>INDEX(script.out!O:O,results.txt!$M522)</f>
        <v>15</v>
      </c>
      <c r="AB522">
        <f>INDEX(script.out!P:P,results.txt!$M522)</f>
        <v>2373.4</v>
      </c>
      <c r="AC522" t="str">
        <f>INDEX(script.out!Q:Q,results.txt!$M522)</f>
        <v>}</v>
      </c>
      <c r="AD522">
        <f t="shared" si="8"/>
        <v>2</v>
      </c>
    </row>
    <row r="523" spans="1:30" x14ac:dyDescent="0.25">
      <c r="A523" s="12" t="s">
        <v>5</v>
      </c>
      <c r="B523" s="12">
        <v>-3</v>
      </c>
      <c r="C523" s="12">
        <v>1.1074999999999999</v>
      </c>
      <c r="D523" s="12">
        <v>-3.1961999999999997E-2</v>
      </c>
      <c r="E523" s="12">
        <v>0.65575499999999998</v>
      </c>
      <c r="F523" s="12">
        <v>-3</v>
      </c>
      <c r="G523" s="12">
        <v>4.6104400000000004E-3</v>
      </c>
      <c r="H523" s="12">
        <v>72.25</v>
      </c>
      <c r="I523" s="12">
        <v>297.07400000000001</v>
      </c>
      <c r="J523" s="12" t="s">
        <v>3</v>
      </c>
      <c r="K523" s="12">
        <v>0</v>
      </c>
      <c r="M523">
        <f>MATCH(C523,script.out!B:B,0)</f>
        <v>832</v>
      </c>
      <c r="N523">
        <f>INDEX(script.out!B:B,results.txt!$M523)</f>
        <v>1.1074999999999999</v>
      </c>
      <c r="O523">
        <f>INDEX(script.out!C:C,results.txt!$M523)</f>
        <v>-3.1961999999999997E-2</v>
      </c>
      <c r="P523">
        <f>INDEX(script.out!D:D,results.txt!$M523)</f>
        <v>0.65575499999999998</v>
      </c>
      <c r="Q523">
        <f>INDEX(script.out!E:E,results.txt!$M523)</f>
        <v>4.6104364694916503E-3</v>
      </c>
      <c r="R523">
        <f>INDEX(script.out!F:F,results.txt!$M523)</f>
        <v>72.25</v>
      </c>
      <c r="S523">
        <f>INDEX(script.out!G:G,results.txt!$M523)</f>
        <v>297.07402939688399</v>
      </c>
      <c r="T523" t="str">
        <f>INDEX(script.out!H:H,results.txt!$M523)</f>
        <v>{</v>
      </c>
      <c r="U523">
        <f>INDEX(script.out!I:I,results.txt!$M523)</f>
        <v>1.1859999999999999</v>
      </c>
      <c r="V523">
        <f>INDEX(script.out!J:J,results.txt!$M523)</f>
        <v>84.019000000000005</v>
      </c>
      <c r="W523">
        <f>INDEX(script.out!K:K,results.txt!$M523)</f>
        <v>396.89544999999998</v>
      </c>
      <c r="X523" t="str">
        <f>INDEX(script.out!L:L,results.txt!$M523)</f>
        <v>}</v>
      </c>
      <c r="Y523" t="str">
        <f>INDEX(script.out!M:M,results.txt!$M523)</f>
        <v>{</v>
      </c>
      <c r="Z523">
        <f>INDEX(script.out!N:N,results.txt!$M523)</f>
        <v>10.0679001949149</v>
      </c>
      <c r="AA523">
        <f>INDEX(script.out!O:O,results.txt!$M523)</f>
        <v>16.5</v>
      </c>
      <c r="AB523">
        <f>INDEX(script.out!P:P,results.txt!$M523)</f>
        <v>1008.92</v>
      </c>
      <c r="AC523" t="str">
        <f>INDEX(script.out!Q:Q,results.txt!$M523)</f>
        <v>}</v>
      </c>
      <c r="AD523">
        <f t="shared" si="8"/>
        <v>2</v>
      </c>
    </row>
    <row r="524" spans="1:30" x14ac:dyDescent="0.25">
      <c r="A524" s="12" t="s">
        <v>5</v>
      </c>
      <c r="B524" s="12">
        <v>-3</v>
      </c>
      <c r="C524" s="12">
        <v>0.95319100000000001</v>
      </c>
      <c r="D524" s="12">
        <v>0.15955900000000001</v>
      </c>
      <c r="E524" s="12">
        <v>0.57937099999999997</v>
      </c>
      <c r="F524" s="12">
        <v>-3</v>
      </c>
      <c r="G524" s="12">
        <v>133.23599999999999</v>
      </c>
      <c r="H524" s="12">
        <v>42.25</v>
      </c>
      <c r="I524" s="12">
        <v>82.2346</v>
      </c>
      <c r="J524" s="12" t="s">
        <v>3</v>
      </c>
      <c r="K524" s="12">
        <v>0</v>
      </c>
      <c r="M524">
        <f>MATCH(C524,script.out!B:B,0)</f>
        <v>835</v>
      </c>
      <c r="N524">
        <f>INDEX(script.out!B:B,results.txt!$M524)</f>
        <v>0.95319100000000001</v>
      </c>
      <c r="O524">
        <f>INDEX(script.out!C:C,results.txt!$M524)</f>
        <v>0.15955900000000001</v>
      </c>
      <c r="P524">
        <f>INDEX(script.out!D:D,results.txt!$M524)</f>
        <v>0.57937099999999997</v>
      </c>
      <c r="Q524">
        <f>INDEX(script.out!E:E,results.txt!$M524)</f>
        <v>133.23555863336401</v>
      </c>
      <c r="R524">
        <f>INDEX(script.out!F:F,results.txt!$M524)</f>
        <v>42.25</v>
      </c>
      <c r="S524">
        <f>INDEX(script.out!G:G,results.txt!$M524)</f>
        <v>82.234586628635697</v>
      </c>
      <c r="T524" t="str">
        <f>INDEX(script.out!H:H,results.txt!$M524)</f>
        <v>{</v>
      </c>
      <c r="U524">
        <f>INDEX(script.out!I:I,results.txt!$M524)</f>
        <v>1.0625519999999999</v>
      </c>
      <c r="V524">
        <f>INDEX(script.out!J:J,results.txt!$M524)</f>
        <v>179.77950000000001</v>
      </c>
      <c r="W524">
        <f>INDEX(script.out!K:K,results.txt!$M524)</f>
        <v>351.82889</v>
      </c>
      <c r="X524" t="str">
        <f>INDEX(script.out!L:L,results.txt!$M524)</f>
        <v>}</v>
      </c>
      <c r="Y524" t="str">
        <f>INDEX(script.out!M:M,results.txt!$M524)</f>
        <v>{</v>
      </c>
      <c r="Z524">
        <f>INDEX(script.out!N:N,results.txt!$M524)</f>
        <v>21.542770838640202</v>
      </c>
      <c r="AA524">
        <f>INDEX(script.out!O:O,results.txt!$M524)</f>
        <v>14.5</v>
      </c>
      <c r="AB524">
        <f>INDEX(script.out!P:P,results.txt!$M524)</f>
        <v>3990.06</v>
      </c>
      <c r="AC524" t="str">
        <f>INDEX(script.out!Q:Q,results.txt!$M524)</f>
        <v>}</v>
      </c>
      <c r="AD524">
        <f t="shared" si="8"/>
        <v>2</v>
      </c>
    </row>
    <row r="525" spans="1:30" x14ac:dyDescent="0.25">
      <c r="A525" s="12" t="s">
        <v>5</v>
      </c>
      <c r="B525" s="12">
        <v>-3</v>
      </c>
      <c r="C525" s="12">
        <v>0.93318000000000001</v>
      </c>
      <c r="D525" s="12">
        <v>-4.4275900000000003E-3</v>
      </c>
      <c r="E525" s="12">
        <v>0.73934800000000001</v>
      </c>
      <c r="F525" s="12">
        <v>-3</v>
      </c>
      <c r="G525" s="12">
        <v>2.95018</v>
      </c>
      <c r="H525" s="12">
        <v>72.25</v>
      </c>
      <c r="I525" s="12">
        <v>272.45299999999997</v>
      </c>
      <c r="J525" s="12" t="s">
        <v>3</v>
      </c>
      <c r="K525" s="12">
        <v>0</v>
      </c>
      <c r="M525">
        <f>MATCH(C525,script.out!B:B,0)</f>
        <v>839</v>
      </c>
      <c r="N525">
        <f>INDEX(script.out!B:B,results.txt!$M525)</f>
        <v>0.93318000000000001</v>
      </c>
      <c r="O525">
        <f>INDEX(script.out!C:C,results.txt!$M525)</f>
        <v>-4.4275900000000003E-3</v>
      </c>
      <c r="P525">
        <f>INDEX(script.out!D:D,results.txt!$M525)</f>
        <v>0.73934800000000001</v>
      </c>
      <c r="Q525">
        <f>INDEX(script.out!E:E,results.txt!$M525)</f>
        <v>2.9501791153755601</v>
      </c>
      <c r="R525">
        <f>INDEX(script.out!F:F,results.txt!$M525)</f>
        <v>72.25</v>
      </c>
      <c r="S525">
        <f>INDEX(script.out!G:G,results.txt!$M525)</f>
        <v>272.45346265715801</v>
      </c>
      <c r="T525" t="str">
        <f>INDEX(script.out!H:H,results.txt!$M525)</f>
        <v>{</v>
      </c>
      <c r="U525">
        <f>INDEX(script.out!I:I,results.txt!$M525)</f>
        <v>1.04654</v>
      </c>
      <c r="V525">
        <f>INDEX(script.out!J:J,results.txt!$M525)</f>
        <v>97.786204999999995</v>
      </c>
      <c r="W525">
        <f>INDEX(script.out!K:K,results.txt!$M525)</f>
        <v>446.21532000000002</v>
      </c>
      <c r="X525" t="str">
        <f>INDEX(script.out!L:L,results.txt!$M525)</f>
        <v>}</v>
      </c>
      <c r="Y525" t="str">
        <f>INDEX(script.out!M:M,results.txt!$M525)</f>
        <v>{</v>
      </c>
      <c r="Z525">
        <f>INDEX(script.out!N:N,results.txt!$M525)</f>
        <v>11.717608545441999</v>
      </c>
      <c r="AA525">
        <f>INDEX(script.out!O:O,results.txt!$M525)</f>
        <v>16.5</v>
      </c>
      <c r="AB525">
        <f>INDEX(script.out!P:P,results.txt!$M525)</f>
        <v>1275.25</v>
      </c>
      <c r="AC525" t="str">
        <f>INDEX(script.out!Q:Q,results.txt!$M525)</f>
        <v>}</v>
      </c>
      <c r="AD525">
        <f t="shared" si="8"/>
        <v>2</v>
      </c>
    </row>
    <row r="526" spans="1:30" x14ac:dyDescent="0.25">
      <c r="A526" s="12" t="s">
        <v>5</v>
      </c>
      <c r="B526" s="12">
        <v>-3</v>
      </c>
      <c r="C526" s="12">
        <v>0.56772999999999996</v>
      </c>
      <c r="D526" s="12">
        <v>1.31012E-2</v>
      </c>
      <c r="E526" s="12">
        <v>0.15041099999999999</v>
      </c>
      <c r="F526" s="12">
        <v>-3</v>
      </c>
      <c r="G526" s="12">
        <v>7.66092</v>
      </c>
      <c r="H526" s="12">
        <v>110.25</v>
      </c>
      <c r="I526" s="12">
        <v>1.44665</v>
      </c>
      <c r="J526" s="12" t="s">
        <v>3</v>
      </c>
      <c r="K526" s="12">
        <v>0</v>
      </c>
      <c r="M526">
        <f>MATCH(C526,script.out!B:B,0)</f>
        <v>847</v>
      </c>
      <c r="N526">
        <f>INDEX(script.out!B:B,results.txt!$M526)</f>
        <v>0.56772999999999996</v>
      </c>
      <c r="O526">
        <f>INDEX(script.out!C:C,results.txt!$M526)</f>
        <v>1.31012E-2</v>
      </c>
      <c r="P526">
        <f>INDEX(script.out!D:D,results.txt!$M526)</f>
        <v>0.15041099999999999</v>
      </c>
      <c r="Q526">
        <f>INDEX(script.out!E:E,results.txt!$M526)</f>
        <v>7.6609157028274204</v>
      </c>
      <c r="R526">
        <f>INDEX(script.out!F:F,results.txt!$M526)</f>
        <v>110.25</v>
      </c>
      <c r="S526">
        <f>INDEX(script.out!G:G,results.txt!$M526)</f>
        <v>1.4466487528617</v>
      </c>
      <c r="T526" t="str">
        <f>INDEX(script.out!H:H,results.txt!$M526)</f>
        <v>{</v>
      </c>
      <c r="U526">
        <f>INDEX(script.out!I:I,results.txt!$M526)</f>
        <v>0.75417999999999996</v>
      </c>
      <c r="V526">
        <f>INDEX(script.out!J:J,results.txt!$M526)</f>
        <v>106.5506</v>
      </c>
      <c r="W526">
        <f>INDEX(script.out!K:K,results.txt!$M526)</f>
        <v>98.742490000000004</v>
      </c>
      <c r="X526" t="str">
        <f>INDEX(script.out!L:L,results.txt!$M526)</f>
        <v>}</v>
      </c>
      <c r="Y526" t="str">
        <f>INDEX(script.out!M:M,results.txt!$M526)</f>
        <v>{</v>
      </c>
      <c r="Z526">
        <f>INDEX(script.out!N:N,results.txt!$M526)</f>
        <v>12.767835924116</v>
      </c>
      <c r="AA526">
        <f>INDEX(script.out!O:O,results.txt!$M526)</f>
        <v>18.5</v>
      </c>
      <c r="AB526">
        <f>INDEX(script.out!P:P,results.txt!$M526)</f>
        <v>6860.99</v>
      </c>
      <c r="AC526" t="str">
        <f>INDEX(script.out!Q:Q,results.txt!$M526)</f>
        <v>}</v>
      </c>
      <c r="AD526">
        <f t="shared" si="8"/>
        <v>2</v>
      </c>
    </row>
    <row r="527" spans="1:30" x14ac:dyDescent="0.25">
      <c r="A527" s="12" t="s">
        <v>5</v>
      </c>
      <c r="B527" s="12">
        <v>-3</v>
      </c>
      <c r="C527" s="12">
        <v>0.97969099999999998</v>
      </c>
      <c r="D527" s="12">
        <v>0.118398</v>
      </c>
      <c r="E527" s="12">
        <v>0.53225900000000004</v>
      </c>
      <c r="F527" s="12">
        <v>-3</v>
      </c>
      <c r="G527" s="12">
        <v>82.385300000000001</v>
      </c>
      <c r="H527" s="12">
        <v>42.25</v>
      </c>
      <c r="I527" s="12">
        <v>87.363600000000005</v>
      </c>
      <c r="J527" s="12" t="s">
        <v>3</v>
      </c>
      <c r="K527" s="12">
        <v>0</v>
      </c>
      <c r="M527">
        <f>MATCH(C527,script.out!B:B,0)</f>
        <v>850</v>
      </c>
      <c r="N527">
        <f>INDEX(script.out!B:B,results.txt!$M527)</f>
        <v>0.97969099999999998</v>
      </c>
      <c r="O527">
        <f>INDEX(script.out!C:C,results.txt!$M527)</f>
        <v>0.118398</v>
      </c>
      <c r="P527">
        <f>INDEX(script.out!D:D,results.txt!$M527)</f>
        <v>0.53225900000000004</v>
      </c>
      <c r="Q527">
        <f>INDEX(script.out!E:E,results.txt!$M527)</f>
        <v>82.385269879923001</v>
      </c>
      <c r="R527">
        <f>INDEX(script.out!F:F,results.txt!$M527)</f>
        <v>42.25</v>
      </c>
      <c r="S527">
        <f>INDEX(script.out!G:G,results.txt!$M527)</f>
        <v>87.363592118596301</v>
      </c>
      <c r="T527" t="str">
        <f>INDEX(script.out!H:H,results.txt!$M527)</f>
        <v>{</v>
      </c>
      <c r="U527">
        <f>INDEX(script.out!I:I,results.txt!$M527)</f>
        <v>1.083752</v>
      </c>
      <c r="V527">
        <f>INDEX(script.out!J:J,results.txt!$M527)</f>
        <v>159.19900000000001</v>
      </c>
      <c r="W527">
        <f>INDEX(script.out!K:K,results.txt!$M527)</f>
        <v>324.03280999999998</v>
      </c>
      <c r="X527" t="str">
        <f>INDEX(script.out!L:L,results.txt!$M527)</f>
        <v>}</v>
      </c>
      <c r="Y527" t="str">
        <f>INDEX(script.out!M:M,results.txt!$M527)</f>
        <v>{</v>
      </c>
      <c r="Z527">
        <f>INDEX(script.out!N:N,results.txt!$M527)</f>
        <v>19.076633179760101</v>
      </c>
      <c r="AA527">
        <f>INDEX(script.out!O:O,results.txt!$M527)</f>
        <v>14.5</v>
      </c>
      <c r="AB527">
        <f>INDEX(script.out!P:P,results.txt!$M527)</f>
        <v>3888.4</v>
      </c>
      <c r="AC527" t="str">
        <f>INDEX(script.out!Q:Q,results.txt!$M527)</f>
        <v>}</v>
      </c>
      <c r="AD527">
        <f t="shared" si="8"/>
        <v>2</v>
      </c>
    </row>
    <row r="528" spans="1:30" x14ac:dyDescent="0.25">
      <c r="A528" s="12" t="s">
        <v>5</v>
      </c>
      <c r="B528" s="12">
        <v>-3</v>
      </c>
      <c r="C528" s="12">
        <v>1.0524800000000001</v>
      </c>
      <c r="D528" s="12">
        <v>0.10301200000000001</v>
      </c>
      <c r="E528" s="12">
        <v>0.63381600000000005</v>
      </c>
      <c r="F528" s="12">
        <v>-3</v>
      </c>
      <c r="G528" s="12">
        <v>66.500600000000006</v>
      </c>
      <c r="H528" s="12">
        <v>36</v>
      </c>
      <c r="I528" s="12">
        <v>130.92699999999999</v>
      </c>
      <c r="J528" s="12" t="s">
        <v>3</v>
      </c>
      <c r="K528" s="12">
        <v>0</v>
      </c>
      <c r="M528">
        <f>MATCH(C528,script.out!B:B,0)</f>
        <v>853</v>
      </c>
      <c r="N528">
        <f>INDEX(script.out!B:B,results.txt!$M528)</f>
        <v>1.0524800000000001</v>
      </c>
      <c r="O528">
        <f>INDEX(script.out!C:C,results.txt!$M528)</f>
        <v>0.10301200000000001</v>
      </c>
      <c r="P528">
        <f>INDEX(script.out!D:D,results.txt!$M528)</f>
        <v>0.63381600000000005</v>
      </c>
      <c r="Q528">
        <f>INDEX(script.out!E:E,results.txt!$M528)</f>
        <v>66.500597211074904</v>
      </c>
      <c r="R528">
        <f>INDEX(script.out!F:F,results.txt!$M528)</f>
        <v>36</v>
      </c>
      <c r="S528">
        <f>INDEX(script.out!G:G,results.txt!$M528)</f>
        <v>130.92688761493699</v>
      </c>
      <c r="T528" t="str">
        <f>INDEX(script.out!H:H,results.txt!$M528)</f>
        <v>{</v>
      </c>
      <c r="U528">
        <f>INDEX(script.out!I:I,results.txt!$M528)</f>
        <v>1.14198</v>
      </c>
      <c r="V528">
        <f>INDEX(script.out!J:J,results.txt!$M528)</f>
        <v>151.506</v>
      </c>
      <c r="W528">
        <f>INDEX(script.out!K:K,results.txt!$M528)</f>
        <v>383.95143999999999</v>
      </c>
      <c r="X528" t="str">
        <f>INDEX(script.out!L:L,results.txt!$M528)</f>
        <v>}</v>
      </c>
      <c r="Y528" t="str">
        <f>INDEX(script.out!M:M,results.txt!$M528)</f>
        <v>{</v>
      </c>
      <c r="Z528">
        <f>INDEX(script.out!N:N,results.txt!$M528)</f>
        <v>18.1547898324282</v>
      </c>
      <c r="AA528">
        <f>INDEX(script.out!O:O,results.txt!$M528)</f>
        <v>14</v>
      </c>
      <c r="AB528">
        <f>INDEX(script.out!P:P,results.txt!$M528)</f>
        <v>3123.55</v>
      </c>
      <c r="AC528" t="str">
        <f>INDEX(script.out!Q:Q,results.txt!$M528)</f>
        <v>}</v>
      </c>
      <c r="AD528">
        <f t="shared" si="8"/>
        <v>2</v>
      </c>
    </row>
    <row r="529" spans="1:30" x14ac:dyDescent="0.25">
      <c r="A529" s="12" t="s">
        <v>5</v>
      </c>
      <c r="B529" s="12">
        <v>-3</v>
      </c>
      <c r="C529" s="12">
        <v>1.08623</v>
      </c>
      <c r="D529" s="12">
        <v>0.34494399999999997</v>
      </c>
      <c r="E529" s="12">
        <v>0.58625400000000005</v>
      </c>
      <c r="F529" s="12">
        <v>-3</v>
      </c>
      <c r="G529" s="12">
        <v>513.02300000000002</v>
      </c>
      <c r="H529" s="12">
        <v>25</v>
      </c>
      <c r="I529" s="12">
        <v>2.7747299999999999E-2</v>
      </c>
      <c r="J529" s="12" t="s">
        <v>3</v>
      </c>
      <c r="K529" s="12">
        <v>0</v>
      </c>
      <c r="M529">
        <f>MATCH(C529,script.out!B:B,0)</f>
        <v>856</v>
      </c>
      <c r="N529">
        <f>INDEX(script.out!B:B,results.txt!$M529)</f>
        <v>1.08623</v>
      </c>
      <c r="O529">
        <f>INDEX(script.out!C:C,results.txt!$M529)</f>
        <v>0.34494399999999997</v>
      </c>
      <c r="P529">
        <f>INDEX(script.out!D:D,results.txt!$M529)</f>
        <v>0.58625400000000005</v>
      </c>
      <c r="Q529">
        <f>INDEX(script.out!E:E,results.txt!$M529)</f>
        <v>513.02279756930602</v>
      </c>
      <c r="R529">
        <f>INDEX(script.out!F:F,results.txt!$M529)</f>
        <v>25</v>
      </c>
      <c r="S529">
        <f>INDEX(script.out!G:G,results.txt!$M529)</f>
        <v>2.7747344717583E-2</v>
      </c>
      <c r="T529" t="str">
        <f>INDEX(script.out!H:H,results.txt!$M529)</f>
        <v>{</v>
      </c>
      <c r="U529">
        <f>INDEX(script.out!I:I,results.txt!$M529)</f>
        <v>1.1689799999999999</v>
      </c>
      <c r="V529">
        <f>INDEX(script.out!J:J,results.txt!$M529)</f>
        <v>272.47199999999998</v>
      </c>
      <c r="W529">
        <f>INDEX(script.out!K:K,results.txt!$M529)</f>
        <v>355.88986</v>
      </c>
      <c r="X529" t="str">
        <f>INDEX(script.out!L:L,results.txt!$M529)</f>
        <v>}</v>
      </c>
      <c r="Y529" t="str">
        <f>INDEX(script.out!M:M,results.txt!$M529)</f>
        <v>{</v>
      </c>
      <c r="Z529">
        <f>INDEX(script.out!N:N,results.txt!$M529)</f>
        <v>32.650006568857897</v>
      </c>
      <c r="AA529">
        <f>INDEX(script.out!O:O,results.txt!$M529)</f>
        <v>13</v>
      </c>
      <c r="AB529">
        <f>INDEX(script.out!P:P,results.txt!$M529)</f>
        <v>7239.2</v>
      </c>
      <c r="AC529" t="str">
        <f>INDEX(script.out!Q:Q,results.txt!$M529)</f>
        <v>}</v>
      </c>
      <c r="AD529">
        <f t="shared" si="8"/>
        <v>2</v>
      </c>
    </row>
    <row r="530" spans="1:30" x14ac:dyDescent="0.25">
      <c r="A530" s="12" t="s">
        <v>5</v>
      </c>
      <c r="B530" s="12">
        <v>-3</v>
      </c>
      <c r="C530" s="12">
        <v>9.8384399999999997E-2</v>
      </c>
      <c r="D530" s="12">
        <v>3.41978E-4</v>
      </c>
      <c r="E530" s="12">
        <v>0.22852900000000001</v>
      </c>
      <c r="F530" s="12">
        <v>-3</v>
      </c>
      <c r="G530" s="12">
        <v>4.0135100000000001</v>
      </c>
      <c r="H530" s="12">
        <v>121</v>
      </c>
      <c r="I530" s="12">
        <v>123.22199999999999</v>
      </c>
      <c r="J530" s="12" t="s">
        <v>3</v>
      </c>
      <c r="K530" s="12">
        <v>0</v>
      </c>
      <c r="M530">
        <f>MATCH(C530,script.out!B:B,0)</f>
        <v>858</v>
      </c>
      <c r="N530">
        <f>INDEX(script.out!B:B,results.txt!$M530)</f>
        <v>9.8384399999999997E-2</v>
      </c>
      <c r="O530">
        <f>INDEX(script.out!C:C,results.txt!$M530)</f>
        <v>3.41978E-4</v>
      </c>
      <c r="P530">
        <f>INDEX(script.out!D:D,results.txt!$M530)</f>
        <v>0.22852900000000001</v>
      </c>
      <c r="Q530">
        <f>INDEX(script.out!E:E,results.txt!$M530)</f>
        <v>4.0135092710057299</v>
      </c>
      <c r="R530">
        <f>INDEX(script.out!F:F,results.txt!$M530)</f>
        <v>121</v>
      </c>
      <c r="S530">
        <f>INDEX(script.out!G:G,results.txt!$M530)</f>
        <v>123.22155643535299</v>
      </c>
      <c r="T530" t="str">
        <f>INDEX(script.out!H:H,results.txt!$M530)</f>
        <v>{</v>
      </c>
      <c r="U530">
        <f>INDEX(script.out!I:I,results.txt!$M530)</f>
        <v>0.37870749999999997</v>
      </c>
      <c r="V530">
        <f>INDEX(script.out!J:J,results.txt!$M530)</f>
        <v>100.17098900000001</v>
      </c>
      <c r="W530">
        <f>INDEX(script.out!K:K,results.txt!$M530)</f>
        <v>144.83211</v>
      </c>
      <c r="X530" t="str">
        <f>INDEX(script.out!L:L,results.txt!$M530)</f>
        <v>}</v>
      </c>
      <c r="Y530" t="str">
        <f>INDEX(script.out!M:M,results.txt!$M530)</f>
        <v>{</v>
      </c>
      <c r="Z530">
        <f>INDEX(script.out!N:N,results.txt!$M530)</f>
        <v>12.003374470987801</v>
      </c>
      <c r="AA530">
        <f>INDEX(script.out!O:O,results.txt!$M530)</f>
        <v>19</v>
      </c>
      <c r="AB530">
        <f>INDEX(script.out!P:P,results.txt!$M530)</f>
        <v>3248.31</v>
      </c>
      <c r="AC530" t="str">
        <f>INDEX(script.out!Q:Q,results.txt!$M530)</f>
        <v>}</v>
      </c>
      <c r="AD530">
        <f t="shared" si="8"/>
        <v>2</v>
      </c>
    </row>
    <row r="531" spans="1:30" x14ac:dyDescent="0.25">
      <c r="A531" s="12" t="s">
        <v>5</v>
      </c>
      <c r="B531" s="12">
        <v>-3</v>
      </c>
      <c r="C531" s="12">
        <v>0.82167699999999999</v>
      </c>
      <c r="D531" s="12">
        <v>0.10097</v>
      </c>
      <c r="E531" s="12">
        <v>0.272318</v>
      </c>
      <c r="F531" s="12">
        <v>-3</v>
      </c>
      <c r="G531" s="12">
        <v>64.520200000000003</v>
      </c>
      <c r="H531" s="12">
        <v>56.25</v>
      </c>
      <c r="I531" s="12">
        <v>3.6185399999999999</v>
      </c>
      <c r="J531" s="12" t="s">
        <v>3</v>
      </c>
      <c r="K531" s="12">
        <v>0</v>
      </c>
      <c r="M531">
        <f>MATCH(C531,script.out!B:B,0)</f>
        <v>866</v>
      </c>
      <c r="N531">
        <f>INDEX(script.out!B:B,results.txt!$M531)</f>
        <v>0.82167699999999999</v>
      </c>
      <c r="O531">
        <f>INDEX(script.out!C:C,results.txt!$M531)</f>
        <v>0.10097</v>
      </c>
      <c r="P531">
        <f>INDEX(script.out!D:D,results.txt!$M531)</f>
        <v>0.272318</v>
      </c>
      <c r="Q531">
        <f>INDEX(script.out!E:E,results.txt!$M531)</f>
        <v>64.520165866671604</v>
      </c>
      <c r="R531">
        <f>INDEX(script.out!F:F,results.txt!$M531)</f>
        <v>56.25</v>
      </c>
      <c r="S531">
        <f>INDEX(script.out!G:G,results.txt!$M531)</f>
        <v>3.6185420334021301</v>
      </c>
      <c r="T531" t="str">
        <f>INDEX(script.out!H:H,results.txt!$M531)</f>
        <v>{</v>
      </c>
      <c r="U531">
        <f>INDEX(script.out!I:I,results.txt!$M531)</f>
        <v>0.957341</v>
      </c>
      <c r="V531">
        <f>INDEX(script.out!J:J,results.txt!$M531)</f>
        <v>150.48500000000001</v>
      </c>
      <c r="W531">
        <f>INDEX(script.out!K:K,results.txt!$M531)</f>
        <v>170.66762</v>
      </c>
      <c r="X531" t="str">
        <f>INDEX(script.out!L:L,results.txt!$M531)</f>
        <v>}</v>
      </c>
      <c r="Y531" t="str">
        <f>INDEX(script.out!M:M,results.txt!$M531)</f>
        <v>{</v>
      </c>
      <c r="Z531">
        <f>INDEX(script.out!N:N,results.txt!$M531)</f>
        <v>18.032444576009901</v>
      </c>
      <c r="AA531">
        <f>INDEX(script.out!O:O,results.txt!$M531)</f>
        <v>15.5</v>
      </c>
      <c r="AB531">
        <f>INDEX(script.out!P:P,results.txt!$M531)</f>
        <v>6605.68</v>
      </c>
      <c r="AC531" t="str">
        <f>INDEX(script.out!Q:Q,results.txt!$M531)</f>
        <v>}</v>
      </c>
      <c r="AD531">
        <f t="shared" si="8"/>
        <v>2</v>
      </c>
    </row>
    <row r="532" spans="1:30" x14ac:dyDescent="0.25">
      <c r="A532" s="12" t="s">
        <v>5</v>
      </c>
      <c r="B532" s="12">
        <v>-3</v>
      </c>
      <c r="C532" s="12">
        <v>0.91151400000000005</v>
      </c>
      <c r="D532" s="12">
        <v>6.4492300000000002E-2</v>
      </c>
      <c r="E532" s="12">
        <v>0.55301100000000003</v>
      </c>
      <c r="F532" s="12">
        <v>-3</v>
      </c>
      <c r="G532" s="12">
        <v>34.186300000000003</v>
      </c>
      <c r="H532" s="12">
        <v>56.25</v>
      </c>
      <c r="I532" s="12">
        <v>165.346</v>
      </c>
      <c r="J532" s="12" t="s">
        <v>3</v>
      </c>
      <c r="K532" s="12">
        <v>0</v>
      </c>
      <c r="M532">
        <f>MATCH(C532,script.out!B:B,0)</f>
        <v>867</v>
      </c>
      <c r="N532">
        <f>INDEX(script.out!B:B,results.txt!$M532)</f>
        <v>0.91151400000000005</v>
      </c>
      <c r="O532">
        <f>INDEX(script.out!C:C,results.txt!$M532)</f>
        <v>6.4492300000000002E-2</v>
      </c>
      <c r="P532">
        <f>INDEX(script.out!D:D,results.txt!$M532)</f>
        <v>0.55301100000000003</v>
      </c>
      <c r="Q532">
        <f>INDEX(script.out!E:E,results.txt!$M532)</f>
        <v>34.186288081235702</v>
      </c>
      <c r="R532">
        <f>INDEX(script.out!F:F,results.txt!$M532)</f>
        <v>56.25</v>
      </c>
      <c r="S532">
        <f>INDEX(script.out!G:G,results.txt!$M532)</f>
        <v>165.34577816776101</v>
      </c>
      <c r="T532" t="str">
        <f>INDEX(script.out!H:H,results.txt!$M532)</f>
        <v>{</v>
      </c>
      <c r="U532">
        <f>INDEX(script.out!I:I,results.txt!$M532)</f>
        <v>1.0292110000000001</v>
      </c>
      <c r="V532">
        <f>INDEX(script.out!J:J,results.txt!$M532)</f>
        <v>132.24615</v>
      </c>
      <c r="W532">
        <f>INDEX(script.out!K:K,results.txt!$M532)</f>
        <v>336.27649000000002</v>
      </c>
      <c r="X532" t="str">
        <f>INDEX(script.out!L:L,results.txt!$M532)</f>
        <v>}</v>
      </c>
      <c r="Y532" t="str">
        <f>INDEX(script.out!M:M,results.txt!$M532)</f>
        <v>{</v>
      </c>
      <c r="Z532">
        <f>INDEX(script.out!N:N,results.txt!$M532)</f>
        <v>15.846904145035699</v>
      </c>
      <c r="AA532">
        <f>INDEX(script.out!O:O,results.txt!$M532)</f>
        <v>15.5</v>
      </c>
      <c r="AB532">
        <f>INDEX(script.out!P:P,results.txt!$M532)</f>
        <v>2606.58</v>
      </c>
      <c r="AC532" t="str">
        <f>INDEX(script.out!Q:Q,results.txt!$M532)</f>
        <v>}</v>
      </c>
      <c r="AD532">
        <f t="shared" si="8"/>
        <v>2</v>
      </c>
    </row>
    <row r="533" spans="1:30" x14ac:dyDescent="0.25">
      <c r="A533" s="12" t="s">
        <v>5</v>
      </c>
      <c r="B533" s="12">
        <v>-3</v>
      </c>
      <c r="C533" s="12">
        <v>0.82359000000000004</v>
      </c>
      <c r="D533" s="12">
        <v>7.7856900000000007E-2</v>
      </c>
      <c r="E533" s="12">
        <v>0.65947800000000001</v>
      </c>
      <c r="F533" s="12">
        <v>-3</v>
      </c>
      <c r="G533" s="12">
        <v>44.191099999999999</v>
      </c>
      <c r="H533" s="12">
        <v>56.25</v>
      </c>
      <c r="I533" s="12">
        <v>143.37100000000001</v>
      </c>
      <c r="J533" s="12" t="s">
        <v>3</v>
      </c>
      <c r="K533" s="12">
        <v>0</v>
      </c>
      <c r="M533">
        <f>MATCH(C533,script.out!B:B,0)</f>
        <v>868</v>
      </c>
      <c r="N533">
        <f>INDEX(script.out!B:B,results.txt!$M533)</f>
        <v>0.82359000000000004</v>
      </c>
      <c r="O533">
        <f>INDEX(script.out!C:C,results.txt!$M533)</f>
        <v>7.7856900000000007E-2</v>
      </c>
      <c r="P533">
        <f>INDEX(script.out!D:D,results.txt!$M533)</f>
        <v>0.65947800000000001</v>
      </c>
      <c r="Q533">
        <f>INDEX(script.out!E:E,results.txt!$M533)</f>
        <v>44.191070678623298</v>
      </c>
      <c r="R533">
        <f>INDEX(script.out!F:F,results.txt!$M533)</f>
        <v>56.25</v>
      </c>
      <c r="S533">
        <f>INDEX(script.out!G:G,results.txt!$M533)</f>
        <v>143.37142717132599</v>
      </c>
      <c r="T533" t="str">
        <f>INDEX(script.out!H:H,results.txt!$M533)</f>
        <v>{</v>
      </c>
      <c r="U533">
        <f>INDEX(script.out!I:I,results.txt!$M533)</f>
        <v>0.95887</v>
      </c>
      <c r="V533">
        <f>INDEX(script.out!J:J,results.txt!$M533)</f>
        <v>138.92845</v>
      </c>
      <c r="W533">
        <f>INDEX(script.out!K:K,results.txt!$M533)</f>
        <v>399.09201999999999</v>
      </c>
      <c r="X533" t="str">
        <f>INDEX(script.out!L:L,results.txt!$M533)</f>
        <v>}</v>
      </c>
      <c r="Y533" t="str">
        <f>INDEX(script.out!M:M,results.txt!$M533)</f>
        <v>{</v>
      </c>
      <c r="Z533">
        <f>INDEX(script.out!N:N,results.txt!$M533)</f>
        <v>16.647636473110001</v>
      </c>
      <c r="AA533">
        <f>INDEX(script.out!O:O,results.txt!$M533)</f>
        <v>15.5</v>
      </c>
      <c r="AB533">
        <f>INDEX(script.out!P:P,results.txt!$M533)</f>
        <v>2929.57</v>
      </c>
      <c r="AC533" t="str">
        <f>INDEX(script.out!Q:Q,results.txt!$M533)</f>
        <v>}</v>
      </c>
      <c r="AD533">
        <f t="shared" si="8"/>
        <v>2</v>
      </c>
    </row>
    <row r="534" spans="1:30" x14ac:dyDescent="0.25">
      <c r="A534" s="12" t="s">
        <v>5</v>
      </c>
      <c r="B534" s="12">
        <v>-3</v>
      </c>
      <c r="C534" s="12">
        <v>0.92065699999999995</v>
      </c>
      <c r="D534" s="12">
        <v>7.0473900000000006E-2</v>
      </c>
      <c r="E534" s="12">
        <v>0.508432</v>
      </c>
      <c r="F534" s="12">
        <v>-3</v>
      </c>
      <c r="G534" s="12">
        <v>38.505600000000001</v>
      </c>
      <c r="H534" s="12">
        <v>56.25</v>
      </c>
      <c r="I534" s="12">
        <v>148.46299999999999</v>
      </c>
      <c r="J534" s="12" t="s">
        <v>3</v>
      </c>
      <c r="K534" s="12">
        <v>0</v>
      </c>
      <c r="M534">
        <f>MATCH(C534,script.out!B:B,0)</f>
        <v>871</v>
      </c>
      <c r="N534">
        <f>INDEX(script.out!B:B,results.txt!$M534)</f>
        <v>0.92065699999999995</v>
      </c>
      <c r="O534">
        <f>INDEX(script.out!C:C,results.txt!$M534)</f>
        <v>7.0473900000000006E-2</v>
      </c>
      <c r="P534">
        <f>INDEX(script.out!D:D,results.txt!$M534)</f>
        <v>0.508432</v>
      </c>
      <c r="Q534">
        <f>INDEX(script.out!E:E,results.txt!$M534)</f>
        <v>38.505602529689902</v>
      </c>
      <c r="R534">
        <f>INDEX(script.out!F:F,results.txt!$M534)</f>
        <v>56.25</v>
      </c>
      <c r="S534">
        <f>INDEX(script.out!G:G,results.txt!$M534)</f>
        <v>148.462540983298</v>
      </c>
      <c r="T534" t="str">
        <f>INDEX(script.out!H:H,results.txt!$M534)</f>
        <v>{</v>
      </c>
      <c r="U534">
        <f>INDEX(script.out!I:I,results.txt!$M534)</f>
        <v>1.0365249999999999</v>
      </c>
      <c r="V534">
        <f>INDEX(script.out!J:J,results.txt!$M534)</f>
        <v>135.23695000000001</v>
      </c>
      <c r="W534">
        <f>INDEX(script.out!K:K,results.txt!$M534)</f>
        <v>309.97487999999998</v>
      </c>
      <c r="X534" t="str">
        <f>INDEX(script.out!L:L,results.txt!$M534)</f>
        <v>}</v>
      </c>
      <c r="Y534" t="str">
        <f>INDEX(script.out!M:M,results.txt!$M534)</f>
        <v>{</v>
      </c>
      <c r="Z534">
        <f>INDEX(script.out!N:N,results.txt!$M534)</f>
        <v>16.205288271280299</v>
      </c>
      <c r="AA534">
        <f>INDEX(script.out!O:O,results.txt!$M534)</f>
        <v>15.5</v>
      </c>
      <c r="AB534">
        <f>INDEX(script.out!P:P,results.txt!$M534)</f>
        <v>2852.65</v>
      </c>
      <c r="AC534" t="str">
        <f>INDEX(script.out!Q:Q,results.txt!$M534)</f>
        <v>}</v>
      </c>
      <c r="AD534">
        <f t="shared" si="8"/>
        <v>2</v>
      </c>
    </row>
    <row r="535" spans="1:30" x14ac:dyDescent="0.25">
      <c r="A535" s="12" t="s">
        <v>5</v>
      </c>
      <c r="B535" s="12">
        <v>-3</v>
      </c>
      <c r="C535" s="12">
        <v>0.94393300000000002</v>
      </c>
      <c r="D535" s="12">
        <v>4.4485299999999998E-2</v>
      </c>
      <c r="E535" s="12">
        <v>0.55251499999999998</v>
      </c>
      <c r="F535" s="12">
        <v>-3</v>
      </c>
      <c r="G535" s="12">
        <v>21.605699999999999</v>
      </c>
      <c r="H535" s="12">
        <v>56.25</v>
      </c>
      <c r="I535" s="12">
        <v>179.14099999999999</v>
      </c>
      <c r="J535" s="12" t="s">
        <v>3</v>
      </c>
      <c r="K535" s="12">
        <v>0</v>
      </c>
      <c r="M535">
        <f>MATCH(C535,script.out!B:B,0)</f>
        <v>873</v>
      </c>
      <c r="N535">
        <f>INDEX(script.out!B:B,results.txt!$M535)</f>
        <v>0.94393300000000002</v>
      </c>
      <c r="O535">
        <f>INDEX(script.out!C:C,results.txt!$M535)</f>
        <v>4.4485299999999998E-2</v>
      </c>
      <c r="P535">
        <f>INDEX(script.out!D:D,results.txt!$M535)</f>
        <v>0.55251499999999998</v>
      </c>
      <c r="Q535">
        <f>INDEX(script.out!E:E,results.txt!$M535)</f>
        <v>21.605728271538201</v>
      </c>
      <c r="R535">
        <f>INDEX(script.out!F:F,results.txt!$M535)</f>
        <v>56.25</v>
      </c>
      <c r="S535">
        <f>INDEX(script.out!G:G,results.txt!$M535)</f>
        <v>179.14098993507201</v>
      </c>
      <c r="T535" t="str">
        <f>INDEX(script.out!H:H,results.txt!$M535)</f>
        <v>{</v>
      </c>
      <c r="U535">
        <f>INDEX(script.out!I:I,results.txt!$M535)</f>
        <v>1.0551459999999999</v>
      </c>
      <c r="V535">
        <f>INDEX(script.out!J:J,results.txt!$M535)</f>
        <v>122.24265</v>
      </c>
      <c r="W535">
        <f>INDEX(script.out!K:K,results.txt!$M535)</f>
        <v>335.98385000000002</v>
      </c>
      <c r="X535" t="str">
        <f>INDEX(script.out!L:L,results.txt!$M535)</f>
        <v>}</v>
      </c>
      <c r="Y535" t="str">
        <f>INDEX(script.out!M:M,results.txt!$M535)</f>
        <v>{</v>
      </c>
      <c r="Z535">
        <f>INDEX(script.out!N:N,results.txt!$M535)</f>
        <v>14.6481962384927</v>
      </c>
      <c r="AA535">
        <f>INDEX(script.out!O:O,results.txt!$M535)</f>
        <v>15.5</v>
      </c>
      <c r="AB535">
        <f>INDEX(script.out!P:P,results.txt!$M535)</f>
        <v>2414.71</v>
      </c>
      <c r="AC535" t="str">
        <f>INDEX(script.out!Q:Q,results.txt!$M535)</f>
        <v>}</v>
      </c>
      <c r="AD535">
        <f t="shared" si="8"/>
        <v>2</v>
      </c>
    </row>
    <row r="536" spans="1:30" x14ac:dyDescent="0.25">
      <c r="A536" s="12" t="s">
        <v>5</v>
      </c>
      <c r="B536" s="12">
        <v>-3</v>
      </c>
      <c r="C536" s="12">
        <v>1.0343</v>
      </c>
      <c r="D536" s="12">
        <v>3.5202600000000001E-2</v>
      </c>
      <c r="E536" s="12">
        <v>0.62040099999999998</v>
      </c>
      <c r="F536" s="12">
        <v>-3</v>
      </c>
      <c r="G536" s="12">
        <v>16.744700000000002</v>
      </c>
      <c r="H536" s="12">
        <v>56.25</v>
      </c>
      <c r="I536" s="12">
        <v>205.66900000000001</v>
      </c>
      <c r="J536" s="12" t="s">
        <v>3</v>
      </c>
      <c r="K536" s="12">
        <v>0</v>
      </c>
      <c r="M536">
        <f>MATCH(C536,script.out!B:B,0)</f>
        <v>879</v>
      </c>
      <c r="N536">
        <f>INDEX(script.out!B:B,results.txt!$M536)</f>
        <v>1.0343</v>
      </c>
      <c r="O536">
        <f>INDEX(script.out!C:C,results.txt!$M536)</f>
        <v>3.5202600000000001E-2</v>
      </c>
      <c r="P536">
        <f>INDEX(script.out!D:D,results.txt!$M536)</f>
        <v>0.62040099999999998</v>
      </c>
      <c r="Q536">
        <f>INDEX(script.out!E:E,results.txt!$M536)</f>
        <v>16.744698087458101</v>
      </c>
      <c r="R536">
        <f>INDEX(script.out!F:F,results.txt!$M536)</f>
        <v>56.25</v>
      </c>
      <c r="S536">
        <f>INDEX(script.out!G:G,results.txt!$M536)</f>
        <v>205.66938878513699</v>
      </c>
      <c r="T536" t="str">
        <f>INDEX(script.out!H:H,results.txt!$M536)</f>
        <v>{</v>
      </c>
      <c r="U536">
        <f>INDEX(script.out!I:I,results.txt!$M536)</f>
        <v>1.1274</v>
      </c>
      <c r="V536">
        <f>INDEX(script.out!J:J,results.txt!$M536)</f>
        <v>117.60129999999999</v>
      </c>
      <c r="W536">
        <f>INDEX(script.out!K:K,results.txt!$M536)</f>
        <v>376.03658999999999</v>
      </c>
      <c r="X536" t="str">
        <f>INDEX(script.out!L:L,results.txt!$M536)</f>
        <v>}</v>
      </c>
      <c r="Y536" t="str">
        <f>INDEX(script.out!M:M,results.txt!$M536)</f>
        <v>{</v>
      </c>
      <c r="Z536">
        <f>INDEX(script.out!N:N,results.txt!$M536)</f>
        <v>14.0920286029618</v>
      </c>
      <c r="AA536">
        <f>INDEX(script.out!O:O,results.txt!$M536)</f>
        <v>15.5</v>
      </c>
      <c r="AB536">
        <f>INDEX(script.out!P:P,results.txt!$M536)</f>
        <v>2065.4699999999998</v>
      </c>
      <c r="AC536" t="str">
        <f>INDEX(script.out!Q:Q,results.txt!$M536)</f>
        <v>}</v>
      </c>
      <c r="AD536">
        <f t="shared" si="8"/>
        <v>2</v>
      </c>
    </row>
    <row r="537" spans="1:30" x14ac:dyDescent="0.25">
      <c r="A537" s="12" t="s">
        <v>5</v>
      </c>
      <c r="B537" s="12">
        <v>-3</v>
      </c>
      <c r="C537" s="12">
        <v>0.95498400000000006</v>
      </c>
      <c r="D537" s="12">
        <v>0.11122</v>
      </c>
      <c r="E537" s="12">
        <v>0.58611599999999997</v>
      </c>
      <c r="F537" s="12">
        <v>-3</v>
      </c>
      <c r="G537" s="12">
        <v>74.763099999999994</v>
      </c>
      <c r="H537" s="12">
        <v>42.25</v>
      </c>
      <c r="I537" s="12">
        <v>108.673</v>
      </c>
      <c r="J537" s="12" t="s">
        <v>3</v>
      </c>
      <c r="K537" s="12">
        <v>0</v>
      </c>
      <c r="M537">
        <f>MATCH(C537,script.out!B:B,0)</f>
        <v>884</v>
      </c>
      <c r="N537">
        <f>INDEX(script.out!B:B,results.txt!$M537)</f>
        <v>0.95498400000000006</v>
      </c>
      <c r="O537">
        <f>INDEX(script.out!C:C,results.txt!$M537)</f>
        <v>0.11122</v>
      </c>
      <c r="P537">
        <f>INDEX(script.out!D:D,results.txt!$M537)</f>
        <v>0.58611599999999997</v>
      </c>
      <c r="Q537">
        <f>INDEX(script.out!E:E,results.txt!$M537)</f>
        <v>74.763128409948393</v>
      </c>
      <c r="R537">
        <f>INDEX(script.out!F:F,results.txt!$M537)</f>
        <v>42.25</v>
      </c>
      <c r="S537">
        <f>INDEX(script.out!G:G,results.txt!$M537)</f>
        <v>108.672913492963</v>
      </c>
      <c r="T537" t="str">
        <f>INDEX(script.out!H:H,results.txt!$M537)</f>
        <v>{</v>
      </c>
      <c r="U537">
        <f>INDEX(script.out!I:I,results.txt!$M537)</f>
        <v>1.063987</v>
      </c>
      <c r="V537">
        <f>INDEX(script.out!J:J,results.txt!$M537)</f>
        <v>155.61000000000001</v>
      </c>
      <c r="W537">
        <f>INDEX(script.out!K:K,results.txt!$M537)</f>
        <v>355.80844000000002</v>
      </c>
      <c r="X537" t="str">
        <f>INDEX(script.out!L:L,results.txt!$M537)</f>
        <v>}</v>
      </c>
      <c r="Y537" t="str">
        <f>INDEX(script.out!M:M,results.txt!$M537)</f>
        <v>{</v>
      </c>
      <c r="Z537">
        <f>INDEX(script.out!N:N,results.txt!$M537)</f>
        <v>18.646567435112502</v>
      </c>
      <c r="AA537">
        <f>INDEX(script.out!O:O,results.txt!$M537)</f>
        <v>14.5</v>
      </c>
      <c r="AB537">
        <f>INDEX(script.out!P:P,results.txt!$M537)</f>
        <v>3495.01</v>
      </c>
      <c r="AC537" t="str">
        <f>INDEX(script.out!Q:Q,results.txt!$M537)</f>
        <v>}</v>
      </c>
      <c r="AD537">
        <f t="shared" si="8"/>
        <v>2</v>
      </c>
    </row>
    <row r="538" spans="1:30" x14ac:dyDescent="0.25">
      <c r="A538" s="12" t="s">
        <v>5</v>
      </c>
      <c r="B538" s="12">
        <v>-3</v>
      </c>
      <c r="C538" s="12">
        <v>0.80746099999999998</v>
      </c>
      <c r="D538" s="12">
        <v>0.19195100000000001</v>
      </c>
      <c r="E538" s="12">
        <v>0.45455699999999999</v>
      </c>
      <c r="F538" s="12">
        <v>-3</v>
      </c>
      <c r="G538" s="12">
        <v>181.80500000000001</v>
      </c>
      <c r="H538" s="12">
        <v>42.25</v>
      </c>
      <c r="I538" s="12">
        <v>1.9673700000000001</v>
      </c>
      <c r="J538" s="12" t="s">
        <v>3</v>
      </c>
      <c r="K538" s="12">
        <v>0</v>
      </c>
      <c r="M538">
        <f>MATCH(C538,script.out!B:B,0)</f>
        <v>889</v>
      </c>
      <c r="N538">
        <f>INDEX(script.out!B:B,results.txt!$M538)</f>
        <v>0.80746099999999998</v>
      </c>
      <c r="O538">
        <f>INDEX(script.out!C:C,results.txt!$M538)</f>
        <v>0.19195100000000001</v>
      </c>
      <c r="P538">
        <f>INDEX(script.out!D:D,results.txt!$M538)</f>
        <v>0.45455699999999999</v>
      </c>
      <c r="Q538">
        <f>INDEX(script.out!E:E,results.txt!$M538)</f>
        <v>181.805281987466</v>
      </c>
      <c r="R538">
        <f>INDEX(script.out!F:F,results.txt!$M538)</f>
        <v>42.25</v>
      </c>
      <c r="S538">
        <f>INDEX(script.out!G:G,results.txt!$M538)</f>
        <v>1.96737130118221</v>
      </c>
      <c r="T538" t="str">
        <f>INDEX(script.out!H:H,results.txt!$M538)</f>
        <v>{</v>
      </c>
      <c r="U538">
        <f>INDEX(script.out!I:I,results.txt!$M538)</f>
        <v>0.94596800000000003</v>
      </c>
      <c r="V538">
        <f>INDEX(script.out!J:J,results.txt!$M538)</f>
        <v>195.97550000000001</v>
      </c>
      <c r="W538">
        <f>INDEX(script.out!K:K,results.txt!$M538)</f>
        <v>278.18862999999999</v>
      </c>
      <c r="X538" t="str">
        <f>INDEX(script.out!L:L,results.txt!$M538)</f>
        <v>}</v>
      </c>
      <c r="Y538" t="str">
        <f>INDEX(script.out!M:M,results.txt!$M538)</f>
        <v>{</v>
      </c>
      <c r="Z538">
        <f>INDEX(script.out!N:N,results.txt!$M538)</f>
        <v>23.4835189022549</v>
      </c>
      <c r="AA538">
        <f>INDEX(script.out!O:O,results.txt!$M538)</f>
        <v>14.5</v>
      </c>
      <c r="AB538">
        <f>INDEX(script.out!P:P,results.txt!$M538)</f>
        <v>6788.04</v>
      </c>
      <c r="AC538" t="str">
        <f>INDEX(script.out!Q:Q,results.txt!$M538)</f>
        <v>}</v>
      </c>
      <c r="AD538">
        <f t="shared" si="8"/>
        <v>2</v>
      </c>
    </row>
    <row r="539" spans="1:30" x14ac:dyDescent="0.25">
      <c r="A539" s="12" t="s">
        <v>5</v>
      </c>
      <c r="B539" s="12">
        <v>-3</v>
      </c>
      <c r="C539" s="12">
        <v>0.87509099999999995</v>
      </c>
      <c r="D539" s="12">
        <v>-1.9753000000000001E-3</v>
      </c>
      <c r="E539" s="12">
        <v>0.70521699999999998</v>
      </c>
      <c r="F539" s="12">
        <v>-3</v>
      </c>
      <c r="G539" s="12">
        <v>3.4764900000000001</v>
      </c>
      <c r="H539" s="12">
        <v>81</v>
      </c>
      <c r="I539" s="12">
        <v>263.36200000000002</v>
      </c>
      <c r="J539" s="12" t="s">
        <v>3</v>
      </c>
      <c r="K539" s="12">
        <v>0</v>
      </c>
      <c r="M539">
        <f>MATCH(C539,script.out!B:B,0)</f>
        <v>891</v>
      </c>
      <c r="N539">
        <f>INDEX(script.out!B:B,results.txt!$M539)</f>
        <v>0.87509099999999995</v>
      </c>
      <c r="O539">
        <f>INDEX(script.out!C:C,results.txt!$M539)</f>
        <v>-1.9753000000000001E-3</v>
      </c>
      <c r="P539">
        <f>INDEX(script.out!D:D,results.txt!$M539)</f>
        <v>0.70521699999999998</v>
      </c>
      <c r="Q539">
        <f>INDEX(script.out!E:E,results.txt!$M539)</f>
        <v>3.4764948361621699</v>
      </c>
      <c r="R539">
        <f>INDEX(script.out!F:F,results.txt!$M539)</f>
        <v>81</v>
      </c>
      <c r="S539">
        <f>INDEX(script.out!G:G,results.txt!$M539)</f>
        <v>263.36221147982701</v>
      </c>
      <c r="T539" t="str">
        <f>INDEX(script.out!H:H,results.txt!$M539)</f>
        <v>{</v>
      </c>
      <c r="U539">
        <f>INDEX(script.out!I:I,results.txt!$M539)</f>
        <v>1.0000720000000001</v>
      </c>
      <c r="V539">
        <f>INDEX(script.out!J:J,results.txt!$M539)</f>
        <v>99.012349999999998</v>
      </c>
      <c r="W539">
        <f>INDEX(script.out!K:K,results.txt!$M539)</f>
        <v>426.07803000000001</v>
      </c>
      <c r="X539" t="str">
        <f>INDEX(script.out!L:L,results.txt!$M539)</f>
        <v>}</v>
      </c>
      <c r="Y539" t="str">
        <f>INDEX(script.out!M:M,results.txt!$M539)</f>
        <v>{</v>
      </c>
      <c r="Z539">
        <f>INDEX(script.out!N:N,results.txt!$M539)</f>
        <v>11.8645360914077</v>
      </c>
      <c r="AA539">
        <f>INDEX(script.out!O:O,results.txt!$M539)</f>
        <v>17</v>
      </c>
      <c r="AB539">
        <f>INDEX(script.out!P:P,results.txt!$M539)</f>
        <v>1376.62</v>
      </c>
      <c r="AC539" t="str">
        <f>INDEX(script.out!Q:Q,results.txt!$M539)</f>
        <v>}</v>
      </c>
      <c r="AD539">
        <f t="shared" si="8"/>
        <v>2</v>
      </c>
    </row>
    <row r="540" spans="1:30" x14ac:dyDescent="0.25">
      <c r="A540" s="12" t="s">
        <v>5</v>
      </c>
      <c r="B540" s="12">
        <v>-3</v>
      </c>
      <c r="C540" s="12">
        <v>1.0394000000000001</v>
      </c>
      <c r="D540" s="12">
        <v>7.0502899999999993E-2</v>
      </c>
      <c r="E540" s="12">
        <v>0.60957899999999998</v>
      </c>
      <c r="F540" s="12">
        <v>-3</v>
      </c>
      <c r="G540" s="12">
        <v>38.527200000000001</v>
      </c>
      <c r="H540" s="12">
        <v>49</v>
      </c>
      <c r="I540" s="12">
        <v>186.542</v>
      </c>
      <c r="J540" s="12" t="s">
        <v>3</v>
      </c>
      <c r="K540" s="12">
        <v>0</v>
      </c>
      <c r="M540">
        <f>MATCH(C540,script.out!B:B,0)</f>
        <v>892</v>
      </c>
      <c r="N540">
        <f>INDEX(script.out!B:B,results.txt!$M540)</f>
        <v>1.0394000000000001</v>
      </c>
      <c r="O540">
        <f>INDEX(script.out!C:C,results.txt!$M540)</f>
        <v>7.0502899999999993E-2</v>
      </c>
      <c r="P540">
        <f>INDEX(script.out!D:D,results.txt!$M540)</f>
        <v>0.60957899999999998</v>
      </c>
      <c r="Q540">
        <f>INDEX(script.out!E:E,results.txt!$M540)</f>
        <v>38.527169152926497</v>
      </c>
      <c r="R540">
        <f>INDEX(script.out!F:F,results.txt!$M540)</f>
        <v>49</v>
      </c>
      <c r="S540">
        <f>INDEX(script.out!G:G,results.txt!$M540)</f>
        <v>186.54171238431201</v>
      </c>
      <c r="T540" t="str">
        <f>INDEX(script.out!H:H,results.txt!$M540)</f>
        <v>{</v>
      </c>
      <c r="U540">
        <f>INDEX(script.out!I:I,results.txt!$M540)</f>
        <v>1.1315</v>
      </c>
      <c r="V540">
        <f>INDEX(script.out!J:J,results.txt!$M540)</f>
        <v>135.25145000000001</v>
      </c>
      <c r="W540">
        <f>INDEX(script.out!K:K,results.txt!$M540)</f>
        <v>369.65161000000001</v>
      </c>
      <c r="X540" t="str">
        <f>INDEX(script.out!L:L,results.txt!$M540)</f>
        <v>}</v>
      </c>
      <c r="Y540" t="str">
        <f>INDEX(script.out!M:M,results.txt!$M540)</f>
        <v>{</v>
      </c>
      <c r="Z540">
        <f>INDEX(script.out!N:N,results.txt!$M540)</f>
        <v>16.2070257896134</v>
      </c>
      <c r="AA540">
        <f>INDEX(script.out!O:O,results.txt!$M540)</f>
        <v>15</v>
      </c>
      <c r="AB540">
        <f>INDEX(script.out!P:P,results.txt!$M540)</f>
        <v>2314.8200000000002</v>
      </c>
      <c r="AC540" t="str">
        <f>INDEX(script.out!Q:Q,results.txt!$M540)</f>
        <v>}</v>
      </c>
      <c r="AD540">
        <f t="shared" si="8"/>
        <v>2</v>
      </c>
    </row>
    <row r="541" spans="1:30" x14ac:dyDescent="0.25">
      <c r="A541" s="12" t="s">
        <v>5</v>
      </c>
      <c r="B541" s="12">
        <v>-3</v>
      </c>
      <c r="C541" s="12">
        <v>1.02312</v>
      </c>
      <c r="D541" s="12">
        <v>-8.36658E-4</v>
      </c>
      <c r="E541" s="12">
        <v>0.66092499999999998</v>
      </c>
      <c r="F541" s="12">
        <v>-3</v>
      </c>
      <c r="G541" s="12">
        <v>3.7355499999999999</v>
      </c>
      <c r="H541" s="12">
        <v>64</v>
      </c>
      <c r="I541" s="12">
        <v>263.12200000000001</v>
      </c>
      <c r="J541" s="12" t="s">
        <v>3</v>
      </c>
      <c r="K541" s="12">
        <v>0</v>
      </c>
      <c r="M541">
        <f>MATCH(C541,script.out!B:B,0)</f>
        <v>896</v>
      </c>
      <c r="N541">
        <f>INDEX(script.out!B:B,results.txt!$M541)</f>
        <v>1.02312</v>
      </c>
      <c r="O541">
        <f>INDEX(script.out!C:C,results.txt!$M541)</f>
        <v>-8.36658E-4</v>
      </c>
      <c r="P541">
        <f>INDEX(script.out!D:D,results.txt!$M541)</f>
        <v>0.66092499999999998</v>
      </c>
      <c r="Q541">
        <f>INDEX(script.out!E:E,results.txt!$M541)</f>
        <v>3.7355502876008999</v>
      </c>
      <c r="R541">
        <f>INDEX(script.out!F:F,results.txt!$M541)</f>
        <v>64</v>
      </c>
      <c r="S541">
        <f>INDEX(script.out!G:G,results.txt!$M541)</f>
        <v>263.12217423456502</v>
      </c>
      <c r="T541" t="str">
        <f>INDEX(script.out!H:H,results.txt!$M541)</f>
        <v>{</v>
      </c>
      <c r="U541">
        <f>INDEX(script.out!I:I,results.txt!$M541)</f>
        <v>1.11849</v>
      </c>
      <c r="V541">
        <f>INDEX(script.out!J:J,results.txt!$M541)</f>
        <v>99.581671</v>
      </c>
      <c r="W541">
        <f>INDEX(script.out!K:K,results.txt!$M541)</f>
        <v>399.94574999999998</v>
      </c>
      <c r="X541" t="str">
        <f>INDEX(script.out!L:L,results.txt!$M541)</f>
        <v>}</v>
      </c>
      <c r="Y541" t="str">
        <f>INDEX(script.out!M:M,results.txt!$M541)</f>
        <v>{</v>
      </c>
      <c r="Z541">
        <f>INDEX(script.out!N:N,results.txt!$M541)</f>
        <v>11.932757172435499</v>
      </c>
      <c r="AA541">
        <f>INDEX(script.out!O:O,results.txt!$M541)</f>
        <v>16</v>
      </c>
      <c r="AB541">
        <f>INDEX(script.out!P:P,results.txt!$M541)</f>
        <v>1379.32</v>
      </c>
      <c r="AC541" t="str">
        <f>INDEX(script.out!Q:Q,results.txt!$M541)</f>
        <v>}</v>
      </c>
      <c r="AD541">
        <f t="shared" si="8"/>
        <v>2</v>
      </c>
    </row>
    <row r="542" spans="1:30" x14ac:dyDescent="0.25">
      <c r="A542" s="12" t="s">
        <v>5</v>
      </c>
      <c r="B542" s="12">
        <v>-3</v>
      </c>
      <c r="C542" s="12">
        <v>1.0448599999999999</v>
      </c>
      <c r="D542" s="12">
        <v>4.4613800000000002E-2</v>
      </c>
      <c r="E542" s="12">
        <v>0.57506999999999997</v>
      </c>
      <c r="F542" s="12">
        <v>-3</v>
      </c>
      <c r="G542" s="12">
        <v>21.677399999999999</v>
      </c>
      <c r="H542" s="12">
        <v>49</v>
      </c>
      <c r="I542" s="12">
        <v>191.77500000000001</v>
      </c>
      <c r="J542" s="12" t="s">
        <v>3</v>
      </c>
      <c r="K542" s="12">
        <v>0</v>
      </c>
      <c r="M542">
        <f>MATCH(C542,script.out!B:B,0)</f>
        <v>897</v>
      </c>
      <c r="N542">
        <f>INDEX(script.out!B:B,results.txt!$M542)</f>
        <v>1.0448599999999999</v>
      </c>
      <c r="O542">
        <f>INDEX(script.out!C:C,results.txt!$M542)</f>
        <v>4.4613800000000002E-2</v>
      </c>
      <c r="P542">
        <f>INDEX(script.out!D:D,results.txt!$M542)</f>
        <v>0.57506999999999997</v>
      </c>
      <c r="Q542">
        <f>INDEX(script.out!E:E,results.txt!$M542)</f>
        <v>21.677360505791299</v>
      </c>
      <c r="R542">
        <f>INDEX(script.out!F:F,results.txt!$M542)</f>
        <v>49</v>
      </c>
      <c r="S542">
        <f>INDEX(script.out!G:G,results.txt!$M542)</f>
        <v>191.775450830549</v>
      </c>
      <c r="T542" t="str">
        <f>INDEX(script.out!H:H,results.txt!$M542)</f>
        <v>{</v>
      </c>
      <c r="U542">
        <f>INDEX(script.out!I:I,results.txt!$M542)</f>
        <v>1.13588</v>
      </c>
      <c r="V542">
        <f>INDEX(script.out!J:J,results.txt!$M542)</f>
        <v>122.3069</v>
      </c>
      <c r="W542">
        <f>INDEX(script.out!K:K,results.txt!$M542)</f>
        <v>349.29129999999998</v>
      </c>
      <c r="X542" t="str">
        <f>INDEX(script.out!L:L,results.txt!$M542)</f>
        <v>}</v>
      </c>
      <c r="Y542" t="str">
        <f>INDEX(script.out!M:M,results.txt!$M542)</f>
        <v>{</v>
      </c>
      <c r="Z542">
        <f>INDEX(script.out!N:N,results.txt!$M542)</f>
        <v>14.655895242141</v>
      </c>
      <c r="AA542">
        <f>INDEX(script.out!O:O,results.txt!$M542)</f>
        <v>15</v>
      </c>
      <c r="AB542">
        <f>INDEX(script.out!P:P,results.txt!$M542)</f>
        <v>2245.37</v>
      </c>
      <c r="AC542" t="str">
        <f>INDEX(script.out!Q:Q,results.txt!$M542)</f>
        <v>}</v>
      </c>
      <c r="AD542">
        <f t="shared" si="8"/>
        <v>2</v>
      </c>
    </row>
    <row r="543" spans="1:30" x14ac:dyDescent="0.25">
      <c r="A543" s="12" t="s">
        <v>5</v>
      </c>
      <c r="B543" s="12">
        <v>-3</v>
      </c>
      <c r="C543" s="12">
        <v>0.96236600000000005</v>
      </c>
      <c r="D543" s="12">
        <v>0.37607299999999999</v>
      </c>
      <c r="E543" s="12">
        <v>0.62033099999999997</v>
      </c>
      <c r="F543" s="12">
        <v>-3</v>
      </c>
      <c r="G543" s="12">
        <v>600.98900000000003</v>
      </c>
      <c r="H543" s="12">
        <v>30.25</v>
      </c>
      <c r="I543" s="13">
        <v>3.3694899999999998E-6</v>
      </c>
      <c r="J543" s="12" t="s">
        <v>3</v>
      </c>
      <c r="K543" s="12">
        <v>0</v>
      </c>
      <c r="M543">
        <f>MATCH(C543,script.out!B:B,0)</f>
        <v>900</v>
      </c>
      <c r="N543">
        <f>INDEX(script.out!B:B,results.txt!$M543)</f>
        <v>0.96236600000000005</v>
      </c>
      <c r="O543">
        <f>INDEX(script.out!C:C,results.txt!$M543)</f>
        <v>0.37607299999999999</v>
      </c>
      <c r="P543">
        <f>INDEX(script.out!D:D,results.txt!$M543)</f>
        <v>0.62033099999999997</v>
      </c>
      <c r="Q543">
        <f>INDEX(script.out!E:E,results.txt!$M543)</f>
        <v>600.98928044220099</v>
      </c>
      <c r="R543">
        <f>INDEX(script.out!F:F,results.txt!$M543)</f>
        <v>30.25</v>
      </c>
      <c r="S543">
        <f>INDEX(script.out!G:G,results.txt!$M543)</f>
        <v>3.3694877087633702E-6</v>
      </c>
      <c r="T543" t="str">
        <f>INDEX(script.out!H:H,results.txt!$M543)</f>
        <v>{</v>
      </c>
      <c r="U543">
        <f>INDEX(script.out!I:I,results.txt!$M543)</f>
        <v>1.0698920000000001</v>
      </c>
      <c r="V543">
        <f>INDEX(script.out!J:J,results.txt!$M543)</f>
        <v>288.03649999999999</v>
      </c>
      <c r="W543">
        <f>INDEX(script.out!K:K,results.txt!$M543)</f>
        <v>375.99529000000001</v>
      </c>
      <c r="X543" t="str">
        <f>INDEX(script.out!L:L,results.txt!$M543)</f>
        <v>}</v>
      </c>
      <c r="Y543" t="str">
        <f>INDEX(script.out!M:M,results.txt!$M543)</f>
        <v>{</v>
      </c>
      <c r="Z543">
        <f>INDEX(script.out!N:N,results.txt!$M543)</f>
        <v>34.515082713346096</v>
      </c>
      <c r="AA543">
        <f>INDEX(script.out!O:O,results.txt!$M543)</f>
        <v>13.5</v>
      </c>
      <c r="AB543">
        <f>INDEX(script.out!P:P,results.txt!$M543)</f>
        <v>7299.33</v>
      </c>
      <c r="AC543" t="str">
        <f>INDEX(script.out!Q:Q,results.txt!$M543)</f>
        <v>}</v>
      </c>
      <c r="AD543">
        <f t="shared" si="8"/>
        <v>2</v>
      </c>
    </row>
    <row r="544" spans="1:30" x14ac:dyDescent="0.25">
      <c r="A544" s="12" t="s">
        <v>5</v>
      </c>
      <c r="B544" s="12">
        <v>-3</v>
      </c>
      <c r="C544" s="12">
        <v>0.98332799999999998</v>
      </c>
      <c r="D544" s="12">
        <v>6.7680199999999996E-3</v>
      </c>
      <c r="E544" s="12">
        <v>0.57731600000000005</v>
      </c>
      <c r="F544" s="12">
        <v>-3</v>
      </c>
      <c r="G544" s="12">
        <v>5.7043900000000001</v>
      </c>
      <c r="H544" s="12">
        <v>72.25</v>
      </c>
      <c r="I544" s="12">
        <v>240.023</v>
      </c>
      <c r="J544" s="12" t="s">
        <v>3</v>
      </c>
      <c r="K544" s="12">
        <v>0</v>
      </c>
      <c r="M544">
        <f>MATCH(C544,script.out!B:B,0)</f>
        <v>901</v>
      </c>
      <c r="N544">
        <f>INDEX(script.out!B:B,results.txt!$M544)</f>
        <v>0.98332799999999998</v>
      </c>
      <c r="O544">
        <f>INDEX(script.out!C:C,results.txt!$M544)</f>
        <v>6.7680199999999996E-3</v>
      </c>
      <c r="P544">
        <f>INDEX(script.out!D:D,results.txt!$M544)</f>
        <v>0.57731600000000005</v>
      </c>
      <c r="Q544">
        <f>INDEX(script.out!E:E,results.txt!$M544)</f>
        <v>5.7043928641264197</v>
      </c>
      <c r="R544">
        <f>INDEX(script.out!F:F,results.txt!$M544)</f>
        <v>72.25</v>
      </c>
      <c r="S544">
        <f>INDEX(script.out!G:G,results.txt!$M544)</f>
        <v>240.02328638693899</v>
      </c>
      <c r="T544" t="str">
        <f>INDEX(script.out!H:H,results.txt!$M544)</f>
        <v>{</v>
      </c>
      <c r="U544">
        <f>INDEX(script.out!I:I,results.txt!$M544)</f>
        <v>1.086662</v>
      </c>
      <c r="V544">
        <f>INDEX(script.out!J:J,results.txt!$M544)</f>
        <v>103.38401</v>
      </c>
      <c r="W544">
        <f>INDEX(script.out!K:K,results.txt!$M544)</f>
        <v>350.61644000000001</v>
      </c>
      <c r="X544" t="str">
        <f>INDEX(script.out!L:L,results.txt!$M544)</f>
        <v>}</v>
      </c>
      <c r="Y544" t="str">
        <f>INDEX(script.out!M:M,results.txt!$M544)</f>
        <v>{</v>
      </c>
      <c r="Z544">
        <f>INDEX(script.out!N:N,results.txt!$M544)</f>
        <v>12.388387084232001</v>
      </c>
      <c r="AA544">
        <f>INDEX(script.out!O:O,results.txt!$M544)</f>
        <v>16.5</v>
      </c>
      <c r="AB544">
        <f>INDEX(script.out!P:P,results.txt!$M544)</f>
        <v>1645.17</v>
      </c>
      <c r="AC544" t="str">
        <f>INDEX(script.out!Q:Q,results.txt!$M544)</f>
        <v>}</v>
      </c>
      <c r="AD544">
        <f t="shared" si="8"/>
        <v>2</v>
      </c>
    </row>
    <row r="545" spans="1:30" x14ac:dyDescent="0.25">
      <c r="A545" s="12" t="s">
        <v>5</v>
      </c>
      <c r="B545" s="12">
        <v>-3</v>
      </c>
      <c r="C545" s="12">
        <v>1.00725</v>
      </c>
      <c r="D545" s="12">
        <v>7.9275300000000007E-2</v>
      </c>
      <c r="E545" s="12">
        <v>0.53861199999999998</v>
      </c>
      <c r="F545" s="12">
        <v>-3</v>
      </c>
      <c r="G545" s="12">
        <v>45.328200000000002</v>
      </c>
      <c r="H545" s="12">
        <v>49</v>
      </c>
      <c r="I545" s="12">
        <v>158.298</v>
      </c>
      <c r="J545" s="12" t="s">
        <v>3</v>
      </c>
      <c r="K545" s="12">
        <v>0</v>
      </c>
      <c r="M545">
        <f>MATCH(C545,script.out!B:B,0)</f>
        <v>902</v>
      </c>
      <c r="N545">
        <f>INDEX(script.out!B:B,results.txt!$M545)</f>
        <v>1.00725</v>
      </c>
      <c r="O545">
        <f>INDEX(script.out!C:C,results.txt!$M545)</f>
        <v>7.9275300000000007E-2</v>
      </c>
      <c r="P545">
        <f>INDEX(script.out!D:D,results.txt!$M545)</f>
        <v>0.53861199999999998</v>
      </c>
      <c r="Q545">
        <f>INDEX(script.out!E:E,results.txt!$M545)</f>
        <v>45.328159863880998</v>
      </c>
      <c r="R545">
        <f>INDEX(script.out!F:F,results.txt!$M545)</f>
        <v>49</v>
      </c>
      <c r="S545">
        <f>INDEX(script.out!G:G,results.txt!$M545)</f>
        <v>158.29845101219701</v>
      </c>
      <c r="T545" t="str">
        <f>INDEX(script.out!H:H,results.txt!$M545)</f>
        <v>{</v>
      </c>
      <c r="U545">
        <f>INDEX(script.out!I:I,results.txt!$M545)</f>
        <v>1.1057999999999999</v>
      </c>
      <c r="V545">
        <f>INDEX(script.out!J:J,results.txt!$M545)</f>
        <v>139.63765000000001</v>
      </c>
      <c r="W545">
        <f>INDEX(script.out!K:K,results.txt!$M545)</f>
        <v>327.78107999999997</v>
      </c>
      <c r="X545" t="str">
        <f>INDEX(script.out!L:L,results.txt!$M545)</f>
        <v>}</v>
      </c>
      <c r="Y545" t="str">
        <f>INDEX(script.out!M:M,results.txt!$M545)</f>
        <v>{</v>
      </c>
      <c r="Z545">
        <f>INDEX(script.out!N:N,results.txt!$M545)</f>
        <v>16.7326190939248</v>
      </c>
      <c r="AA545">
        <f>INDEX(script.out!O:O,results.txt!$M545)</f>
        <v>15</v>
      </c>
      <c r="AB545">
        <f>INDEX(script.out!P:P,results.txt!$M545)</f>
        <v>2707.69</v>
      </c>
      <c r="AC545" t="str">
        <f>INDEX(script.out!Q:Q,results.txt!$M545)</f>
        <v>}</v>
      </c>
      <c r="AD545">
        <f t="shared" si="8"/>
        <v>2</v>
      </c>
    </row>
    <row r="546" spans="1:30" x14ac:dyDescent="0.25">
      <c r="A546" s="12" t="s">
        <v>5</v>
      </c>
      <c r="B546" s="12">
        <v>-3</v>
      </c>
      <c r="C546" s="12">
        <v>3.0988000000000002E-2</v>
      </c>
      <c r="D546" s="12">
        <v>8.30901E-2</v>
      </c>
      <c r="E546" s="12">
        <v>9.5490400000000003E-2</v>
      </c>
      <c r="F546" s="12">
        <v>-3</v>
      </c>
      <c r="G546" s="12">
        <v>48.457999999999998</v>
      </c>
      <c r="H546" s="12">
        <v>72.25</v>
      </c>
      <c r="I546" s="12">
        <v>2.2495099999999999</v>
      </c>
      <c r="J546" s="12" t="s">
        <v>3</v>
      </c>
      <c r="K546" s="12">
        <v>0</v>
      </c>
      <c r="M546">
        <f>MATCH(C546,script.out!B:B,0)</f>
        <v>903</v>
      </c>
      <c r="N546">
        <f>INDEX(script.out!B:B,results.txt!$M546)</f>
        <v>3.0988000000000002E-2</v>
      </c>
      <c r="O546">
        <f>INDEX(script.out!C:C,results.txt!$M546)</f>
        <v>8.30901E-2</v>
      </c>
      <c r="P546">
        <f>INDEX(script.out!D:D,results.txt!$M546)</f>
        <v>9.5490400000000003E-2</v>
      </c>
      <c r="Q546">
        <f>INDEX(script.out!E:E,results.txt!$M546)</f>
        <v>48.458035951111498</v>
      </c>
      <c r="R546">
        <f>INDEX(script.out!F:F,results.txt!$M546)</f>
        <v>72.25</v>
      </c>
      <c r="S546">
        <f>INDEX(script.out!G:G,results.txt!$M546)</f>
        <v>2.2495068763370201</v>
      </c>
      <c r="T546" t="str">
        <f>INDEX(script.out!H:H,results.txt!$M546)</f>
        <v>{</v>
      </c>
      <c r="U546">
        <f>INDEX(script.out!I:I,results.txt!$M546)</f>
        <v>0.32479000000000002</v>
      </c>
      <c r="V546">
        <f>INDEX(script.out!J:J,results.txt!$M546)</f>
        <v>141.54505</v>
      </c>
      <c r="W546">
        <f>INDEX(script.out!K:K,results.txt!$M546)</f>
        <v>66.339336000000003</v>
      </c>
      <c r="X546" t="str">
        <f>INDEX(script.out!L:L,results.txt!$M546)</f>
        <v>}</v>
      </c>
      <c r="Y546" t="str">
        <f>INDEX(script.out!M:M,results.txt!$M546)</f>
        <v>{</v>
      </c>
      <c r="Z546">
        <f>INDEX(script.out!N:N,results.txt!$M546)</f>
        <v>16.9611806434764</v>
      </c>
      <c r="AA546">
        <f>INDEX(script.out!O:O,results.txt!$M546)</f>
        <v>16.5</v>
      </c>
      <c r="AB546">
        <f>INDEX(script.out!P:P,results.txt!$M546)</f>
        <v>7847.44</v>
      </c>
      <c r="AC546" t="str">
        <f>INDEX(script.out!Q:Q,results.txt!$M546)</f>
        <v>}</v>
      </c>
      <c r="AD546">
        <f t="shared" si="8"/>
        <v>2</v>
      </c>
    </row>
    <row r="547" spans="1:30" x14ac:dyDescent="0.25">
      <c r="A547" s="12" t="s">
        <v>5</v>
      </c>
      <c r="B547" s="12">
        <v>-3</v>
      </c>
      <c r="C547" s="12">
        <v>1.2294400000000001</v>
      </c>
      <c r="D547" s="12">
        <v>0.69001100000000004</v>
      </c>
      <c r="E547" s="12">
        <v>0.88799700000000004</v>
      </c>
      <c r="F547" s="12">
        <v>-3</v>
      </c>
      <c r="G547" s="12">
        <v>1877.01</v>
      </c>
      <c r="H547" s="12">
        <v>20.25</v>
      </c>
      <c r="I547" s="12">
        <v>2.9089399999999999</v>
      </c>
      <c r="J547" s="12" t="s">
        <v>3</v>
      </c>
      <c r="K547" s="12">
        <v>0</v>
      </c>
      <c r="M547">
        <f>MATCH(C547,script.out!B:B,0)</f>
        <v>904</v>
      </c>
      <c r="N547">
        <f>INDEX(script.out!B:B,results.txt!$M547)</f>
        <v>1.2294400000000001</v>
      </c>
      <c r="O547">
        <f>INDEX(script.out!C:C,results.txt!$M547)</f>
        <v>0.69001100000000004</v>
      </c>
      <c r="P547">
        <f>INDEX(script.out!D:D,results.txt!$M547)</f>
        <v>0.88799700000000004</v>
      </c>
      <c r="Q547">
        <f>INDEX(script.out!E:E,results.txt!$M547)</f>
        <v>1877.01208851148</v>
      </c>
      <c r="R547">
        <f>INDEX(script.out!F:F,results.txt!$M547)</f>
        <v>20.25</v>
      </c>
      <c r="S547">
        <f>INDEX(script.out!G:G,results.txt!$M547)</f>
        <v>2.9089405209232502</v>
      </c>
      <c r="T547" t="str">
        <f>INDEX(script.out!H:H,results.txt!$M547)</f>
        <v>{</v>
      </c>
      <c r="U547">
        <f>INDEX(script.out!I:I,results.txt!$M547)</f>
        <v>1.28355</v>
      </c>
      <c r="V547">
        <f>INDEX(script.out!J:J,results.txt!$M547)</f>
        <v>445.00549999999998</v>
      </c>
      <c r="W547">
        <f>INDEX(script.out!K:K,results.txt!$M547)</f>
        <v>533.91822999999999</v>
      </c>
      <c r="X547" t="str">
        <f>INDEX(script.out!L:L,results.txt!$M547)</f>
        <v>}</v>
      </c>
      <c r="Y547" t="str">
        <f>INDEX(script.out!M:M,results.txt!$M547)</f>
        <v>{</v>
      </c>
      <c r="Z547">
        <f>INDEX(script.out!N:N,results.txt!$M547)</f>
        <v>53.324497556365003</v>
      </c>
      <c r="AA547">
        <f>INDEX(script.out!O:O,results.txt!$M547)</f>
        <v>12.5</v>
      </c>
      <c r="AB547">
        <f>INDEX(script.out!P:P,results.txt!$M547)</f>
        <v>7922.53</v>
      </c>
      <c r="AC547" t="str">
        <f>INDEX(script.out!Q:Q,results.txt!$M547)</f>
        <v>}</v>
      </c>
      <c r="AD547">
        <f t="shared" si="8"/>
        <v>2</v>
      </c>
    </row>
    <row r="548" spans="1:30" x14ac:dyDescent="0.25">
      <c r="A548" s="12" t="s">
        <v>5</v>
      </c>
      <c r="B548" s="12">
        <v>-3</v>
      </c>
      <c r="C548" s="12">
        <v>0.54430599999999996</v>
      </c>
      <c r="D548" s="12">
        <v>-2.3185000000000001E-2</v>
      </c>
      <c r="E548" s="12">
        <v>8.7140400000000007E-2</v>
      </c>
      <c r="F548" s="12">
        <v>-3</v>
      </c>
      <c r="G548" s="12">
        <v>0.35256199999999999</v>
      </c>
      <c r="H548" s="12">
        <v>144</v>
      </c>
      <c r="I548" s="12">
        <v>4.4353499999999997</v>
      </c>
      <c r="J548" s="12" t="s">
        <v>3</v>
      </c>
      <c r="K548" s="12">
        <v>0</v>
      </c>
      <c r="M548">
        <f>MATCH(C548,script.out!B:B,0)</f>
        <v>905</v>
      </c>
      <c r="N548">
        <f>INDEX(script.out!B:B,results.txt!$M548)</f>
        <v>0.54430599999999996</v>
      </c>
      <c r="O548">
        <f>INDEX(script.out!C:C,results.txt!$M548)</f>
        <v>-2.3185000000000001E-2</v>
      </c>
      <c r="P548">
        <f>INDEX(script.out!D:D,results.txt!$M548)</f>
        <v>8.7140400000000007E-2</v>
      </c>
      <c r="Q548">
        <f>INDEX(script.out!E:E,results.txt!$M548)</f>
        <v>0.35256175074437801</v>
      </c>
      <c r="R548">
        <f>INDEX(script.out!F:F,results.txt!$M548)</f>
        <v>144</v>
      </c>
      <c r="S548">
        <f>INDEX(script.out!G:G,results.txt!$M548)</f>
        <v>4.4353513980108801</v>
      </c>
      <c r="T548" t="str">
        <f>INDEX(script.out!H:H,results.txt!$M548)</f>
        <v>{</v>
      </c>
      <c r="U548">
        <f>INDEX(script.out!I:I,results.txt!$M548)</f>
        <v>0.73544399999999999</v>
      </c>
      <c r="V548">
        <f>INDEX(script.out!J:J,results.txt!$M548)</f>
        <v>88.407499999999999</v>
      </c>
      <c r="W548">
        <f>INDEX(script.out!K:K,results.txt!$M548)</f>
        <v>61.412835999999999</v>
      </c>
      <c r="X548" t="str">
        <f>INDEX(script.out!L:L,results.txt!$M548)</f>
        <v>}</v>
      </c>
      <c r="Y548" t="str">
        <f>INDEX(script.out!M:M,results.txt!$M548)</f>
        <v>{</v>
      </c>
      <c r="Z548">
        <f>INDEX(script.out!N:N,results.txt!$M548)</f>
        <v>10.5937691055826</v>
      </c>
      <c r="AA548">
        <f>INDEX(script.out!O:O,results.txt!$M548)</f>
        <v>20</v>
      </c>
      <c r="AB548">
        <f>INDEX(script.out!P:P,results.txt!$M548)</f>
        <v>8068.7</v>
      </c>
      <c r="AC548" t="str">
        <f>INDEX(script.out!Q:Q,results.txt!$M548)</f>
        <v>}</v>
      </c>
      <c r="AD548">
        <f t="shared" si="8"/>
        <v>2</v>
      </c>
    </row>
    <row r="549" spans="1:30" x14ac:dyDescent="0.25">
      <c r="A549" s="12" t="s">
        <v>5</v>
      </c>
      <c r="B549" s="12">
        <v>-3</v>
      </c>
      <c r="C549" s="12">
        <v>0.93054300000000001</v>
      </c>
      <c r="D549" s="12">
        <v>0.16476299999999999</v>
      </c>
      <c r="E549" s="12">
        <v>0.32097799999999999</v>
      </c>
      <c r="F549" s="12">
        <v>-3</v>
      </c>
      <c r="G549" s="12">
        <v>140.53100000000001</v>
      </c>
      <c r="H549" s="12">
        <v>42.25</v>
      </c>
      <c r="I549" s="12">
        <v>3.80464</v>
      </c>
      <c r="J549" s="12" t="s">
        <v>3</v>
      </c>
      <c r="K549" s="12">
        <v>0</v>
      </c>
      <c r="M549">
        <f>MATCH(C549,script.out!B:B,0)</f>
        <v>909</v>
      </c>
      <c r="N549">
        <f>INDEX(script.out!B:B,results.txt!$M549)</f>
        <v>0.93054300000000001</v>
      </c>
      <c r="O549">
        <f>INDEX(script.out!C:C,results.txt!$M549)</f>
        <v>0.16476299999999999</v>
      </c>
      <c r="P549">
        <f>INDEX(script.out!D:D,results.txt!$M549)</f>
        <v>0.32097799999999999</v>
      </c>
      <c r="Q549">
        <f>INDEX(script.out!E:E,results.txt!$M549)</f>
        <v>140.53072337844901</v>
      </c>
      <c r="R549">
        <f>INDEX(script.out!F:F,results.txt!$M549)</f>
        <v>42.25</v>
      </c>
      <c r="S549">
        <f>INDEX(script.out!G:G,results.txt!$M549)</f>
        <v>3.8046372865453102</v>
      </c>
      <c r="T549" t="str">
        <f>INDEX(script.out!H:H,results.txt!$M549)</f>
        <v>{</v>
      </c>
      <c r="U549">
        <f>INDEX(script.out!I:I,results.txt!$M549)</f>
        <v>1.0444340000000001</v>
      </c>
      <c r="V549">
        <f>INDEX(script.out!J:J,results.txt!$M549)</f>
        <v>182.38149999999999</v>
      </c>
      <c r="W549">
        <f>INDEX(script.out!K:K,results.txt!$M549)</f>
        <v>199.37701999999999</v>
      </c>
      <c r="X549" t="str">
        <f>INDEX(script.out!L:L,results.txt!$M549)</f>
        <v>}</v>
      </c>
      <c r="Y549" t="str">
        <f>INDEX(script.out!M:M,results.txt!$M549)</f>
        <v>{</v>
      </c>
      <c r="Z549">
        <f>INDEX(script.out!N:N,results.txt!$M549)</f>
        <v>21.8545655077885</v>
      </c>
      <c r="AA549">
        <f>INDEX(script.out!O:O,results.txt!$M549)</f>
        <v>14.5</v>
      </c>
      <c r="AB549">
        <f>INDEX(script.out!P:P,results.txt!$M549)</f>
        <v>6588.05</v>
      </c>
      <c r="AC549" t="str">
        <f>INDEX(script.out!Q:Q,results.txt!$M549)</f>
        <v>}</v>
      </c>
      <c r="AD549">
        <f t="shared" si="8"/>
        <v>2</v>
      </c>
    </row>
    <row r="550" spans="1:30" x14ac:dyDescent="0.25">
      <c r="A550" s="12" t="s">
        <v>5</v>
      </c>
      <c r="B550" s="12">
        <v>-3</v>
      </c>
      <c r="C550" s="12">
        <v>1.04057</v>
      </c>
      <c r="D550" s="12">
        <v>1.7361700000000001E-2</v>
      </c>
      <c r="E550" s="12">
        <v>0.59651399999999999</v>
      </c>
      <c r="F550" s="12">
        <v>-3</v>
      </c>
      <c r="G550" s="12">
        <v>9.1391399999999994</v>
      </c>
      <c r="H550" s="12">
        <v>64</v>
      </c>
      <c r="I550" s="12">
        <v>242.643</v>
      </c>
      <c r="J550" s="12" t="s">
        <v>3</v>
      </c>
      <c r="K550" s="12">
        <v>0</v>
      </c>
      <c r="M550">
        <f>MATCH(C550,script.out!B:B,0)</f>
        <v>910</v>
      </c>
      <c r="N550">
        <f>INDEX(script.out!B:B,results.txt!$M550)</f>
        <v>1.04057</v>
      </c>
      <c r="O550">
        <f>INDEX(script.out!C:C,results.txt!$M550)</f>
        <v>1.7361700000000001E-2</v>
      </c>
      <c r="P550">
        <f>INDEX(script.out!D:D,results.txt!$M550)</f>
        <v>0.59651399999999999</v>
      </c>
      <c r="Q550">
        <f>INDEX(script.out!E:E,results.txt!$M550)</f>
        <v>9.1391416696726004</v>
      </c>
      <c r="R550">
        <f>INDEX(script.out!F:F,results.txt!$M550)</f>
        <v>64</v>
      </c>
      <c r="S550">
        <f>INDEX(script.out!G:G,results.txt!$M550)</f>
        <v>242.64250223306399</v>
      </c>
      <c r="T550" t="str">
        <f>INDEX(script.out!H:H,results.txt!$M550)</f>
        <v>{</v>
      </c>
      <c r="U550">
        <f>INDEX(script.out!I:I,results.txt!$M550)</f>
        <v>1.13245</v>
      </c>
      <c r="V550">
        <f>INDEX(script.out!J:J,results.txt!$M550)</f>
        <v>108.68085000000001</v>
      </c>
      <c r="W550">
        <f>INDEX(script.out!K:K,results.txt!$M550)</f>
        <v>361.94326000000001</v>
      </c>
      <c r="X550" t="str">
        <f>INDEX(script.out!L:L,results.txt!$M550)</f>
        <v>}</v>
      </c>
      <c r="Y550" t="str">
        <f>INDEX(script.out!M:M,results.txt!$M550)</f>
        <v>{</v>
      </c>
      <c r="Z550">
        <f>INDEX(script.out!N:N,results.txt!$M550)</f>
        <v>13.0231013330142</v>
      </c>
      <c r="AA550">
        <f>INDEX(script.out!O:O,results.txt!$M550)</f>
        <v>16</v>
      </c>
      <c r="AB550">
        <f>INDEX(script.out!P:P,results.txt!$M550)</f>
        <v>1614.4</v>
      </c>
      <c r="AC550" t="str">
        <f>INDEX(script.out!Q:Q,results.txt!$M550)</f>
        <v>}</v>
      </c>
      <c r="AD550">
        <f t="shared" si="8"/>
        <v>2</v>
      </c>
    </row>
    <row r="551" spans="1:30" x14ac:dyDescent="0.25">
      <c r="A551" s="12" t="s">
        <v>5</v>
      </c>
      <c r="B551" s="12">
        <v>-3</v>
      </c>
      <c r="C551" s="12">
        <v>1.1651899999999999</v>
      </c>
      <c r="D551" s="12">
        <v>-2.8292100000000001E-2</v>
      </c>
      <c r="E551" s="12">
        <v>0.60011700000000001</v>
      </c>
      <c r="F551" s="12">
        <v>-3</v>
      </c>
      <c r="G551" s="12">
        <v>8.2817399999999999E-2</v>
      </c>
      <c r="H551" s="12">
        <v>72.25</v>
      </c>
      <c r="I551" s="12">
        <v>287.10700000000003</v>
      </c>
      <c r="J551" s="12" t="s">
        <v>3</v>
      </c>
      <c r="K551" s="12">
        <v>0</v>
      </c>
      <c r="M551">
        <f>MATCH(C551,script.out!B:B,0)</f>
        <v>913</v>
      </c>
      <c r="N551">
        <f>INDEX(script.out!B:B,results.txt!$M551)</f>
        <v>1.1651899999999999</v>
      </c>
      <c r="O551">
        <f>INDEX(script.out!C:C,results.txt!$M551)</f>
        <v>-2.8292100000000001E-2</v>
      </c>
      <c r="P551">
        <f>INDEX(script.out!D:D,results.txt!$M551)</f>
        <v>0.60011700000000001</v>
      </c>
      <c r="Q551">
        <f>INDEX(script.out!E:E,results.txt!$M551)</f>
        <v>8.2817411420987197E-2</v>
      </c>
      <c r="R551">
        <f>INDEX(script.out!F:F,results.txt!$M551)</f>
        <v>72.25</v>
      </c>
      <c r="S551">
        <f>INDEX(script.out!G:G,results.txt!$M551)</f>
        <v>287.106563554888</v>
      </c>
      <c r="T551" t="str">
        <f>INDEX(script.out!H:H,results.txt!$M551)</f>
        <v>{</v>
      </c>
      <c r="U551">
        <f>INDEX(script.out!I:I,results.txt!$M551)</f>
        <v>1.2321500000000001</v>
      </c>
      <c r="V551">
        <f>INDEX(script.out!J:J,results.txt!$M551)</f>
        <v>85.853949999999998</v>
      </c>
      <c r="W551">
        <f>INDEX(script.out!K:K,results.txt!$M551)</f>
        <v>364.06903</v>
      </c>
      <c r="X551" t="str">
        <f>INDEX(script.out!L:L,results.txt!$M551)</f>
        <v>}</v>
      </c>
      <c r="Y551" t="str">
        <f>INDEX(script.out!M:M,results.txt!$M551)</f>
        <v>{</v>
      </c>
      <c r="Z551">
        <f>INDEX(script.out!N:N,results.txt!$M551)</f>
        <v>10.287780144243801</v>
      </c>
      <c r="AA551">
        <f>INDEX(script.out!O:O,results.txt!$M551)</f>
        <v>16.5</v>
      </c>
      <c r="AB551">
        <f>INDEX(script.out!P:P,results.txt!$M551)</f>
        <v>1115.3599999999999</v>
      </c>
      <c r="AC551" t="str">
        <f>INDEX(script.out!Q:Q,results.txt!$M551)</f>
        <v>}</v>
      </c>
      <c r="AD551">
        <f t="shared" si="8"/>
        <v>2</v>
      </c>
    </row>
    <row r="552" spans="1:30" x14ac:dyDescent="0.25">
      <c r="A552" s="12" t="s">
        <v>5</v>
      </c>
      <c r="B552" s="12">
        <v>-3</v>
      </c>
      <c r="C552" s="12">
        <v>1.0889200000000001</v>
      </c>
      <c r="D552" s="12">
        <v>0.17537900000000001</v>
      </c>
      <c r="E552" s="12">
        <v>0.53934199999999999</v>
      </c>
      <c r="F552" s="12">
        <v>-3</v>
      </c>
      <c r="G552" s="12">
        <v>156.01599999999999</v>
      </c>
      <c r="H552" s="12">
        <v>36</v>
      </c>
      <c r="I552" s="12">
        <v>66.450199999999995</v>
      </c>
      <c r="J552" s="12" t="s">
        <v>3</v>
      </c>
      <c r="K552" s="12">
        <v>0</v>
      </c>
      <c r="M552">
        <f>MATCH(C552,script.out!B:B,0)</f>
        <v>918</v>
      </c>
      <c r="N552">
        <f>INDEX(script.out!B:B,results.txt!$M552)</f>
        <v>1.0889200000000001</v>
      </c>
      <c r="O552">
        <f>INDEX(script.out!C:C,results.txt!$M552)</f>
        <v>0.17537900000000001</v>
      </c>
      <c r="P552">
        <f>INDEX(script.out!D:D,results.txt!$M552)</f>
        <v>0.53934199999999999</v>
      </c>
      <c r="Q552">
        <f>INDEX(script.out!E:E,results.txt!$M552)</f>
        <v>156.01551420338899</v>
      </c>
      <c r="R552">
        <f>INDEX(script.out!F:F,results.txt!$M552)</f>
        <v>36</v>
      </c>
      <c r="S552">
        <f>INDEX(script.out!G:G,results.txt!$M552)</f>
        <v>66.450190556577198</v>
      </c>
      <c r="T552" t="str">
        <f>INDEX(script.out!H:H,results.txt!$M552)</f>
        <v>{</v>
      </c>
      <c r="U552">
        <f>INDEX(script.out!I:I,results.txt!$M552)</f>
        <v>1.17113</v>
      </c>
      <c r="V552">
        <f>INDEX(script.out!J:J,results.txt!$M552)</f>
        <v>187.68950000000001</v>
      </c>
      <c r="W552">
        <f>INDEX(script.out!K:K,results.txt!$M552)</f>
        <v>328.21177999999998</v>
      </c>
      <c r="X552" t="str">
        <f>INDEX(script.out!L:L,results.txt!$M552)</f>
        <v>}</v>
      </c>
      <c r="Y552" t="str">
        <f>INDEX(script.out!M:M,results.txt!$M552)</f>
        <v>{</v>
      </c>
      <c r="Z552">
        <f>INDEX(script.out!N:N,results.txt!$M552)</f>
        <v>22.490617046542901</v>
      </c>
      <c r="AA552">
        <f>INDEX(script.out!O:O,results.txt!$M552)</f>
        <v>14</v>
      </c>
      <c r="AB552">
        <f>INDEX(script.out!P:P,results.txt!$M552)</f>
        <v>4324.63</v>
      </c>
      <c r="AC552" t="str">
        <f>INDEX(script.out!Q:Q,results.txt!$M552)</f>
        <v>}</v>
      </c>
      <c r="AD552">
        <f t="shared" si="8"/>
        <v>2</v>
      </c>
    </row>
    <row r="553" spans="1:30" x14ac:dyDescent="0.25">
      <c r="A553" s="12" t="s">
        <v>5</v>
      </c>
      <c r="B553" s="12">
        <v>-3</v>
      </c>
      <c r="C553" s="12">
        <v>1.03054</v>
      </c>
      <c r="D553" s="12">
        <v>1.22057E-2</v>
      </c>
      <c r="E553" s="12">
        <v>0.62687000000000004</v>
      </c>
      <c r="F553" s="12">
        <v>-3</v>
      </c>
      <c r="G553" s="12">
        <v>7.3667899999999999</v>
      </c>
      <c r="H553" s="12">
        <v>64</v>
      </c>
      <c r="I553" s="12">
        <v>251.80500000000001</v>
      </c>
      <c r="J553" s="12" t="s">
        <v>3</v>
      </c>
      <c r="K553" s="12">
        <v>0</v>
      </c>
      <c r="M553">
        <f>MATCH(C553,script.out!B:B,0)</f>
        <v>921</v>
      </c>
      <c r="N553">
        <f>INDEX(script.out!B:B,results.txt!$M553)</f>
        <v>1.03054</v>
      </c>
      <c r="O553">
        <f>INDEX(script.out!C:C,results.txt!$M553)</f>
        <v>1.22057E-2</v>
      </c>
      <c r="P553">
        <f>INDEX(script.out!D:D,results.txt!$M553)</f>
        <v>0.62687000000000004</v>
      </c>
      <c r="Q553">
        <f>INDEX(script.out!E:E,results.txt!$M553)</f>
        <v>7.3667869488110798</v>
      </c>
      <c r="R553">
        <f>INDEX(script.out!F:F,results.txt!$M553)</f>
        <v>64</v>
      </c>
      <c r="S553">
        <f>INDEX(script.out!G:G,results.txt!$M553)</f>
        <v>251.80472735972899</v>
      </c>
      <c r="T553" t="str">
        <f>INDEX(script.out!H:H,results.txt!$M553)</f>
        <v>{</v>
      </c>
      <c r="U553">
        <f>INDEX(script.out!I:I,results.txt!$M553)</f>
        <v>1.12443</v>
      </c>
      <c r="V553">
        <f>INDEX(script.out!J:J,results.txt!$M553)</f>
        <v>106.10285</v>
      </c>
      <c r="W553">
        <f>INDEX(script.out!K:K,results.txt!$M553)</f>
        <v>379.85329999999999</v>
      </c>
      <c r="X553" t="str">
        <f>INDEX(script.out!L:L,results.txt!$M553)</f>
        <v>}</v>
      </c>
      <c r="Y553" t="str">
        <f>INDEX(script.out!M:M,results.txt!$M553)</f>
        <v>{</v>
      </c>
      <c r="Z553">
        <f>INDEX(script.out!N:N,results.txt!$M553)</f>
        <v>12.714182556279299</v>
      </c>
      <c r="AA553">
        <f>INDEX(script.out!O:O,results.txt!$M553)</f>
        <v>16</v>
      </c>
      <c r="AB553">
        <f>INDEX(script.out!P:P,results.txt!$M553)</f>
        <v>1508.05</v>
      </c>
      <c r="AC553" t="str">
        <f>INDEX(script.out!Q:Q,results.txt!$M553)</f>
        <v>}</v>
      </c>
      <c r="AD553">
        <f t="shared" si="8"/>
        <v>2</v>
      </c>
    </row>
    <row r="554" spans="1:30" x14ac:dyDescent="0.25">
      <c r="A554" s="12" t="s">
        <v>5</v>
      </c>
      <c r="B554" s="12">
        <v>-3</v>
      </c>
      <c r="C554" s="12">
        <v>1.15981</v>
      </c>
      <c r="D554" s="12">
        <v>0.24931400000000001</v>
      </c>
      <c r="E554" s="12">
        <v>0.50706200000000001</v>
      </c>
      <c r="F554" s="12">
        <v>-3</v>
      </c>
      <c r="G554" s="12">
        <v>286.3</v>
      </c>
      <c r="H554" s="12">
        <v>30.25</v>
      </c>
      <c r="I554" s="12">
        <v>33.745899999999999</v>
      </c>
      <c r="J554" s="12" t="s">
        <v>3</v>
      </c>
      <c r="K554" s="12">
        <v>0</v>
      </c>
      <c r="M554">
        <f>MATCH(C554,script.out!B:B,0)</f>
        <v>923</v>
      </c>
      <c r="N554">
        <f>INDEX(script.out!B:B,results.txt!$M554)</f>
        <v>1.15981</v>
      </c>
      <c r="O554">
        <f>INDEX(script.out!C:C,results.txt!$M554)</f>
        <v>0.24931400000000001</v>
      </c>
      <c r="P554">
        <f>INDEX(script.out!D:D,results.txt!$M554)</f>
        <v>0.50706200000000001</v>
      </c>
      <c r="Q554">
        <f>INDEX(script.out!E:E,results.txt!$M554)</f>
        <v>286.299600442241</v>
      </c>
      <c r="R554">
        <f>INDEX(script.out!F:F,results.txt!$M554)</f>
        <v>30.25</v>
      </c>
      <c r="S554">
        <f>INDEX(script.out!G:G,results.txt!$M554)</f>
        <v>33.745913371364203</v>
      </c>
      <c r="T554" t="str">
        <f>INDEX(script.out!H:H,results.txt!$M554)</f>
        <v>{</v>
      </c>
      <c r="U554">
        <f>INDEX(script.out!I:I,results.txt!$M554)</f>
        <v>1.22784</v>
      </c>
      <c r="V554">
        <f>INDEX(script.out!J:J,results.txt!$M554)</f>
        <v>224.65700000000001</v>
      </c>
      <c r="W554">
        <f>INDEX(script.out!K:K,results.txt!$M554)</f>
        <v>309.16658000000001</v>
      </c>
      <c r="X554" t="str">
        <f>INDEX(script.out!L:L,results.txt!$M554)</f>
        <v>}</v>
      </c>
      <c r="Y554" t="str">
        <f>INDEX(script.out!M:M,results.txt!$M554)</f>
        <v>{</v>
      </c>
      <c r="Z554">
        <f>INDEX(script.out!N:N,results.txt!$M554)</f>
        <v>26.920390079493998</v>
      </c>
      <c r="AA554">
        <f>INDEX(script.out!O:O,results.txt!$M554)</f>
        <v>13.5</v>
      </c>
      <c r="AB554">
        <f>INDEX(script.out!P:P,results.txt!$M554)</f>
        <v>5179.67</v>
      </c>
      <c r="AC554" t="str">
        <f>INDEX(script.out!Q:Q,results.txt!$M554)</f>
        <v>}</v>
      </c>
      <c r="AD554">
        <f t="shared" si="8"/>
        <v>2</v>
      </c>
    </row>
    <row r="555" spans="1:30" x14ac:dyDescent="0.25">
      <c r="A555" s="12" t="s">
        <v>36</v>
      </c>
      <c r="B555" s="12">
        <v>-3</v>
      </c>
      <c r="C555" s="12">
        <v>0.29924800000000001</v>
      </c>
      <c r="D555" s="12">
        <v>-3.3107200000000003E-2</v>
      </c>
      <c r="E555" s="12">
        <v>0.48025099999999998</v>
      </c>
      <c r="F555" s="12">
        <v>-3</v>
      </c>
      <c r="G555" s="13">
        <v>5.09517E-7</v>
      </c>
      <c r="H555" s="12">
        <v>144</v>
      </c>
      <c r="I555" s="12">
        <v>214.59399999999999</v>
      </c>
      <c r="J555" s="12" t="s">
        <v>3</v>
      </c>
      <c r="K555" s="12">
        <v>0</v>
      </c>
      <c r="M555" t="e">
        <f>MATCH(C555,script.out!B:B,0)</f>
        <v>#N/A</v>
      </c>
      <c r="N555" t="e">
        <f>INDEX(script.out!B:B,results.txt!$M555)</f>
        <v>#N/A</v>
      </c>
      <c r="O555" t="e">
        <f>INDEX(script.out!C:C,results.txt!$M555)</f>
        <v>#N/A</v>
      </c>
      <c r="P555" t="e">
        <f>INDEX(script.out!D:D,results.txt!$M555)</f>
        <v>#N/A</v>
      </c>
      <c r="Q555" t="e">
        <f>INDEX(script.out!E:E,results.txt!$M555)</f>
        <v>#N/A</v>
      </c>
      <c r="R555" t="e">
        <f>INDEX(script.out!F:F,results.txt!$M555)</f>
        <v>#N/A</v>
      </c>
      <c r="S555" t="e">
        <f>INDEX(script.out!G:G,results.txt!$M555)</f>
        <v>#N/A</v>
      </c>
      <c r="T555" t="e">
        <f>INDEX(script.out!H:H,results.txt!$M555)</f>
        <v>#N/A</v>
      </c>
      <c r="U555" t="e">
        <f>INDEX(script.out!I:I,results.txt!$M555)</f>
        <v>#N/A</v>
      </c>
      <c r="V555" t="e">
        <f>INDEX(script.out!J:J,results.txt!$M555)</f>
        <v>#N/A</v>
      </c>
      <c r="W555" t="e">
        <f>INDEX(script.out!K:K,results.txt!$M555)</f>
        <v>#N/A</v>
      </c>
      <c r="X555" t="e">
        <f>INDEX(script.out!L:L,results.txt!$M555)</f>
        <v>#N/A</v>
      </c>
      <c r="Y555" t="e">
        <f>INDEX(script.out!M:M,results.txt!$M555)</f>
        <v>#N/A</v>
      </c>
      <c r="Z555" t="e">
        <f>INDEX(script.out!N:N,results.txt!$M555)</f>
        <v>#N/A</v>
      </c>
      <c r="AA555" t="e">
        <f>INDEX(script.out!O:O,results.txt!$M555)</f>
        <v>#N/A</v>
      </c>
      <c r="AB555" t="e">
        <f>INDEX(script.out!P:P,results.txt!$M555)</f>
        <v>#N/A</v>
      </c>
      <c r="AC555" t="e">
        <f>INDEX(script.out!Q:Q,results.txt!$M555)</f>
        <v>#N/A</v>
      </c>
      <c r="AD555">
        <f t="shared" ref="AD555:AD618" si="9">IF(A555="all",1)+IF(A555="nonDominatedFront",2)</f>
        <v>0</v>
      </c>
    </row>
    <row r="556" spans="1:30" x14ac:dyDescent="0.25">
      <c r="A556" s="12" t="s">
        <v>36</v>
      </c>
      <c r="B556" s="12">
        <v>-3</v>
      </c>
      <c r="C556" s="12">
        <v>0.21041199999999999</v>
      </c>
      <c r="D556" s="12">
        <v>9.7856200000000004E-2</v>
      </c>
      <c r="E556" s="12">
        <v>0.18779199999999999</v>
      </c>
      <c r="F556" s="12">
        <v>-3</v>
      </c>
      <c r="G556" s="13">
        <v>61.557899999999997</v>
      </c>
      <c r="H556" s="12">
        <v>90.25</v>
      </c>
      <c r="I556" s="12">
        <v>1.4730599999999999E-4</v>
      </c>
      <c r="J556" s="12" t="s">
        <v>3</v>
      </c>
      <c r="K556" s="12">
        <v>0</v>
      </c>
      <c r="M556" t="e">
        <f>MATCH(C556,script.out!B:B,0)</f>
        <v>#N/A</v>
      </c>
      <c r="N556" t="e">
        <f>INDEX(script.out!B:B,results.txt!$M556)</f>
        <v>#N/A</v>
      </c>
      <c r="O556" t="e">
        <f>INDEX(script.out!C:C,results.txt!$M556)</f>
        <v>#N/A</v>
      </c>
      <c r="P556" t="e">
        <f>INDEX(script.out!D:D,results.txt!$M556)</f>
        <v>#N/A</v>
      </c>
      <c r="Q556" t="e">
        <f>INDEX(script.out!E:E,results.txt!$M556)</f>
        <v>#N/A</v>
      </c>
      <c r="R556" t="e">
        <f>INDEX(script.out!F:F,results.txt!$M556)</f>
        <v>#N/A</v>
      </c>
      <c r="S556" t="e">
        <f>INDEX(script.out!G:G,results.txt!$M556)</f>
        <v>#N/A</v>
      </c>
      <c r="T556" t="e">
        <f>INDEX(script.out!H:H,results.txt!$M556)</f>
        <v>#N/A</v>
      </c>
      <c r="U556" t="e">
        <f>INDEX(script.out!I:I,results.txt!$M556)</f>
        <v>#N/A</v>
      </c>
      <c r="V556" t="e">
        <f>INDEX(script.out!J:J,results.txt!$M556)</f>
        <v>#N/A</v>
      </c>
      <c r="W556" t="e">
        <f>INDEX(script.out!K:K,results.txt!$M556)</f>
        <v>#N/A</v>
      </c>
      <c r="X556" t="e">
        <f>INDEX(script.out!L:L,results.txt!$M556)</f>
        <v>#N/A</v>
      </c>
      <c r="Y556" t="e">
        <f>INDEX(script.out!M:M,results.txt!$M556)</f>
        <v>#N/A</v>
      </c>
      <c r="Z556" t="e">
        <f>INDEX(script.out!N:N,results.txt!$M556)</f>
        <v>#N/A</v>
      </c>
      <c r="AA556" t="e">
        <f>INDEX(script.out!O:O,results.txt!$M556)</f>
        <v>#N/A</v>
      </c>
      <c r="AB556" t="e">
        <f>INDEX(script.out!P:P,results.txt!$M556)</f>
        <v>#N/A</v>
      </c>
      <c r="AC556" t="e">
        <f>INDEX(script.out!Q:Q,results.txt!$M556)</f>
        <v>#N/A</v>
      </c>
      <c r="AD556">
        <f t="shared" si="9"/>
        <v>0</v>
      </c>
    </row>
    <row r="557" spans="1:30" x14ac:dyDescent="0.25">
      <c r="A557" s="12" t="s">
        <v>36</v>
      </c>
      <c r="B557" s="12">
        <v>-3</v>
      </c>
      <c r="C557" s="12">
        <v>0.27617000000000003</v>
      </c>
      <c r="D557" s="12">
        <v>-3.1364999999999997E-2</v>
      </c>
      <c r="E557" s="12">
        <v>0.428589</v>
      </c>
      <c r="F557" s="12">
        <v>-3</v>
      </c>
      <c r="G557" s="12">
        <v>1.07473E-2</v>
      </c>
      <c r="H557" s="12">
        <v>132.25</v>
      </c>
      <c r="I557" s="12">
        <v>202.4</v>
      </c>
      <c r="J557" s="12" t="s">
        <v>3</v>
      </c>
      <c r="K557" s="12">
        <v>0</v>
      </c>
      <c r="M557" t="e">
        <f>MATCH(C557,script.out!B:B,0)</f>
        <v>#N/A</v>
      </c>
      <c r="N557" t="e">
        <f>INDEX(script.out!B:B,results.txt!$M557)</f>
        <v>#N/A</v>
      </c>
      <c r="O557" t="e">
        <f>INDEX(script.out!C:C,results.txt!$M557)</f>
        <v>#N/A</v>
      </c>
      <c r="P557" t="e">
        <f>INDEX(script.out!D:D,results.txt!$M557)</f>
        <v>#N/A</v>
      </c>
      <c r="Q557" t="e">
        <f>INDEX(script.out!E:E,results.txt!$M557)</f>
        <v>#N/A</v>
      </c>
      <c r="R557" t="e">
        <f>INDEX(script.out!F:F,results.txt!$M557)</f>
        <v>#N/A</v>
      </c>
      <c r="S557" t="e">
        <f>INDEX(script.out!G:G,results.txt!$M557)</f>
        <v>#N/A</v>
      </c>
      <c r="T557" t="e">
        <f>INDEX(script.out!H:H,results.txt!$M557)</f>
        <v>#N/A</v>
      </c>
      <c r="U557" t="e">
        <f>INDEX(script.out!I:I,results.txt!$M557)</f>
        <v>#N/A</v>
      </c>
      <c r="V557" t="e">
        <f>INDEX(script.out!J:J,results.txt!$M557)</f>
        <v>#N/A</v>
      </c>
      <c r="W557" t="e">
        <f>INDEX(script.out!K:K,results.txt!$M557)</f>
        <v>#N/A</v>
      </c>
      <c r="X557" t="e">
        <f>INDEX(script.out!L:L,results.txt!$M557)</f>
        <v>#N/A</v>
      </c>
      <c r="Y557" t="e">
        <f>INDEX(script.out!M:M,results.txt!$M557)</f>
        <v>#N/A</v>
      </c>
      <c r="Z557" t="e">
        <f>INDEX(script.out!N:N,results.txt!$M557)</f>
        <v>#N/A</v>
      </c>
      <c r="AA557" t="e">
        <f>INDEX(script.out!O:O,results.txt!$M557)</f>
        <v>#N/A</v>
      </c>
      <c r="AB557" t="e">
        <f>INDEX(script.out!P:P,results.txt!$M557)</f>
        <v>#N/A</v>
      </c>
      <c r="AC557" t="e">
        <f>INDEX(script.out!Q:Q,results.txt!$M557)</f>
        <v>#N/A</v>
      </c>
      <c r="AD557">
        <f t="shared" si="9"/>
        <v>0</v>
      </c>
    </row>
    <row r="558" spans="1:30" x14ac:dyDescent="0.25">
      <c r="A558" s="12" t="s">
        <v>36</v>
      </c>
      <c r="B558" s="12">
        <v>-3</v>
      </c>
      <c r="C558" s="12">
        <v>0.163518</v>
      </c>
      <c r="D558" s="12">
        <v>-3.15538E-2</v>
      </c>
      <c r="E558" s="12">
        <v>0.166688</v>
      </c>
      <c r="F558" s="12">
        <v>-3</v>
      </c>
      <c r="G558" s="12">
        <v>8.5298600000000002E-3</v>
      </c>
      <c r="H558" s="12">
        <v>144</v>
      </c>
      <c r="I558" s="12">
        <v>85.587299999999999</v>
      </c>
      <c r="J558" s="12" t="s">
        <v>3</v>
      </c>
      <c r="K558" s="12">
        <v>0</v>
      </c>
      <c r="M558" t="e">
        <f>MATCH(C558,script.out!B:B,0)</f>
        <v>#N/A</v>
      </c>
      <c r="N558" t="e">
        <f>INDEX(script.out!B:B,results.txt!$M558)</f>
        <v>#N/A</v>
      </c>
      <c r="O558" t="e">
        <f>INDEX(script.out!C:C,results.txt!$M558)</f>
        <v>#N/A</v>
      </c>
      <c r="P558" t="e">
        <f>INDEX(script.out!D:D,results.txt!$M558)</f>
        <v>#N/A</v>
      </c>
      <c r="Q558" t="e">
        <f>INDEX(script.out!E:E,results.txt!$M558)</f>
        <v>#N/A</v>
      </c>
      <c r="R558" t="e">
        <f>INDEX(script.out!F:F,results.txt!$M558)</f>
        <v>#N/A</v>
      </c>
      <c r="S558" t="e">
        <f>INDEX(script.out!G:G,results.txt!$M558)</f>
        <v>#N/A</v>
      </c>
      <c r="T558" t="e">
        <f>INDEX(script.out!H:H,results.txt!$M558)</f>
        <v>#N/A</v>
      </c>
      <c r="U558" t="e">
        <f>INDEX(script.out!I:I,results.txt!$M558)</f>
        <v>#N/A</v>
      </c>
      <c r="V558" t="e">
        <f>INDEX(script.out!J:J,results.txt!$M558)</f>
        <v>#N/A</v>
      </c>
      <c r="W558" t="e">
        <f>INDEX(script.out!K:K,results.txt!$M558)</f>
        <v>#N/A</v>
      </c>
      <c r="X558" t="e">
        <f>INDEX(script.out!L:L,results.txt!$M558)</f>
        <v>#N/A</v>
      </c>
      <c r="Y558" t="e">
        <f>INDEX(script.out!M:M,results.txt!$M558)</f>
        <v>#N/A</v>
      </c>
      <c r="Z558" t="e">
        <f>INDEX(script.out!N:N,results.txt!$M558)</f>
        <v>#N/A</v>
      </c>
      <c r="AA558" t="e">
        <f>INDEX(script.out!O:O,results.txt!$M558)</f>
        <v>#N/A</v>
      </c>
      <c r="AB558" t="e">
        <f>INDEX(script.out!P:P,results.txt!$M558)</f>
        <v>#N/A</v>
      </c>
      <c r="AC558" t="e">
        <f>INDEX(script.out!Q:Q,results.txt!$M558)</f>
        <v>#N/A</v>
      </c>
      <c r="AD558">
        <f t="shared" si="9"/>
        <v>0</v>
      </c>
    </row>
    <row r="559" spans="1:30" x14ac:dyDescent="0.25">
      <c r="A559" s="12" t="s">
        <v>36</v>
      </c>
      <c r="B559" s="12">
        <v>-3</v>
      </c>
      <c r="C559" s="12">
        <v>0.27349400000000001</v>
      </c>
      <c r="D559" s="12">
        <v>-2.9712100000000002E-2</v>
      </c>
      <c r="E559" s="12">
        <v>0.42296099999999998</v>
      </c>
      <c r="F559" s="12">
        <v>-3</v>
      </c>
      <c r="G559" s="12">
        <v>4.1088E-2</v>
      </c>
      <c r="H559" s="12">
        <v>132.25</v>
      </c>
      <c r="I559" s="12">
        <v>198.87200000000001</v>
      </c>
      <c r="J559" s="12" t="s">
        <v>3</v>
      </c>
      <c r="K559" s="12">
        <v>0</v>
      </c>
      <c r="M559" t="e">
        <f>MATCH(C559,script.out!B:B,0)</f>
        <v>#N/A</v>
      </c>
      <c r="N559" t="e">
        <f>INDEX(script.out!B:B,results.txt!$M559)</f>
        <v>#N/A</v>
      </c>
      <c r="O559" t="e">
        <f>INDEX(script.out!C:C,results.txt!$M559)</f>
        <v>#N/A</v>
      </c>
      <c r="P559" t="e">
        <f>INDEX(script.out!D:D,results.txt!$M559)</f>
        <v>#N/A</v>
      </c>
      <c r="Q559" t="e">
        <f>INDEX(script.out!E:E,results.txt!$M559)</f>
        <v>#N/A</v>
      </c>
      <c r="R559" t="e">
        <f>INDEX(script.out!F:F,results.txt!$M559)</f>
        <v>#N/A</v>
      </c>
      <c r="S559" t="e">
        <f>INDEX(script.out!G:G,results.txt!$M559)</f>
        <v>#N/A</v>
      </c>
      <c r="T559" t="e">
        <f>INDEX(script.out!H:H,results.txt!$M559)</f>
        <v>#N/A</v>
      </c>
      <c r="U559" t="e">
        <f>INDEX(script.out!I:I,results.txt!$M559)</f>
        <v>#N/A</v>
      </c>
      <c r="V559" t="e">
        <f>INDEX(script.out!J:J,results.txt!$M559)</f>
        <v>#N/A</v>
      </c>
      <c r="W559" t="e">
        <f>INDEX(script.out!K:K,results.txt!$M559)</f>
        <v>#N/A</v>
      </c>
      <c r="X559" t="e">
        <f>INDEX(script.out!L:L,results.txt!$M559)</f>
        <v>#N/A</v>
      </c>
      <c r="Y559" t="e">
        <f>INDEX(script.out!M:M,results.txt!$M559)</f>
        <v>#N/A</v>
      </c>
      <c r="Z559" t="e">
        <f>INDEX(script.out!N:N,results.txt!$M559)</f>
        <v>#N/A</v>
      </c>
      <c r="AA559" t="e">
        <f>INDEX(script.out!O:O,results.txt!$M559)</f>
        <v>#N/A</v>
      </c>
      <c r="AB559" t="e">
        <f>INDEX(script.out!P:P,results.txt!$M559)</f>
        <v>#N/A</v>
      </c>
      <c r="AC559" t="e">
        <f>INDEX(script.out!Q:Q,results.txt!$M559)</f>
        <v>#N/A</v>
      </c>
      <c r="AD559">
        <f t="shared" si="9"/>
        <v>0</v>
      </c>
    </row>
    <row r="560" spans="1:30" x14ac:dyDescent="0.25">
      <c r="A560" s="12" t="s">
        <v>36</v>
      </c>
      <c r="B560" s="12">
        <v>-3</v>
      </c>
      <c r="C560" s="12">
        <v>0.15789</v>
      </c>
      <c r="D560" s="12">
        <v>6.3966999999999996E-2</v>
      </c>
      <c r="E560" s="12">
        <v>0.136075</v>
      </c>
      <c r="F560" s="12">
        <v>-3</v>
      </c>
      <c r="G560" s="12">
        <v>33.819200000000002</v>
      </c>
      <c r="H560" s="12">
        <v>90.25</v>
      </c>
      <c r="I560" s="12">
        <v>0.11262</v>
      </c>
      <c r="J560" s="12" t="s">
        <v>3</v>
      </c>
      <c r="K560" s="12">
        <v>0</v>
      </c>
      <c r="M560">
        <f>MATCH(C560,script.out!B:B,0)</f>
        <v>163</v>
      </c>
      <c r="N560">
        <f>INDEX(script.out!B:B,results.txt!$M560)</f>
        <v>0.15789</v>
      </c>
      <c r="O560">
        <f>INDEX(script.out!C:C,results.txt!$M560)</f>
        <v>6.3966999999999996E-2</v>
      </c>
      <c r="P560">
        <f>INDEX(script.out!D:D,results.txt!$M560)</f>
        <v>0.136075</v>
      </c>
      <c r="Q560">
        <f>INDEX(script.out!E:E,results.txt!$M560)</f>
        <v>33.819238849037397</v>
      </c>
      <c r="R560">
        <f>INDEX(script.out!F:F,results.txt!$M560)</f>
        <v>90.25</v>
      </c>
      <c r="S560">
        <f>INDEX(script.out!G:G,results.txt!$M560)</f>
        <v>0.112620004503659</v>
      </c>
      <c r="T560" t="str">
        <f>INDEX(script.out!H:H,results.txt!$M560)</f>
        <v>{</v>
      </c>
      <c r="U560">
        <f>INDEX(script.out!I:I,results.txt!$M560)</f>
        <v>0.42631000000000002</v>
      </c>
      <c r="V560">
        <f>INDEX(script.out!J:J,results.txt!$M560)</f>
        <v>131.98349999999999</v>
      </c>
      <c r="W560">
        <f>INDEX(script.out!K:K,results.txt!$M560)</f>
        <v>90.28425</v>
      </c>
      <c r="X560" t="str">
        <f>INDEX(script.out!L:L,results.txt!$M560)</f>
        <v>}</v>
      </c>
      <c r="Y560" t="str">
        <f>INDEX(script.out!M:M,results.txt!$M560)</f>
        <v>{</v>
      </c>
      <c r="Z560">
        <f>INDEX(script.out!N:N,results.txt!$M560)</f>
        <v>15.815431097436999</v>
      </c>
      <c r="AA560">
        <f>INDEX(script.out!O:O,results.txt!$M560)</f>
        <v>17.5</v>
      </c>
      <c r="AB560">
        <f>INDEX(script.out!P:P,results.txt!$M560)</f>
        <v>7177.51</v>
      </c>
      <c r="AC560" t="str">
        <f>INDEX(script.out!Q:Q,results.txt!$M560)</f>
        <v>}</v>
      </c>
      <c r="AD560">
        <f t="shared" si="9"/>
        <v>0</v>
      </c>
    </row>
    <row r="561" spans="1:30" x14ac:dyDescent="0.25">
      <c r="A561" s="12" t="s">
        <v>36</v>
      </c>
      <c r="B561" s="12">
        <v>-3</v>
      </c>
      <c r="C561" s="12">
        <v>9.0392100000000003E-2</v>
      </c>
      <c r="D561" s="12">
        <v>4.2994900000000003E-2</v>
      </c>
      <c r="E561" s="12">
        <v>0.19017999999999999</v>
      </c>
      <c r="F561" s="12">
        <v>-3</v>
      </c>
      <c r="G561" s="12">
        <v>20.7836</v>
      </c>
      <c r="H561" s="12">
        <v>90.25</v>
      </c>
      <c r="I561" s="12">
        <v>56.951999999999998</v>
      </c>
      <c r="J561" s="12" t="s">
        <v>3</v>
      </c>
      <c r="K561" s="12">
        <v>0</v>
      </c>
      <c r="M561">
        <f>MATCH(C561,script.out!B:B,0)</f>
        <v>272</v>
      </c>
      <c r="N561">
        <f>INDEX(script.out!B:B,results.txt!$M561)</f>
        <v>9.0392100000000003E-2</v>
      </c>
      <c r="O561">
        <f>INDEX(script.out!C:C,results.txt!$M561)</f>
        <v>4.2994900000000003E-2</v>
      </c>
      <c r="P561">
        <f>INDEX(script.out!D:D,results.txt!$M561)</f>
        <v>0.19017999999999999</v>
      </c>
      <c r="Q561">
        <f>INDEX(script.out!E:E,results.txt!$M561)</f>
        <v>20.7835671954949</v>
      </c>
      <c r="R561">
        <f>INDEX(script.out!F:F,results.txt!$M561)</f>
        <v>90.25</v>
      </c>
      <c r="S561">
        <f>INDEX(script.out!G:G,results.txt!$M561)</f>
        <v>56.952039939200603</v>
      </c>
      <c r="T561" t="str">
        <f>INDEX(script.out!H:H,results.txt!$M561)</f>
        <v>{</v>
      </c>
      <c r="U561">
        <f>INDEX(script.out!I:I,results.txt!$M561)</f>
        <v>0.37231360000000002</v>
      </c>
      <c r="V561">
        <f>INDEX(script.out!J:J,results.txt!$M561)</f>
        <v>121.49745</v>
      </c>
      <c r="W561">
        <f>INDEX(script.out!K:K,results.txt!$M561)</f>
        <v>122.2062</v>
      </c>
      <c r="X561" t="str">
        <f>INDEX(script.out!L:L,results.txt!$M561)</f>
        <v>}</v>
      </c>
      <c r="Y561" t="str">
        <f>INDEX(script.out!M:M,results.txt!$M561)</f>
        <v>{</v>
      </c>
      <c r="Z561">
        <f>INDEX(script.out!N:N,results.txt!$M561)</f>
        <v>14.558899779057899</v>
      </c>
      <c r="AA561">
        <f>INDEX(script.out!O:O,results.txt!$M561)</f>
        <v>17.5</v>
      </c>
      <c r="AB561">
        <f>INDEX(script.out!P:P,results.txt!$M561)</f>
        <v>4545.47</v>
      </c>
      <c r="AC561" t="str">
        <f>INDEX(script.out!Q:Q,results.txt!$M561)</f>
        <v>}</v>
      </c>
      <c r="AD561">
        <f t="shared" si="9"/>
        <v>0</v>
      </c>
    </row>
    <row r="562" spans="1:30" x14ac:dyDescent="0.25">
      <c r="A562" s="12" t="s">
        <v>36</v>
      </c>
      <c r="B562" s="12">
        <v>-3</v>
      </c>
      <c r="C562" s="12">
        <v>0.162244</v>
      </c>
      <c r="D562" s="12">
        <v>-3.34326E-2</v>
      </c>
      <c r="E562" s="12">
        <v>0.18544099999999999</v>
      </c>
      <c r="F562" s="12">
        <v>-3</v>
      </c>
      <c r="G562" s="12">
        <v>4.0844200000000002E-4</v>
      </c>
      <c r="H562" s="12">
        <v>144</v>
      </c>
      <c r="I562" s="12">
        <v>103.658</v>
      </c>
      <c r="J562" s="12" t="s">
        <v>3</v>
      </c>
      <c r="K562" s="12">
        <v>0</v>
      </c>
      <c r="M562">
        <f>MATCH(C562,script.out!B:B,0)</f>
        <v>300</v>
      </c>
      <c r="N562">
        <f>INDEX(script.out!B:B,results.txt!$M562)</f>
        <v>0.162244</v>
      </c>
      <c r="O562">
        <f>INDEX(script.out!C:C,results.txt!$M562)</f>
        <v>-3.34326E-2</v>
      </c>
      <c r="P562">
        <f>INDEX(script.out!D:D,results.txt!$M562)</f>
        <v>0.18544099999999999</v>
      </c>
      <c r="Q562">
        <f>INDEX(script.out!E:E,results.txt!$M562)</f>
        <v>4.0844243871109498E-4</v>
      </c>
      <c r="R562">
        <f>INDEX(script.out!F:F,results.txt!$M562)</f>
        <v>144</v>
      </c>
      <c r="S562">
        <f>INDEX(script.out!G:G,results.txt!$M562)</f>
        <v>103.657502889848</v>
      </c>
      <c r="T562" t="str">
        <f>INDEX(script.out!H:H,results.txt!$M562)</f>
        <v>{</v>
      </c>
      <c r="U562">
        <f>INDEX(script.out!I:I,results.txt!$M562)</f>
        <v>0.42979499999999998</v>
      </c>
      <c r="V562">
        <f>INDEX(script.out!J:J,results.txt!$M562)</f>
        <v>83.283699999999996</v>
      </c>
      <c r="W562">
        <f>INDEX(script.out!K:K,results.txt!$M562)</f>
        <v>119.41019</v>
      </c>
      <c r="X562" t="str">
        <f>INDEX(script.out!L:L,results.txt!$M562)</f>
        <v>}</v>
      </c>
      <c r="Y562" t="str">
        <f>INDEX(script.out!M:M,results.txt!$M562)</f>
        <v>{</v>
      </c>
      <c r="Z562">
        <f>INDEX(script.out!N:N,results.txt!$M562)</f>
        <v>9.9797900411006992</v>
      </c>
      <c r="AA562">
        <f>INDEX(script.out!O:O,results.txt!$M562)</f>
        <v>20</v>
      </c>
      <c r="AB562">
        <f>INDEX(script.out!P:P,results.txt!$M562)</f>
        <v>3583.85</v>
      </c>
      <c r="AC562" t="str">
        <f>INDEX(script.out!Q:Q,results.txt!$M562)</f>
        <v>}</v>
      </c>
      <c r="AD562">
        <f t="shared" si="9"/>
        <v>0</v>
      </c>
    </row>
    <row r="563" spans="1:30" x14ac:dyDescent="0.25">
      <c r="A563" s="12" t="s">
        <v>36</v>
      </c>
      <c r="B563" s="12">
        <v>-3</v>
      </c>
      <c r="C563" s="12">
        <v>7.9056799999999997E-2</v>
      </c>
      <c r="D563" s="12">
        <v>8.1458799999999994E-3</v>
      </c>
      <c r="E563" s="12">
        <v>5.9854200000000003E-2</v>
      </c>
      <c r="F563" s="12">
        <v>-3</v>
      </c>
      <c r="G563" s="12">
        <v>6.10555</v>
      </c>
      <c r="H563" s="12">
        <v>121</v>
      </c>
      <c r="I563" s="12">
        <v>4.7760800000000003</v>
      </c>
      <c r="J563" s="12" t="s">
        <v>3</v>
      </c>
      <c r="K563" s="12">
        <v>0</v>
      </c>
      <c r="M563">
        <f>MATCH(C563,script.out!B:B,0)</f>
        <v>523</v>
      </c>
      <c r="N563">
        <f>INDEX(script.out!B:B,results.txt!$M563)</f>
        <v>7.9056799999999997E-2</v>
      </c>
      <c r="O563">
        <f>INDEX(script.out!C:C,results.txt!$M563)</f>
        <v>8.1458799999999994E-3</v>
      </c>
      <c r="P563">
        <f>INDEX(script.out!D:D,results.txt!$M563)</f>
        <v>5.9854200000000003E-2</v>
      </c>
      <c r="Q563">
        <f>INDEX(script.out!E:E,results.txt!$M563)</f>
        <v>6.1055483098314101</v>
      </c>
      <c r="R563">
        <f>INDEX(script.out!F:F,results.txt!$M563)</f>
        <v>121</v>
      </c>
      <c r="S563">
        <f>INDEX(script.out!G:G,results.txt!$M563)</f>
        <v>4.7760809337586698</v>
      </c>
      <c r="T563" t="str">
        <f>INDEX(script.out!H:H,results.txt!$M563)</f>
        <v>{</v>
      </c>
      <c r="U563">
        <f>INDEX(script.out!I:I,results.txt!$M563)</f>
        <v>0.3632454</v>
      </c>
      <c r="V563">
        <f>INDEX(script.out!J:J,results.txt!$M563)</f>
        <v>104.07294</v>
      </c>
      <c r="W563">
        <f>INDEX(script.out!K:K,results.txt!$M563)</f>
        <v>45.313977999999999</v>
      </c>
      <c r="X563" t="str">
        <f>INDEX(script.out!L:L,results.txt!$M563)</f>
        <v>}</v>
      </c>
      <c r="Y563" t="str">
        <f>INDEX(script.out!M:M,results.txt!$M563)</f>
        <v>{</v>
      </c>
      <c r="Z563">
        <f>INDEX(script.out!N:N,results.txt!$M563)</f>
        <v>12.4709407742459</v>
      </c>
      <c r="AA563">
        <f>INDEX(script.out!O:O,results.txt!$M563)</f>
        <v>19</v>
      </c>
      <c r="AB563">
        <f>INDEX(script.out!P:P,results.txt!$M563)</f>
        <v>8097.68</v>
      </c>
      <c r="AC563" t="str">
        <f>INDEX(script.out!Q:Q,results.txt!$M563)</f>
        <v>}</v>
      </c>
      <c r="AD563">
        <f t="shared" si="9"/>
        <v>0</v>
      </c>
    </row>
    <row r="564" spans="1:30" x14ac:dyDescent="0.25">
      <c r="A564" s="12" t="s">
        <v>36</v>
      </c>
      <c r="B564" s="12">
        <v>-3</v>
      </c>
      <c r="C564" s="12">
        <v>0.121097</v>
      </c>
      <c r="D564" s="12">
        <v>-2.8728400000000001E-2</v>
      </c>
      <c r="E564" s="12">
        <v>0.222551</v>
      </c>
      <c r="F564" s="12">
        <v>-3</v>
      </c>
      <c r="G564" s="12">
        <v>6.8455199999999994E-2</v>
      </c>
      <c r="H564" s="12">
        <v>132.25</v>
      </c>
      <c r="I564" s="12">
        <v>137.191</v>
      </c>
      <c r="J564" s="12" t="s">
        <v>3</v>
      </c>
      <c r="K564" s="12">
        <v>0</v>
      </c>
      <c r="M564">
        <f>MATCH(C564,script.out!B:B,0)</f>
        <v>545</v>
      </c>
      <c r="N564">
        <f>INDEX(script.out!B:B,results.txt!$M564)</f>
        <v>0.121097</v>
      </c>
      <c r="O564">
        <f>INDEX(script.out!C:C,results.txt!$M564)</f>
        <v>-2.8728400000000001E-2</v>
      </c>
      <c r="P564">
        <f>INDEX(script.out!D:D,results.txt!$M564)</f>
        <v>0.222551</v>
      </c>
      <c r="Q564">
        <f>INDEX(script.out!E:E,results.txt!$M564)</f>
        <v>6.8455217753633904E-2</v>
      </c>
      <c r="R564">
        <f>INDEX(script.out!F:F,results.txt!$M564)</f>
        <v>132.25</v>
      </c>
      <c r="S564">
        <f>INDEX(script.out!G:G,results.txt!$M564)</f>
        <v>137.19083907749999</v>
      </c>
      <c r="T564" t="str">
        <f>INDEX(script.out!H:H,results.txt!$M564)</f>
        <v>{</v>
      </c>
      <c r="U564">
        <f>INDEX(script.out!I:I,results.txt!$M564)</f>
        <v>0.39687699999999998</v>
      </c>
      <c r="V564">
        <f>INDEX(script.out!J:J,results.txt!$M564)</f>
        <v>85.635800000000003</v>
      </c>
      <c r="W564">
        <f>INDEX(script.out!K:K,results.txt!$M564)</f>
        <v>141.30509000000001</v>
      </c>
      <c r="X564" t="str">
        <f>INDEX(script.out!L:L,results.txt!$M564)</f>
        <v>}</v>
      </c>
      <c r="Y564" t="str">
        <f>INDEX(script.out!M:M,results.txt!$M564)</f>
        <v>{</v>
      </c>
      <c r="Z564">
        <f>INDEX(script.out!N:N,results.txt!$M564)</f>
        <v>10.2616394804948</v>
      </c>
      <c r="AA564">
        <f>INDEX(script.out!O:O,results.txt!$M564)</f>
        <v>19.5</v>
      </c>
      <c r="AB564">
        <f>INDEX(script.out!P:P,results.txt!$M564)</f>
        <v>3024.81</v>
      </c>
      <c r="AC564" t="str">
        <f>INDEX(script.out!Q:Q,results.txt!$M564)</f>
        <v>}</v>
      </c>
      <c r="AD564">
        <f t="shared" si="9"/>
        <v>0</v>
      </c>
    </row>
    <row r="565" spans="1:30" x14ac:dyDescent="0.25">
      <c r="A565" s="12" t="s">
        <v>36</v>
      </c>
      <c r="B565" s="12">
        <v>-3</v>
      </c>
      <c r="C565" s="12">
        <v>0.190052</v>
      </c>
      <c r="D565" s="12">
        <v>5.5054199999999998E-2</v>
      </c>
      <c r="E565" s="12">
        <v>0.14002999999999999</v>
      </c>
      <c r="F565" s="12">
        <v>-3</v>
      </c>
      <c r="G565" s="13">
        <v>27.8935</v>
      </c>
      <c r="H565" s="12">
        <v>100</v>
      </c>
      <c r="I565" s="12">
        <v>1.07989E-2</v>
      </c>
      <c r="J565" s="12" t="s">
        <v>3</v>
      </c>
      <c r="K565" s="12">
        <v>0</v>
      </c>
      <c r="M565">
        <f>MATCH(C565,script.out!B:B,0)</f>
        <v>609</v>
      </c>
      <c r="N565">
        <f>INDEX(script.out!B:B,results.txt!$M565)</f>
        <v>0.190052</v>
      </c>
      <c r="O565">
        <f>INDEX(script.out!C:C,results.txt!$M565)</f>
        <v>5.5054199999999998E-2</v>
      </c>
      <c r="P565">
        <f>INDEX(script.out!D:D,results.txt!$M565)</f>
        <v>0.14002999999999999</v>
      </c>
      <c r="Q565">
        <f>INDEX(script.out!E:E,results.txt!$M565)</f>
        <v>27.893458563471</v>
      </c>
      <c r="R565">
        <f>INDEX(script.out!F:F,results.txt!$M565)</f>
        <v>100</v>
      </c>
      <c r="S565">
        <f>INDEX(script.out!G:G,results.txt!$M565)</f>
        <v>1.0798910865077799E-2</v>
      </c>
      <c r="T565" t="str">
        <f>INDEX(script.out!H:H,results.txt!$M565)</f>
        <v>{</v>
      </c>
      <c r="U565">
        <f>INDEX(script.out!I:I,results.txt!$M565)</f>
        <v>0.45204100000000003</v>
      </c>
      <c r="V565">
        <f>INDEX(script.out!J:J,results.txt!$M565)</f>
        <v>127.5271</v>
      </c>
      <c r="W565">
        <f>INDEX(script.out!K:K,results.txt!$M565)</f>
        <v>92.617699999999999</v>
      </c>
      <c r="X565" t="str">
        <f>INDEX(script.out!L:L,results.txt!$M565)</f>
        <v>}</v>
      </c>
      <c r="Y565" t="str">
        <f>INDEX(script.out!M:M,results.txt!$M565)</f>
        <v>{</v>
      </c>
      <c r="Z565">
        <f>INDEX(script.out!N:N,results.txt!$M565)</f>
        <v>15.2814258078165</v>
      </c>
      <c r="AA565">
        <f>INDEX(script.out!O:O,results.txt!$M565)</f>
        <v>18</v>
      </c>
      <c r="AB565">
        <f>INDEX(script.out!P:P,results.txt!$M565)</f>
        <v>7262.07</v>
      </c>
      <c r="AC565" t="str">
        <f>INDEX(script.out!Q:Q,results.txt!$M565)</f>
        <v>}</v>
      </c>
      <c r="AD565">
        <f t="shared" si="9"/>
        <v>0</v>
      </c>
    </row>
    <row r="566" spans="1:30" x14ac:dyDescent="0.25">
      <c r="A566" s="12" t="s">
        <v>36</v>
      </c>
      <c r="B566" s="12">
        <v>-3</v>
      </c>
      <c r="C566" s="12">
        <v>0.141454</v>
      </c>
      <c r="D566" s="12">
        <v>-2.71501E-2</v>
      </c>
      <c r="E566" s="12">
        <v>0.16461100000000001</v>
      </c>
      <c r="F566" s="12">
        <v>-3</v>
      </c>
      <c r="G566" s="12">
        <v>0.12687999999999999</v>
      </c>
      <c r="H566" s="12">
        <v>132.25</v>
      </c>
      <c r="I566" s="12">
        <v>90.090800000000002</v>
      </c>
      <c r="J566" s="12" t="s">
        <v>3</v>
      </c>
      <c r="K566" s="12">
        <v>0</v>
      </c>
      <c r="M566">
        <f>MATCH(C566,script.out!B:B,0)</f>
        <v>660</v>
      </c>
      <c r="N566">
        <f>INDEX(script.out!B:B,results.txt!$M566)</f>
        <v>0.141454</v>
      </c>
      <c r="O566">
        <f>INDEX(script.out!C:C,results.txt!$M566)</f>
        <v>-2.71501E-2</v>
      </c>
      <c r="P566">
        <f>INDEX(script.out!D:D,results.txt!$M566)</f>
        <v>0.16461100000000001</v>
      </c>
      <c r="Q566">
        <f>INDEX(script.out!E:E,results.txt!$M566)</f>
        <v>0.126880162526089</v>
      </c>
      <c r="R566">
        <f>INDEX(script.out!F:F,results.txt!$M566)</f>
        <v>132.25</v>
      </c>
      <c r="S566">
        <f>INDEX(script.out!G:G,results.txt!$M566)</f>
        <v>90.0907826128729</v>
      </c>
      <c r="T566" t="str">
        <f>INDEX(script.out!H:H,results.txt!$M566)</f>
        <v>{</v>
      </c>
      <c r="U566">
        <f>INDEX(script.out!I:I,results.txt!$M566)</f>
        <v>0.413163</v>
      </c>
      <c r="V566">
        <f>INDEX(script.out!J:J,results.txt!$M566)</f>
        <v>86.424949999999995</v>
      </c>
      <c r="W566">
        <f>INDEX(script.out!K:K,results.txt!$M566)</f>
        <v>107.12049</v>
      </c>
      <c r="X566" t="str">
        <f>INDEX(script.out!L:L,results.txt!$M566)</f>
        <v>}</v>
      </c>
      <c r="Y566" t="str">
        <f>INDEX(script.out!M:M,results.txt!$M566)</f>
        <v>{</v>
      </c>
      <c r="Z566">
        <f>INDEX(script.out!N:N,results.txt!$M566)</f>
        <v>10.3562024179116</v>
      </c>
      <c r="AA566">
        <f>INDEX(script.out!O:O,results.txt!$M566)</f>
        <v>19.5</v>
      </c>
      <c r="AB566">
        <f>INDEX(script.out!P:P,results.txt!$M566)</f>
        <v>3835.56</v>
      </c>
      <c r="AC566" t="str">
        <f>INDEX(script.out!Q:Q,results.txt!$M566)</f>
        <v>}</v>
      </c>
      <c r="AD566">
        <f t="shared" si="9"/>
        <v>0</v>
      </c>
    </row>
    <row r="567" spans="1:30" x14ac:dyDescent="0.25">
      <c r="A567" s="12" t="s">
        <v>36</v>
      </c>
      <c r="B567" s="12">
        <v>-3</v>
      </c>
      <c r="C567" s="12">
        <v>3.8540499999999998E-2</v>
      </c>
      <c r="D567" s="12">
        <v>4.3412499999999996E-3</v>
      </c>
      <c r="E567" s="12">
        <v>8.6211499999999996E-2</v>
      </c>
      <c r="F567" s="12">
        <v>-3</v>
      </c>
      <c r="G567" s="12">
        <v>5.0309999999999997</v>
      </c>
      <c r="H567" s="12">
        <v>110.25</v>
      </c>
      <c r="I567" s="12">
        <v>23.547499999999999</v>
      </c>
      <c r="J567" s="12" t="s">
        <v>3</v>
      </c>
      <c r="K567" s="12">
        <v>0</v>
      </c>
      <c r="M567">
        <f>MATCH(C567,script.out!B:B,0)</f>
        <v>745</v>
      </c>
      <c r="N567">
        <f>INDEX(script.out!B:B,results.txt!$M567)</f>
        <v>3.8540499999999998E-2</v>
      </c>
      <c r="O567">
        <f>INDEX(script.out!C:C,results.txt!$M567)</f>
        <v>4.3412499999999996E-3</v>
      </c>
      <c r="P567">
        <f>INDEX(script.out!D:D,results.txt!$M567)</f>
        <v>8.6211499999999996E-2</v>
      </c>
      <c r="Q567">
        <f>INDEX(script.out!E:E,results.txt!$M567)</f>
        <v>5.0309976551667903</v>
      </c>
      <c r="R567">
        <f>INDEX(script.out!F:F,results.txt!$M567)</f>
        <v>110.25</v>
      </c>
      <c r="S567">
        <f>INDEX(script.out!G:G,results.txt!$M567)</f>
        <v>23.547487454306602</v>
      </c>
      <c r="T567" t="str">
        <f>INDEX(script.out!H:H,results.txt!$M567)</f>
        <v>{</v>
      </c>
      <c r="U567">
        <f>INDEX(script.out!I:I,results.txt!$M567)</f>
        <v>0.33083240000000003</v>
      </c>
      <c r="V567">
        <f>INDEX(script.out!J:J,results.txt!$M567)</f>
        <v>102.170625</v>
      </c>
      <c r="W567">
        <f>INDEX(script.out!K:K,results.txt!$M567)</f>
        <v>60.864784999999998</v>
      </c>
      <c r="X567" t="str">
        <f>INDEX(script.out!L:L,results.txt!$M567)</f>
        <v>}</v>
      </c>
      <c r="Y567" t="str">
        <f>INDEX(script.out!M:M,results.txt!$M567)</f>
        <v>{</v>
      </c>
      <c r="Z567">
        <f>INDEX(script.out!N:N,results.txt!$M567)</f>
        <v>12.2429885543994</v>
      </c>
      <c r="AA567">
        <f>INDEX(script.out!O:O,results.txt!$M567)</f>
        <v>18.5</v>
      </c>
      <c r="AB567">
        <f>INDEX(script.out!P:P,results.txt!$M567)</f>
        <v>5528.81</v>
      </c>
      <c r="AC567" t="str">
        <f>INDEX(script.out!Q:Q,results.txt!$M567)</f>
        <v>}</v>
      </c>
      <c r="AD567">
        <f t="shared" si="9"/>
        <v>0</v>
      </c>
    </row>
    <row r="568" spans="1:30" x14ac:dyDescent="0.25">
      <c r="A568" s="12" t="s">
        <v>36</v>
      </c>
      <c r="B568" s="12">
        <v>-3</v>
      </c>
      <c r="C568" s="12">
        <v>0.137846</v>
      </c>
      <c r="D568" s="12">
        <v>-2.7607199999999998E-2</v>
      </c>
      <c r="E568" s="12">
        <v>0.208874</v>
      </c>
      <c r="F568" s="12">
        <v>-3</v>
      </c>
      <c r="G568" s="12">
        <v>0.10811999999999999</v>
      </c>
      <c r="H568" s="12">
        <v>132.25</v>
      </c>
      <c r="I568" s="12">
        <v>126.051</v>
      </c>
      <c r="J568" s="12" t="s">
        <v>3</v>
      </c>
      <c r="K568" s="12">
        <v>0</v>
      </c>
      <c r="M568">
        <f>MATCH(C568,script.out!B:B,0)</f>
        <v>754</v>
      </c>
      <c r="N568">
        <f>INDEX(script.out!B:B,results.txt!$M568)</f>
        <v>0.137846</v>
      </c>
      <c r="O568">
        <f>INDEX(script.out!C:C,results.txt!$M568)</f>
        <v>-2.7607199999999998E-2</v>
      </c>
      <c r="P568">
        <f>INDEX(script.out!D:D,results.txt!$M568)</f>
        <v>0.208874</v>
      </c>
      <c r="Q568">
        <f>INDEX(script.out!E:E,results.txt!$M568)</f>
        <v>0.108119655476592</v>
      </c>
      <c r="R568">
        <f>INDEX(script.out!F:F,results.txt!$M568)</f>
        <v>132.25</v>
      </c>
      <c r="S568">
        <f>INDEX(script.out!G:G,results.txt!$M568)</f>
        <v>126.051373259523</v>
      </c>
      <c r="T568" t="str">
        <f>INDEX(script.out!H:H,results.txt!$M568)</f>
        <v>{</v>
      </c>
      <c r="U568">
        <f>INDEX(script.out!I:I,results.txt!$M568)</f>
        <v>0.41027599999999997</v>
      </c>
      <c r="V568">
        <f>INDEX(script.out!J:J,results.txt!$M568)</f>
        <v>86.196399999999997</v>
      </c>
      <c r="W568">
        <f>INDEX(script.out!K:K,results.txt!$M568)</f>
        <v>133.23566</v>
      </c>
      <c r="X568" t="str">
        <f>INDEX(script.out!L:L,results.txt!$M568)</f>
        <v>}</v>
      </c>
      <c r="Y568" t="str">
        <f>INDEX(script.out!M:M,results.txt!$M568)</f>
        <v>{</v>
      </c>
      <c r="Z568">
        <f>INDEX(script.out!N:N,results.txt!$M568)</f>
        <v>10.328815534116901</v>
      </c>
      <c r="AA568">
        <f>INDEX(script.out!O:O,results.txt!$M568)</f>
        <v>19.5</v>
      </c>
      <c r="AB568">
        <f>INDEX(script.out!P:P,results.txt!$M568)</f>
        <v>3202.05</v>
      </c>
      <c r="AC568" t="str">
        <f>INDEX(script.out!Q:Q,results.txt!$M568)</f>
        <v>}</v>
      </c>
      <c r="AD568">
        <f t="shared" si="9"/>
        <v>0</v>
      </c>
    </row>
    <row r="569" spans="1:30" x14ac:dyDescent="0.25">
      <c r="A569" s="12" t="s">
        <v>36</v>
      </c>
      <c r="B569" s="12">
        <v>-3</v>
      </c>
      <c r="C569" s="12">
        <v>0.210565</v>
      </c>
      <c r="D569" s="12">
        <v>6.5054400000000004E-3</v>
      </c>
      <c r="E569" s="12">
        <v>9.6895899999999993E-2</v>
      </c>
      <c r="F569" s="12">
        <v>-3</v>
      </c>
      <c r="G569" s="12">
        <v>5.6294899999999997</v>
      </c>
      <c r="H569" s="12">
        <v>132.25</v>
      </c>
      <c r="I569" s="13">
        <v>2.2464999999999999E-5</v>
      </c>
      <c r="J569" s="12" t="s">
        <v>3</v>
      </c>
      <c r="K569" s="12">
        <v>0</v>
      </c>
      <c r="M569">
        <f>MATCH(C569,script.out!B:B,0)</f>
        <v>764</v>
      </c>
      <c r="N569">
        <f>INDEX(script.out!B:B,results.txt!$M569)</f>
        <v>0.210565</v>
      </c>
      <c r="O569">
        <f>INDEX(script.out!C:C,results.txt!$M569)</f>
        <v>6.5054400000000004E-3</v>
      </c>
      <c r="P569">
        <f>INDEX(script.out!D:D,results.txt!$M569)</f>
        <v>9.6895899999999993E-2</v>
      </c>
      <c r="Q569">
        <f>INDEX(script.out!E:E,results.txt!$M569)</f>
        <v>5.6294905837784199</v>
      </c>
      <c r="R569">
        <f>INDEX(script.out!F:F,results.txt!$M569)</f>
        <v>132.25</v>
      </c>
      <c r="S569">
        <f>INDEX(script.out!G:G,results.txt!$M569)</f>
        <v>2.2465002814787001E-5</v>
      </c>
      <c r="T569" t="str">
        <f>INDEX(script.out!H:H,results.txt!$M569)</f>
        <v>{</v>
      </c>
      <c r="U569">
        <f>INDEX(script.out!I:I,results.txt!$M569)</f>
        <v>0.46845199999999998</v>
      </c>
      <c r="V569">
        <f>INDEX(script.out!J:J,results.txt!$M569)</f>
        <v>103.25272</v>
      </c>
      <c r="W569">
        <f>INDEX(script.out!K:K,results.txt!$M569)</f>
        <v>67.168581000000003</v>
      </c>
      <c r="X569" t="str">
        <f>INDEX(script.out!L:L,results.txt!$M569)</f>
        <v>}</v>
      </c>
      <c r="Y569" t="str">
        <f>INDEX(script.out!M:M,results.txt!$M569)</f>
        <v>{</v>
      </c>
      <c r="Z569">
        <f>INDEX(script.out!N:N,results.txt!$M569)</f>
        <v>12.372654754442401</v>
      </c>
      <c r="AA569">
        <f>INDEX(script.out!O:O,results.txt!$M569)</f>
        <v>19.5</v>
      </c>
      <c r="AB569">
        <f>INDEX(script.out!P:P,results.txt!$M569)</f>
        <v>7301.73</v>
      </c>
      <c r="AC569" t="str">
        <f>INDEX(script.out!Q:Q,results.txt!$M569)</f>
        <v>}</v>
      </c>
      <c r="AD569">
        <f t="shared" si="9"/>
        <v>0</v>
      </c>
    </row>
    <row r="570" spans="1:30" x14ac:dyDescent="0.25">
      <c r="A570" s="12" t="s">
        <v>36</v>
      </c>
      <c r="B570" s="12">
        <v>-3</v>
      </c>
      <c r="C570" s="12">
        <v>0.164218</v>
      </c>
      <c r="D570" s="12">
        <v>-3.3487000000000003E-2</v>
      </c>
      <c r="E570" s="12">
        <v>0.167044</v>
      </c>
      <c r="F570" s="12">
        <v>-3</v>
      </c>
      <c r="G570" s="12">
        <v>5.5080799999999996E-4</v>
      </c>
      <c r="H570" s="12">
        <v>144</v>
      </c>
      <c r="I570" s="12">
        <v>88.593999999999994</v>
      </c>
      <c r="J570" s="12" t="s">
        <v>3</v>
      </c>
      <c r="K570" s="12">
        <v>0</v>
      </c>
      <c r="M570">
        <f>MATCH(C570,script.out!B:B,0)</f>
        <v>800</v>
      </c>
      <c r="N570">
        <f>INDEX(script.out!B:B,results.txt!$M570)</f>
        <v>0.164218</v>
      </c>
      <c r="O570">
        <f>INDEX(script.out!C:C,results.txt!$M570)</f>
        <v>-3.3487000000000003E-2</v>
      </c>
      <c r="P570">
        <f>INDEX(script.out!D:D,results.txt!$M570)</f>
        <v>0.167044</v>
      </c>
      <c r="Q570">
        <f>INDEX(script.out!E:E,results.txt!$M570)</f>
        <v>5.5080821308516699E-4</v>
      </c>
      <c r="R570">
        <f>INDEX(script.out!F:F,results.txt!$M570)</f>
        <v>144</v>
      </c>
      <c r="S570">
        <f>INDEX(script.out!G:G,results.txt!$M570)</f>
        <v>88.5939958085944</v>
      </c>
      <c r="T570" t="str">
        <f>INDEX(script.out!H:H,results.txt!$M570)</f>
        <v>{</v>
      </c>
      <c r="U570">
        <f>INDEX(script.out!I:I,results.txt!$M570)</f>
        <v>0.43137399999999998</v>
      </c>
      <c r="V570">
        <f>INDEX(script.out!J:J,results.txt!$M570)</f>
        <v>83.256500000000003</v>
      </c>
      <c r="W570">
        <f>INDEX(script.out!K:K,results.txt!$M570)</f>
        <v>108.55596</v>
      </c>
      <c r="X570" t="str">
        <f>INDEX(script.out!L:L,results.txt!$M570)</f>
        <v>}</v>
      </c>
      <c r="Y570" t="str">
        <f>INDEX(script.out!M:M,results.txt!$M570)</f>
        <v>{</v>
      </c>
      <c r="Z570">
        <f>INDEX(script.out!N:N,results.txt!$M570)</f>
        <v>9.9765306963655593</v>
      </c>
      <c r="AA570">
        <f>INDEX(script.out!O:O,results.txt!$M570)</f>
        <v>20</v>
      </c>
      <c r="AB570">
        <f>INDEX(script.out!P:P,results.txt!$M570)</f>
        <v>3864.46</v>
      </c>
      <c r="AC570" t="str">
        <f>INDEX(script.out!Q:Q,results.txt!$M570)</f>
        <v>}</v>
      </c>
      <c r="AD570">
        <f t="shared" si="9"/>
        <v>0</v>
      </c>
    </row>
    <row r="571" spans="1:30" x14ac:dyDescent="0.25">
      <c r="A571" s="12" t="s">
        <v>36</v>
      </c>
      <c r="B571" s="12">
        <v>-3</v>
      </c>
      <c r="C571" s="12">
        <v>9.8384399999999997E-2</v>
      </c>
      <c r="D571" s="12">
        <v>3.41978E-4</v>
      </c>
      <c r="E571" s="12">
        <v>0.22852900000000001</v>
      </c>
      <c r="F571" s="12">
        <v>-3</v>
      </c>
      <c r="G571" s="12">
        <v>4.0135100000000001</v>
      </c>
      <c r="H571" s="12">
        <v>121</v>
      </c>
      <c r="I571" s="12">
        <v>123.22199999999999</v>
      </c>
      <c r="J571" s="12" t="s">
        <v>3</v>
      </c>
      <c r="K571" s="12">
        <v>0</v>
      </c>
      <c r="M571">
        <f>MATCH(C571,script.out!B:B,0)</f>
        <v>858</v>
      </c>
      <c r="N571">
        <f>INDEX(script.out!B:B,results.txt!$M571)</f>
        <v>9.8384399999999997E-2</v>
      </c>
      <c r="O571">
        <f>INDEX(script.out!C:C,results.txt!$M571)</f>
        <v>3.41978E-4</v>
      </c>
      <c r="P571">
        <f>INDEX(script.out!D:D,results.txt!$M571)</f>
        <v>0.22852900000000001</v>
      </c>
      <c r="Q571">
        <f>INDEX(script.out!E:E,results.txt!$M571)</f>
        <v>4.0135092710057299</v>
      </c>
      <c r="R571">
        <f>INDEX(script.out!F:F,results.txt!$M571)</f>
        <v>121</v>
      </c>
      <c r="S571">
        <f>INDEX(script.out!G:G,results.txt!$M571)</f>
        <v>123.22155643535299</v>
      </c>
      <c r="T571" t="str">
        <f>INDEX(script.out!H:H,results.txt!$M571)</f>
        <v>{</v>
      </c>
      <c r="U571">
        <f>INDEX(script.out!I:I,results.txt!$M571)</f>
        <v>0.37870749999999997</v>
      </c>
      <c r="V571">
        <f>INDEX(script.out!J:J,results.txt!$M571)</f>
        <v>100.17098900000001</v>
      </c>
      <c r="W571">
        <f>INDEX(script.out!K:K,results.txt!$M571)</f>
        <v>144.83211</v>
      </c>
      <c r="X571" t="str">
        <f>INDEX(script.out!L:L,results.txt!$M571)</f>
        <v>}</v>
      </c>
      <c r="Y571" t="str">
        <f>INDEX(script.out!M:M,results.txt!$M571)</f>
        <v>{</v>
      </c>
      <c r="Z571">
        <f>INDEX(script.out!N:N,results.txt!$M571)</f>
        <v>12.003374470987801</v>
      </c>
      <c r="AA571">
        <f>INDEX(script.out!O:O,results.txt!$M571)</f>
        <v>19</v>
      </c>
      <c r="AB571">
        <f>INDEX(script.out!P:P,results.txt!$M571)</f>
        <v>3248.31</v>
      </c>
      <c r="AC571" t="str">
        <f>INDEX(script.out!Q:Q,results.txt!$M571)</f>
        <v>}</v>
      </c>
      <c r="AD571">
        <f t="shared" si="9"/>
        <v>0</v>
      </c>
    </row>
    <row r="572" spans="1:30" x14ac:dyDescent="0.25">
      <c r="A572" s="12" t="s">
        <v>36</v>
      </c>
      <c r="B572" s="12">
        <v>-3</v>
      </c>
      <c r="C572" s="12">
        <v>3.0988000000000002E-2</v>
      </c>
      <c r="D572" s="12">
        <v>8.30901E-2</v>
      </c>
      <c r="E572" s="12">
        <v>9.5490400000000003E-2</v>
      </c>
      <c r="F572" s="12">
        <v>-3</v>
      </c>
      <c r="G572" s="12">
        <v>48.457999999999998</v>
      </c>
      <c r="H572" s="12">
        <v>72.25</v>
      </c>
      <c r="I572" s="12">
        <v>2.2495099999999999</v>
      </c>
      <c r="J572" s="12" t="s">
        <v>3</v>
      </c>
      <c r="K572" s="12">
        <v>0</v>
      </c>
      <c r="M572">
        <f>MATCH(C572,script.out!B:B,0)</f>
        <v>903</v>
      </c>
      <c r="N572">
        <f>INDEX(script.out!B:B,results.txt!$M572)</f>
        <v>3.0988000000000002E-2</v>
      </c>
      <c r="O572">
        <f>INDEX(script.out!C:C,results.txt!$M572)</f>
        <v>8.30901E-2</v>
      </c>
      <c r="P572">
        <f>INDEX(script.out!D:D,results.txt!$M572)</f>
        <v>9.5490400000000003E-2</v>
      </c>
      <c r="Q572">
        <f>INDEX(script.out!E:E,results.txt!$M572)</f>
        <v>48.458035951111498</v>
      </c>
      <c r="R572">
        <f>INDEX(script.out!F:F,results.txt!$M572)</f>
        <v>72.25</v>
      </c>
      <c r="S572">
        <f>INDEX(script.out!G:G,results.txt!$M572)</f>
        <v>2.2495068763370201</v>
      </c>
      <c r="T572" t="str">
        <f>INDEX(script.out!H:H,results.txt!$M572)</f>
        <v>{</v>
      </c>
      <c r="U572">
        <f>INDEX(script.out!I:I,results.txt!$M572)</f>
        <v>0.32479000000000002</v>
      </c>
      <c r="V572">
        <f>INDEX(script.out!J:J,results.txt!$M572)</f>
        <v>141.54505</v>
      </c>
      <c r="W572">
        <f>INDEX(script.out!K:K,results.txt!$M572)</f>
        <v>66.339336000000003</v>
      </c>
      <c r="X572" t="str">
        <f>INDEX(script.out!L:L,results.txt!$M572)</f>
        <v>}</v>
      </c>
      <c r="Y572" t="str">
        <f>INDEX(script.out!M:M,results.txt!$M572)</f>
        <v>{</v>
      </c>
      <c r="Z572">
        <f>INDEX(script.out!N:N,results.txt!$M572)</f>
        <v>16.9611806434764</v>
      </c>
      <c r="AA572">
        <f>INDEX(script.out!O:O,results.txt!$M572)</f>
        <v>16.5</v>
      </c>
      <c r="AB572">
        <f>INDEX(script.out!P:P,results.txt!$M572)</f>
        <v>7847.44</v>
      </c>
      <c r="AC572" t="str">
        <f>INDEX(script.out!Q:Q,results.txt!$M572)</f>
        <v>}</v>
      </c>
      <c r="AD572">
        <f t="shared" si="9"/>
        <v>0</v>
      </c>
    </row>
    <row r="573" spans="1:30" x14ac:dyDescent="0.25">
      <c r="I573" s="13"/>
      <c r="M573" t="e">
        <f>MATCH(C573,script.out!B:B,0)</f>
        <v>#N/A</v>
      </c>
      <c r="N573" t="e">
        <f>INDEX(script.out!B:B,results.txt!$M573)</f>
        <v>#N/A</v>
      </c>
      <c r="O573" t="e">
        <f>INDEX(script.out!C:C,results.txt!$M573)</f>
        <v>#N/A</v>
      </c>
      <c r="P573" t="e">
        <f>INDEX(script.out!D:D,results.txt!$M573)</f>
        <v>#N/A</v>
      </c>
      <c r="Q573" t="e">
        <f>INDEX(script.out!E:E,results.txt!$M573)</f>
        <v>#N/A</v>
      </c>
      <c r="R573" t="e">
        <f>INDEX(script.out!F:F,results.txt!$M573)</f>
        <v>#N/A</v>
      </c>
      <c r="S573" t="e">
        <f>INDEX(script.out!G:G,results.txt!$M573)</f>
        <v>#N/A</v>
      </c>
      <c r="T573" t="e">
        <f>INDEX(script.out!H:H,results.txt!$M573)</f>
        <v>#N/A</v>
      </c>
      <c r="U573" t="e">
        <f>INDEX(script.out!I:I,results.txt!$M573)</f>
        <v>#N/A</v>
      </c>
      <c r="V573" t="e">
        <f>INDEX(script.out!J:J,results.txt!$M573)</f>
        <v>#N/A</v>
      </c>
      <c r="W573" t="e">
        <f>INDEX(script.out!K:K,results.txt!$M573)</f>
        <v>#N/A</v>
      </c>
      <c r="X573" t="e">
        <f>INDEX(script.out!L:L,results.txt!$M573)</f>
        <v>#N/A</v>
      </c>
      <c r="Y573" t="e">
        <f>INDEX(script.out!M:M,results.txt!$M573)</f>
        <v>#N/A</v>
      </c>
      <c r="Z573" t="e">
        <f>INDEX(script.out!N:N,results.txt!$M573)</f>
        <v>#N/A</v>
      </c>
      <c r="AA573" t="e">
        <f>INDEX(script.out!O:O,results.txt!$M573)</f>
        <v>#N/A</v>
      </c>
      <c r="AB573" t="e">
        <f>INDEX(script.out!P:P,results.txt!$M573)</f>
        <v>#N/A</v>
      </c>
      <c r="AC573" t="e">
        <f>INDEX(script.out!Q:Q,results.txt!$M573)</f>
        <v>#N/A</v>
      </c>
      <c r="AD573">
        <f t="shared" si="9"/>
        <v>0</v>
      </c>
    </row>
    <row r="574" spans="1:30" x14ac:dyDescent="0.25">
      <c r="M574" t="e">
        <f>MATCH(C574,script.out!B:B,0)</f>
        <v>#N/A</v>
      </c>
      <c r="N574" t="e">
        <f>INDEX(script.out!B:B,results.txt!$M574)</f>
        <v>#N/A</v>
      </c>
      <c r="O574" t="e">
        <f>INDEX(script.out!C:C,results.txt!$M574)</f>
        <v>#N/A</v>
      </c>
      <c r="P574" t="e">
        <f>INDEX(script.out!D:D,results.txt!$M574)</f>
        <v>#N/A</v>
      </c>
      <c r="Q574" t="e">
        <f>INDEX(script.out!E:E,results.txt!$M574)</f>
        <v>#N/A</v>
      </c>
      <c r="R574" t="e">
        <f>INDEX(script.out!F:F,results.txt!$M574)</f>
        <v>#N/A</v>
      </c>
      <c r="S574" t="e">
        <f>INDEX(script.out!G:G,results.txt!$M574)</f>
        <v>#N/A</v>
      </c>
      <c r="T574" t="e">
        <f>INDEX(script.out!H:H,results.txt!$M574)</f>
        <v>#N/A</v>
      </c>
      <c r="U574" t="e">
        <f>INDEX(script.out!I:I,results.txt!$M574)</f>
        <v>#N/A</v>
      </c>
      <c r="V574" t="e">
        <f>INDEX(script.out!J:J,results.txt!$M574)</f>
        <v>#N/A</v>
      </c>
      <c r="W574" t="e">
        <f>INDEX(script.out!K:K,results.txt!$M574)</f>
        <v>#N/A</v>
      </c>
      <c r="X574" t="e">
        <f>INDEX(script.out!L:L,results.txt!$M574)</f>
        <v>#N/A</v>
      </c>
      <c r="Y574" t="e">
        <f>INDEX(script.out!M:M,results.txt!$M574)</f>
        <v>#N/A</v>
      </c>
      <c r="Z574" t="e">
        <f>INDEX(script.out!N:N,results.txt!$M574)</f>
        <v>#N/A</v>
      </c>
      <c r="AA574" t="e">
        <f>INDEX(script.out!O:O,results.txt!$M574)</f>
        <v>#N/A</v>
      </c>
      <c r="AB574" t="e">
        <f>INDEX(script.out!P:P,results.txt!$M574)</f>
        <v>#N/A</v>
      </c>
      <c r="AC574" t="e">
        <f>INDEX(script.out!Q:Q,results.txt!$M574)</f>
        <v>#N/A</v>
      </c>
      <c r="AD574">
        <f t="shared" si="9"/>
        <v>0</v>
      </c>
    </row>
    <row r="575" spans="1:30" x14ac:dyDescent="0.25">
      <c r="M575" t="e">
        <f>MATCH(C575,script.out!B:B,0)</f>
        <v>#N/A</v>
      </c>
      <c r="N575" t="e">
        <f>INDEX(script.out!B:B,results.txt!$M575)</f>
        <v>#N/A</v>
      </c>
      <c r="O575" t="e">
        <f>INDEX(script.out!C:C,results.txt!$M575)</f>
        <v>#N/A</v>
      </c>
      <c r="P575" t="e">
        <f>INDEX(script.out!D:D,results.txt!$M575)</f>
        <v>#N/A</v>
      </c>
      <c r="Q575" t="e">
        <f>INDEX(script.out!E:E,results.txt!$M575)</f>
        <v>#N/A</v>
      </c>
      <c r="R575" t="e">
        <f>INDEX(script.out!F:F,results.txt!$M575)</f>
        <v>#N/A</v>
      </c>
      <c r="S575" t="e">
        <f>INDEX(script.out!G:G,results.txt!$M575)</f>
        <v>#N/A</v>
      </c>
      <c r="T575" t="e">
        <f>INDEX(script.out!H:H,results.txt!$M575)</f>
        <v>#N/A</v>
      </c>
      <c r="U575" t="e">
        <f>INDEX(script.out!I:I,results.txt!$M575)</f>
        <v>#N/A</v>
      </c>
      <c r="V575" t="e">
        <f>INDEX(script.out!J:J,results.txt!$M575)</f>
        <v>#N/A</v>
      </c>
      <c r="W575" t="e">
        <f>INDEX(script.out!K:K,results.txt!$M575)</f>
        <v>#N/A</v>
      </c>
      <c r="X575" t="e">
        <f>INDEX(script.out!L:L,results.txt!$M575)</f>
        <v>#N/A</v>
      </c>
      <c r="Y575" t="e">
        <f>INDEX(script.out!M:M,results.txt!$M575)</f>
        <v>#N/A</v>
      </c>
      <c r="Z575" t="e">
        <f>INDEX(script.out!N:N,results.txt!$M575)</f>
        <v>#N/A</v>
      </c>
      <c r="AA575" t="e">
        <f>INDEX(script.out!O:O,results.txt!$M575)</f>
        <v>#N/A</v>
      </c>
      <c r="AB575" t="e">
        <f>INDEX(script.out!P:P,results.txt!$M575)</f>
        <v>#N/A</v>
      </c>
      <c r="AC575" t="e">
        <f>INDEX(script.out!Q:Q,results.txt!$M575)</f>
        <v>#N/A</v>
      </c>
      <c r="AD575">
        <f t="shared" si="9"/>
        <v>0</v>
      </c>
    </row>
    <row r="576" spans="1:30" x14ac:dyDescent="0.25">
      <c r="M576" t="e">
        <f>MATCH(C576,script.out!B:B,0)</f>
        <v>#N/A</v>
      </c>
      <c r="N576" t="e">
        <f>INDEX(script.out!B:B,results.txt!$M576)</f>
        <v>#N/A</v>
      </c>
      <c r="O576" t="e">
        <f>INDEX(script.out!C:C,results.txt!$M576)</f>
        <v>#N/A</v>
      </c>
      <c r="P576" t="e">
        <f>INDEX(script.out!D:D,results.txt!$M576)</f>
        <v>#N/A</v>
      </c>
      <c r="Q576" t="e">
        <f>INDEX(script.out!E:E,results.txt!$M576)</f>
        <v>#N/A</v>
      </c>
      <c r="R576" t="e">
        <f>INDEX(script.out!F:F,results.txt!$M576)</f>
        <v>#N/A</v>
      </c>
      <c r="S576" t="e">
        <f>INDEX(script.out!G:G,results.txt!$M576)</f>
        <v>#N/A</v>
      </c>
      <c r="T576" t="e">
        <f>INDEX(script.out!H:H,results.txt!$M576)</f>
        <v>#N/A</v>
      </c>
      <c r="U576" t="e">
        <f>INDEX(script.out!I:I,results.txt!$M576)</f>
        <v>#N/A</v>
      </c>
      <c r="V576" t="e">
        <f>INDEX(script.out!J:J,results.txt!$M576)</f>
        <v>#N/A</v>
      </c>
      <c r="W576" t="e">
        <f>INDEX(script.out!K:K,results.txt!$M576)</f>
        <v>#N/A</v>
      </c>
      <c r="X576" t="e">
        <f>INDEX(script.out!L:L,results.txt!$M576)</f>
        <v>#N/A</v>
      </c>
      <c r="Y576" t="e">
        <f>INDEX(script.out!M:M,results.txt!$M576)</f>
        <v>#N/A</v>
      </c>
      <c r="Z576" t="e">
        <f>INDEX(script.out!N:N,results.txt!$M576)</f>
        <v>#N/A</v>
      </c>
      <c r="AA576" t="e">
        <f>INDEX(script.out!O:O,results.txt!$M576)</f>
        <v>#N/A</v>
      </c>
      <c r="AB576" t="e">
        <f>INDEX(script.out!P:P,results.txt!$M576)</f>
        <v>#N/A</v>
      </c>
      <c r="AC576" t="e">
        <f>INDEX(script.out!Q:Q,results.txt!$M576)</f>
        <v>#N/A</v>
      </c>
      <c r="AD576">
        <f t="shared" si="9"/>
        <v>0</v>
      </c>
    </row>
    <row r="577" spans="9:30" x14ac:dyDescent="0.25">
      <c r="M577" t="e">
        <f>MATCH(C577,script.out!B:B,0)</f>
        <v>#N/A</v>
      </c>
      <c r="N577" t="e">
        <f>INDEX(script.out!B:B,results.txt!$M577)</f>
        <v>#N/A</v>
      </c>
      <c r="O577" t="e">
        <f>INDEX(script.out!C:C,results.txt!$M577)</f>
        <v>#N/A</v>
      </c>
      <c r="P577" t="e">
        <f>INDEX(script.out!D:D,results.txt!$M577)</f>
        <v>#N/A</v>
      </c>
      <c r="Q577" t="e">
        <f>INDEX(script.out!E:E,results.txt!$M577)</f>
        <v>#N/A</v>
      </c>
      <c r="R577" t="e">
        <f>INDEX(script.out!F:F,results.txt!$M577)</f>
        <v>#N/A</v>
      </c>
      <c r="S577" t="e">
        <f>INDEX(script.out!G:G,results.txt!$M577)</f>
        <v>#N/A</v>
      </c>
      <c r="T577" t="e">
        <f>INDEX(script.out!H:H,results.txt!$M577)</f>
        <v>#N/A</v>
      </c>
      <c r="U577" t="e">
        <f>INDEX(script.out!I:I,results.txt!$M577)</f>
        <v>#N/A</v>
      </c>
      <c r="V577" t="e">
        <f>INDEX(script.out!J:J,results.txt!$M577)</f>
        <v>#N/A</v>
      </c>
      <c r="W577" t="e">
        <f>INDEX(script.out!K:K,results.txt!$M577)</f>
        <v>#N/A</v>
      </c>
      <c r="X577" t="e">
        <f>INDEX(script.out!L:L,results.txt!$M577)</f>
        <v>#N/A</v>
      </c>
      <c r="Y577" t="e">
        <f>INDEX(script.out!M:M,results.txt!$M577)</f>
        <v>#N/A</v>
      </c>
      <c r="Z577" t="e">
        <f>INDEX(script.out!N:N,results.txt!$M577)</f>
        <v>#N/A</v>
      </c>
      <c r="AA577" t="e">
        <f>INDEX(script.out!O:O,results.txt!$M577)</f>
        <v>#N/A</v>
      </c>
      <c r="AB577" t="e">
        <f>INDEX(script.out!P:P,results.txt!$M577)</f>
        <v>#N/A</v>
      </c>
      <c r="AC577" t="e">
        <f>INDEX(script.out!Q:Q,results.txt!$M577)</f>
        <v>#N/A</v>
      </c>
      <c r="AD577">
        <f t="shared" si="9"/>
        <v>0</v>
      </c>
    </row>
    <row r="578" spans="9:30" x14ac:dyDescent="0.25">
      <c r="I578" s="13"/>
      <c r="M578" t="e">
        <f>MATCH(C578,script.out!B:B,0)</f>
        <v>#N/A</v>
      </c>
      <c r="N578" t="e">
        <f>INDEX(script.out!B:B,results.txt!$M578)</f>
        <v>#N/A</v>
      </c>
      <c r="O578" t="e">
        <f>INDEX(script.out!C:C,results.txt!$M578)</f>
        <v>#N/A</v>
      </c>
      <c r="P578" t="e">
        <f>INDEX(script.out!D:D,results.txt!$M578)</f>
        <v>#N/A</v>
      </c>
      <c r="Q578" t="e">
        <f>INDEX(script.out!E:E,results.txt!$M578)</f>
        <v>#N/A</v>
      </c>
      <c r="R578" t="e">
        <f>INDEX(script.out!F:F,results.txt!$M578)</f>
        <v>#N/A</v>
      </c>
      <c r="S578" t="e">
        <f>INDEX(script.out!G:G,results.txt!$M578)</f>
        <v>#N/A</v>
      </c>
      <c r="T578" t="e">
        <f>INDEX(script.out!H:H,results.txt!$M578)</f>
        <v>#N/A</v>
      </c>
      <c r="U578" t="e">
        <f>INDEX(script.out!I:I,results.txt!$M578)</f>
        <v>#N/A</v>
      </c>
      <c r="V578" t="e">
        <f>INDEX(script.out!J:J,results.txt!$M578)</f>
        <v>#N/A</v>
      </c>
      <c r="W578" t="e">
        <f>INDEX(script.out!K:K,results.txt!$M578)</f>
        <v>#N/A</v>
      </c>
      <c r="X578" t="e">
        <f>INDEX(script.out!L:L,results.txt!$M578)</f>
        <v>#N/A</v>
      </c>
      <c r="Y578" t="e">
        <f>INDEX(script.out!M:M,results.txt!$M578)</f>
        <v>#N/A</v>
      </c>
      <c r="Z578" t="e">
        <f>INDEX(script.out!N:N,results.txt!$M578)</f>
        <v>#N/A</v>
      </c>
      <c r="AA578" t="e">
        <f>INDEX(script.out!O:O,results.txt!$M578)</f>
        <v>#N/A</v>
      </c>
      <c r="AB578" t="e">
        <f>INDEX(script.out!P:P,results.txt!$M578)</f>
        <v>#N/A</v>
      </c>
      <c r="AC578" t="e">
        <f>INDEX(script.out!Q:Q,results.txt!$M578)</f>
        <v>#N/A</v>
      </c>
      <c r="AD578">
        <f t="shared" si="9"/>
        <v>0</v>
      </c>
    </row>
    <row r="579" spans="9:30" x14ac:dyDescent="0.25">
      <c r="M579" t="e">
        <f>MATCH(C579,script.out!B:B,0)</f>
        <v>#N/A</v>
      </c>
      <c r="N579" t="e">
        <f>INDEX(script.out!B:B,results.txt!$M579)</f>
        <v>#N/A</v>
      </c>
      <c r="O579" t="e">
        <f>INDEX(script.out!C:C,results.txt!$M579)</f>
        <v>#N/A</v>
      </c>
      <c r="P579" t="e">
        <f>INDEX(script.out!D:D,results.txt!$M579)</f>
        <v>#N/A</v>
      </c>
      <c r="Q579" t="e">
        <f>INDEX(script.out!E:E,results.txt!$M579)</f>
        <v>#N/A</v>
      </c>
      <c r="R579" t="e">
        <f>INDEX(script.out!F:F,results.txt!$M579)</f>
        <v>#N/A</v>
      </c>
      <c r="S579" t="e">
        <f>INDEX(script.out!G:G,results.txt!$M579)</f>
        <v>#N/A</v>
      </c>
      <c r="T579" t="e">
        <f>INDEX(script.out!H:H,results.txt!$M579)</f>
        <v>#N/A</v>
      </c>
      <c r="U579" t="e">
        <f>INDEX(script.out!I:I,results.txt!$M579)</f>
        <v>#N/A</v>
      </c>
      <c r="V579" t="e">
        <f>INDEX(script.out!J:J,results.txt!$M579)</f>
        <v>#N/A</v>
      </c>
      <c r="W579" t="e">
        <f>INDEX(script.out!K:K,results.txt!$M579)</f>
        <v>#N/A</v>
      </c>
      <c r="X579" t="e">
        <f>INDEX(script.out!L:L,results.txt!$M579)</f>
        <v>#N/A</v>
      </c>
      <c r="Y579" t="e">
        <f>INDEX(script.out!M:M,results.txt!$M579)</f>
        <v>#N/A</v>
      </c>
      <c r="Z579" t="e">
        <f>INDEX(script.out!N:N,results.txt!$M579)</f>
        <v>#N/A</v>
      </c>
      <c r="AA579" t="e">
        <f>INDEX(script.out!O:O,results.txt!$M579)</f>
        <v>#N/A</v>
      </c>
      <c r="AB579" t="e">
        <f>INDEX(script.out!P:P,results.txt!$M579)</f>
        <v>#N/A</v>
      </c>
      <c r="AC579" t="e">
        <f>INDEX(script.out!Q:Q,results.txt!$M579)</f>
        <v>#N/A</v>
      </c>
      <c r="AD579">
        <f t="shared" si="9"/>
        <v>0</v>
      </c>
    </row>
    <row r="580" spans="9:30" x14ac:dyDescent="0.25">
      <c r="M580" t="e">
        <f>MATCH(C580,script.out!B:B,0)</f>
        <v>#N/A</v>
      </c>
      <c r="N580" t="e">
        <f>INDEX(script.out!B:B,results.txt!$M580)</f>
        <v>#N/A</v>
      </c>
      <c r="O580" t="e">
        <f>INDEX(script.out!C:C,results.txt!$M580)</f>
        <v>#N/A</v>
      </c>
      <c r="P580" t="e">
        <f>INDEX(script.out!D:D,results.txt!$M580)</f>
        <v>#N/A</v>
      </c>
      <c r="Q580" t="e">
        <f>INDEX(script.out!E:E,results.txt!$M580)</f>
        <v>#N/A</v>
      </c>
      <c r="R580" t="e">
        <f>INDEX(script.out!F:F,results.txt!$M580)</f>
        <v>#N/A</v>
      </c>
      <c r="S580" t="e">
        <f>INDEX(script.out!G:G,results.txt!$M580)</f>
        <v>#N/A</v>
      </c>
      <c r="T580" t="e">
        <f>INDEX(script.out!H:H,results.txt!$M580)</f>
        <v>#N/A</v>
      </c>
      <c r="U580" t="e">
        <f>INDEX(script.out!I:I,results.txt!$M580)</f>
        <v>#N/A</v>
      </c>
      <c r="V580" t="e">
        <f>INDEX(script.out!J:J,results.txt!$M580)</f>
        <v>#N/A</v>
      </c>
      <c r="W580" t="e">
        <f>INDEX(script.out!K:K,results.txt!$M580)</f>
        <v>#N/A</v>
      </c>
      <c r="X580" t="e">
        <f>INDEX(script.out!L:L,results.txt!$M580)</f>
        <v>#N/A</v>
      </c>
      <c r="Y580" t="e">
        <f>INDEX(script.out!M:M,results.txt!$M580)</f>
        <v>#N/A</v>
      </c>
      <c r="Z580" t="e">
        <f>INDEX(script.out!N:N,results.txt!$M580)</f>
        <v>#N/A</v>
      </c>
      <c r="AA580" t="e">
        <f>INDEX(script.out!O:O,results.txt!$M580)</f>
        <v>#N/A</v>
      </c>
      <c r="AB580" t="e">
        <f>INDEX(script.out!P:P,results.txt!$M580)</f>
        <v>#N/A</v>
      </c>
      <c r="AC580" t="e">
        <f>INDEX(script.out!Q:Q,results.txt!$M580)</f>
        <v>#N/A</v>
      </c>
      <c r="AD580">
        <f t="shared" si="9"/>
        <v>0</v>
      </c>
    </row>
    <row r="581" spans="9:30" x14ac:dyDescent="0.25">
      <c r="M581" t="e">
        <f>MATCH(C581,script.out!B:B,0)</f>
        <v>#N/A</v>
      </c>
      <c r="N581" t="e">
        <f>INDEX(script.out!B:B,results.txt!$M581)</f>
        <v>#N/A</v>
      </c>
      <c r="O581" t="e">
        <f>INDEX(script.out!C:C,results.txt!$M581)</f>
        <v>#N/A</v>
      </c>
      <c r="P581" t="e">
        <f>INDEX(script.out!D:D,results.txt!$M581)</f>
        <v>#N/A</v>
      </c>
      <c r="Q581" t="e">
        <f>INDEX(script.out!E:E,results.txt!$M581)</f>
        <v>#N/A</v>
      </c>
      <c r="R581" t="e">
        <f>INDEX(script.out!F:F,results.txt!$M581)</f>
        <v>#N/A</v>
      </c>
      <c r="S581" t="e">
        <f>INDEX(script.out!G:G,results.txt!$M581)</f>
        <v>#N/A</v>
      </c>
      <c r="T581" t="e">
        <f>INDEX(script.out!H:H,results.txt!$M581)</f>
        <v>#N/A</v>
      </c>
      <c r="U581" t="e">
        <f>INDEX(script.out!I:I,results.txt!$M581)</f>
        <v>#N/A</v>
      </c>
      <c r="V581" t="e">
        <f>INDEX(script.out!J:J,results.txt!$M581)</f>
        <v>#N/A</v>
      </c>
      <c r="W581" t="e">
        <f>INDEX(script.out!K:K,results.txt!$M581)</f>
        <v>#N/A</v>
      </c>
      <c r="X581" t="e">
        <f>INDEX(script.out!L:L,results.txt!$M581)</f>
        <v>#N/A</v>
      </c>
      <c r="Y581" t="e">
        <f>INDEX(script.out!M:M,results.txt!$M581)</f>
        <v>#N/A</v>
      </c>
      <c r="Z581" t="e">
        <f>INDEX(script.out!N:N,results.txt!$M581)</f>
        <v>#N/A</v>
      </c>
      <c r="AA581" t="e">
        <f>INDEX(script.out!O:O,results.txt!$M581)</f>
        <v>#N/A</v>
      </c>
      <c r="AB581" t="e">
        <f>INDEX(script.out!P:P,results.txt!$M581)</f>
        <v>#N/A</v>
      </c>
      <c r="AC581" t="e">
        <f>INDEX(script.out!Q:Q,results.txt!$M581)</f>
        <v>#N/A</v>
      </c>
      <c r="AD581">
        <f t="shared" si="9"/>
        <v>0</v>
      </c>
    </row>
    <row r="582" spans="9:30" x14ac:dyDescent="0.25">
      <c r="M582" t="e">
        <f>MATCH(C582,script.out!B:B,0)</f>
        <v>#N/A</v>
      </c>
      <c r="N582" t="e">
        <f>INDEX(script.out!B:B,results.txt!$M582)</f>
        <v>#N/A</v>
      </c>
      <c r="O582" t="e">
        <f>INDEX(script.out!C:C,results.txt!$M582)</f>
        <v>#N/A</v>
      </c>
      <c r="P582" t="e">
        <f>INDEX(script.out!D:D,results.txt!$M582)</f>
        <v>#N/A</v>
      </c>
      <c r="Q582" t="e">
        <f>INDEX(script.out!E:E,results.txt!$M582)</f>
        <v>#N/A</v>
      </c>
      <c r="R582" t="e">
        <f>INDEX(script.out!F:F,results.txt!$M582)</f>
        <v>#N/A</v>
      </c>
      <c r="S582" t="e">
        <f>INDEX(script.out!G:G,results.txt!$M582)</f>
        <v>#N/A</v>
      </c>
      <c r="T582" t="e">
        <f>INDEX(script.out!H:H,results.txt!$M582)</f>
        <v>#N/A</v>
      </c>
      <c r="U582" t="e">
        <f>INDEX(script.out!I:I,results.txt!$M582)</f>
        <v>#N/A</v>
      </c>
      <c r="V582" t="e">
        <f>INDEX(script.out!J:J,results.txt!$M582)</f>
        <v>#N/A</v>
      </c>
      <c r="W582" t="e">
        <f>INDEX(script.out!K:K,results.txt!$M582)</f>
        <v>#N/A</v>
      </c>
      <c r="X582" t="e">
        <f>INDEX(script.out!L:L,results.txt!$M582)</f>
        <v>#N/A</v>
      </c>
      <c r="Y582" t="e">
        <f>INDEX(script.out!M:M,results.txt!$M582)</f>
        <v>#N/A</v>
      </c>
      <c r="Z582" t="e">
        <f>INDEX(script.out!N:N,results.txt!$M582)</f>
        <v>#N/A</v>
      </c>
      <c r="AA582" t="e">
        <f>INDEX(script.out!O:O,results.txt!$M582)</f>
        <v>#N/A</v>
      </c>
      <c r="AB582" t="e">
        <f>INDEX(script.out!P:P,results.txt!$M582)</f>
        <v>#N/A</v>
      </c>
      <c r="AC582" t="e">
        <f>INDEX(script.out!Q:Q,results.txt!$M582)</f>
        <v>#N/A</v>
      </c>
      <c r="AD582">
        <f t="shared" si="9"/>
        <v>0</v>
      </c>
    </row>
    <row r="583" spans="9:30" x14ac:dyDescent="0.25">
      <c r="M583" t="e">
        <f>MATCH(C583,script.out!B:B,0)</f>
        <v>#N/A</v>
      </c>
      <c r="N583" t="e">
        <f>INDEX(script.out!B:B,results.txt!$M583)</f>
        <v>#N/A</v>
      </c>
      <c r="O583" t="e">
        <f>INDEX(script.out!C:C,results.txt!$M583)</f>
        <v>#N/A</v>
      </c>
      <c r="P583" t="e">
        <f>INDEX(script.out!D:D,results.txt!$M583)</f>
        <v>#N/A</v>
      </c>
      <c r="Q583" t="e">
        <f>INDEX(script.out!E:E,results.txt!$M583)</f>
        <v>#N/A</v>
      </c>
      <c r="R583" t="e">
        <f>INDEX(script.out!F:F,results.txt!$M583)</f>
        <v>#N/A</v>
      </c>
      <c r="S583" t="e">
        <f>INDEX(script.out!G:G,results.txt!$M583)</f>
        <v>#N/A</v>
      </c>
      <c r="T583" t="e">
        <f>INDEX(script.out!H:H,results.txt!$M583)</f>
        <v>#N/A</v>
      </c>
      <c r="U583" t="e">
        <f>INDEX(script.out!I:I,results.txt!$M583)</f>
        <v>#N/A</v>
      </c>
      <c r="V583" t="e">
        <f>INDEX(script.out!J:J,results.txt!$M583)</f>
        <v>#N/A</v>
      </c>
      <c r="W583" t="e">
        <f>INDEX(script.out!K:K,results.txt!$M583)</f>
        <v>#N/A</v>
      </c>
      <c r="X583" t="e">
        <f>INDEX(script.out!L:L,results.txt!$M583)</f>
        <v>#N/A</v>
      </c>
      <c r="Y583" t="e">
        <f>INDEX(script.out!M:M,results.txt!$M583)</f>
        <v>#N/A</v>
      </c>
      <c r="Z583" t="e">
        <f>INDEX(script.out!N:N,results.txt!$M583)</f>
        <v>#N/A</v>
      </c>
      <c r="AA583" t="e">
        <f>INDEX(script.out!O:O,results.txt!$M583)</f>
        <v>#N/A</v>
      </c>
      <c r="AB583" t="e">
        <f>INDEX(script.out!P:P,results.txt!$M583)</f>
        <v>#N/A</v>
      </c>
      <c r="AC583" t="e">
        <f>INDEX(script.out!Q:Q,results.txt!$M583)</f>
        <v>#N/A</v>
      </c>
      <c r="AD583">
        <f t="shared" si="9"/>
        <v>0</v>
      </c>
    </row>
    <row r="584" spans="9:30" x14ac:dyDescent="0.25">
      <c r="M584" t="e">
        <f>MATCH(C584,script.out!B:B,0)</f>
        <v>#N/A</v>
      </c>
      <c r="N584" t="e">
        <f>INDEX(script.out!B:B,results.txt!$M584)</f>
        <v>#N/A</v>
      </c>
      <c r="O584" t="e">
        <f>INDEX(script.out!C:C,results.txt!$M584)</f>
        <v>#N/A</v>
      </c>
      <c r="P584" t="e">
        <f>INDEX(script.out!D:D,results.txt!$M584)</f>
        <v>#N/A</v>
      </c>
      <c r="Q584" t="e">
        <f>INDEX(script.out!E:E,results.txt!$M584)</f>
        <v>#N/A</v>
      </c>
      <c r="R584" t="e">
        <f>INDEX(script.out!F:F,results.txt!$M584)</f>
        <v>#N/A</v>
      </c>
      <c r="S584" t="e">
        <f>INDEX(script.out!G:G,results.txt!$M584)</f>
        <v>#N/A</v>
      </c>
      <c r="T584" t="e">
        <f>INDEX(script.out!H:H,results.txt!$M584)</f>
        <v>#N/A</v>
      </c>
      <c r="U584" t="e">
        <f>INDEX(script.out!I:I,results.txt!$M584)</f>
        <v>#N/A</v>
      </c>
      <c r="V584" t="e">
        <f>INDEX(script.out!J:J,results.txt!$M584)</f>
        <v>#N/A</v>
      </c>
      <c r="W584" t="e">
        <f>INDEX(script.out!K:K,results.txt!$M584)</f>
        <v>#N/A</v>
      </c>
      <c r="X584" t="e">
        <f>INDEX(script.out!L:L,results.txt!$M584)</f>
        <v>#N/A</v>
      </c>
      <c r="Y584" t="e">
        <f>INDEX(script.out!M:M,results.txt!$M584)</f>
        <v>#N/A</v>
      </c>
      <c r="Z584" t="e">
        <f>INDEX(script.out!N:N,results.txt!$M584)</f>
        <v>#N/A</v>
      </c>
      <c r="AA584" t="e">
        <f>INDEX(script.out!O:O,results.txt!$M584)</f>
        <v>#N/A</v>
      </c>
      <c r="AB584" t="e">
        <f>INDEX(script.out!P:P,results.txt!$M584)</f>
        <v>#N/A</v>
      </c>
      <c r="AC584" t="e">
        <f>INDEX(script.out!Q:Q,results.txt!$M584)</f>
        <v>#N/A</v>
      </c>
      <c r="AD584">
        <f t="shared" si="9"/>
        <v>0</v>
      </c>
    </row>
    <row r="585" spans="9:30" x14ac:dyDescent="0.25">
      <c r="M585" t="e">
        <f>MATCH(C585,script.out!B:B,0)</f>
        <v>#N/A</v>
      </c>
      <c r="N585" t="e">
        <f>INDEX(script.out!B:B,results.txt!$M585)</f>
        <v>#N/A</v>
      </c>
      <c r="O585" t="e">
        <f>INDEX(script.out!C:C,results.txt!$M585)</f>
        <v>#N/A</v>
      </c>
      <c r="P585" t="e">
        <f>INDEX(script.out!D:D,results.txt!$M585)</f>
        <v>#N/A</v>
      </c>
      <c r="Q585" t="e">
        <f>INDEX(script.out!E:E,results.txt!$M585)</f>
        <v>#N/A</v>
      </c>
      <c r="R585" t="e">
        <f>INDEX(script.out!F:F,results.txt!$M585)</f>
        <v>#N/A</v>
      </c>
      <c r="S585" t="e">
        <f>INDEX(script.out!G:G,results.txt!$M585)</f>
        <v>#N/A</v>
      </c>
      <c r="T585" t="e">
        <f>INDEX(script.out!H:H,results.txt!$M585)</f>
        <v>#N/A</v>
      </c>
      <c r="U585" t="e">
        <f>INDEX(script.out!I:I,results.txt!$M585)</f>
        <v>#N/A</v>
      </c>
      <c r="V585" t="e">
        <f>INDEX(script.out!J:J,results.txt!$M585)</f>
        <v>#N/A</v>
      </c>
      <c r="W585" t="e">
        <f>INDEX(script.out!K:K,results.txt!$M585)</f>
        <v>#N/A</v>
      </c>
      <c r="X585" t="e">
        <f>INDEX(script.out!L:L,results.txt!$M585)</f>
        <v>#N/A</v>
      </c>
      <c r="Y585" t="e">
        <f>INDEX(script.out!M:M,results.txt!$M585)</f>
        <v>#N/A</v>
      </c>
      <c r="Z585" t="e">
        <f>INDEX(script.out!N:N,results.txt!$M585)</f>
        <v>#N/A</v>
      </c>
      <c r="AA585" t="e">
        <f>INDEX(script.out!O:O,results.txt!$M585)</f>
        <v>#N/A</v>
      </c>
      <c r="AB585" t="e">
        <f>INDEX(script.out!P:P,results.txt!$M585)</f>
        <v>#N/A</v>
      </c>
      <c r="AC585" t="e">
        <f>INDEX(script.out!Q:Q,results.txt!$M585)</f>
        <v>#N/A</v>
      </c>
      <c r="AD585">
        <f t="shared" si="9"/>
        <v>0</v>
      </c>
    </row>
    <row r="586" spans="9:30" x14ac:dyDescent="0.25">
      <c r="M586" t="e">
        <f>MATCH(C586,script.out!B:B,0)</f>
        <v>#N/A</v>
      </c>
      <c r="N586" t="e">
        <f>INDEX(script.out!B:B,results.txt!$M586)</f>
        <v>#N/A</v>
      </c>
      <c r="O586" t="e">
        <f>INDEX(script.out!C:C,results.txt!$M586)</f>
        <v>#N/A</v>
      </c>
      <c r="P586" t="e">
        <f>INDEX(script.out!D:D,results.txt!$M586)</f>
        <v>#N/A</v>
      </c>
      <c r="Q586" t="e">
        <f>INDEX(script.out!E:E,results.txt!$M586)</f>
        <v>#N/A</v>
      </c>
      <c r="R586" t="e">
        <f>INDEX(script.out!F:F,results.txt!$M586)</f>
        <v>#N/A</v>
      </c>
      <c r="S586" t="e">
        <f>INDEX(script.out!G:G,results.txt!$M586)</f>
        <v>#N/A</v>
      </c>
      <c r="T586" t="e">
        <f>INDEX(script.out!H:H,results.txt!$M586)</f>
        <v>#N/A</v>
      </c>
      <c r="U586" t="e">
        <f>INDEX(script.out!I:I,results.txt!$M586)</f>
        <v>#N/A</v>
      </c>
      <c r="V586" t="e">
        <f>INDEX(script.out!J:J,results.txt!$M586)</f>
        <v>#N/A</v>
      </c>
      <c r="W586" t="e">
        <f>INDEX(script.out!K:K,results.txt!$M586)</f>
        <v>#N/A</v>
      </c>
      <c r="X586" t="e">
        <f>INDEX(script.out!L:L,results.txt!$M586)</f>
        <v>#N/A</v>
      </c>
      <c r="Y586" t="e">
        <f>INDEX(script.out!M:M,results.txt!$M586)</f>
        <v>#N/A</v>
      </c>
      <c r="Z586" t="e">
        <f>INDEX(script.out!N:N,results.txt!$M586)</f>
        <v>#N/A</v>
      </c>
      <c r="AA586" t="e">
        <f>INDEX(script.out!O:O,results.txt!$M586)</f>
        <v>#N/A</v>
      </c>
      <c r="AB586" t="e">
        <f>INDEX(script.out!P:P,results.txt!$M586)</f>
        <v>#N/A</v>
      </c>
      <c r="AC586" t="e">
        <f>INDEX(script.out!Q:Q,results.txt!$M586)</f>
        <v>#N/A</v>
      </c>
      <c r="AD586">
        <f t="shared" si="9"/>
        <v>0</v>
      </c>
    </row>
    <row r="587" spans="9:30" x14ac:dyDescent="0.25">
      <c r="M587" t="e">
        <f>MATCH(C587,script.out!B:B,0)</f>
        <v>#N/A</v>
      </c>
      <c r="N587" t="e">
        <f>INDEX(script.out!B:B,results.txt!$M587)</f>
        <v>#N/A</v>
      </c>
      <c r="O587" t="e">
        <f>INDEX(script.out!C:C,results.txt!$M587)</f>
        <v>#N/A</v>
      </c>
      <c r="P587" t="e">
        <f>INDEX(script.out!D:D,results.txt!$M587)</f>
        <v>#N/A</v>
      </c>
      <c r="Q587" t="e">
        <f>INDEX(script.out!E:E,results.txt!$M587)</f>
        <v>#N/A</v>
      </c>
      <c r="R587" t="e">
        <f>INDEX(script.out!F:F,results.txt!$M587)</f>
        <v>#N/A</v>
      </c>
      <c r="S587" t="e">
        <f>INDEX(script.out!G:G,results.txt!$M587)</f>
        <v>#N/A</v>
      </c>
      <c r="T587" t="e">
        <f>INDEX(script.out!H:H,results.txt!$M587)</f>
        <v>#N/A</v>
      </c>
      <c r="U587" t="e">
        <f>INDEX(script.out!I:I,results.txt!$M587)</f>
        <v>#N/A</v>
      </c>
      <c r="V587" t="e">
        <f>INDEX(script.out!J:J,results.txt!$M587)</f>
        <v>#N/A</v>
      </c>
      <c r="W587" t="e">
        <f>INDEX(script.out!K:K,results.txt!$M587)</f>
        <v>#N/A</v>
      </c>
      <c r="X587" t="e">
        <f>INDEX(script.out!L:L,results.txt!$M587)</f>
        <v>#N/A</v>
      </c>
      <c r="Y587" t="e">
        <f>INDEX(script.out!M:M,results.txt!$M587)</f>
        <v>#N/A</v>
      </c>
      <c r="Z587" t="e">
        <f>INDEX(script.out!N:N,results.txt!$M587)</f>
        <v>#N/A</v>
      </c>
      <c r="AA587" t="e">
        <f>INDEX(script.out!O:O,results.txt!$M587)</f>
        <v>#N/A</v>
      </c>
      <c r="AB587" t="e">
        <f>INDEX(script.out!P:P,results.txt!$M587)</f>
        <v>#N/A</v>
      </c>
      <c r="AC587" t="e">
        <f>INDEX(script.out!Q:Q,results.txt!$M587)</f>
        <v>#N/A</v>
      </c>
      <c r="AD587">
        <f t="shared" si="9"/>
        <v>0</v>
      </c>
    </row>
    <row r="588" spans="9:30" x14ac:dyDescent="0.25">
      <c r="M588" t="e">
        <f>MATCH(C588,script.out!B:B,0)</f>
        <v>#N/A</v>
      </c>
      <c r="N588" t="e">
        <f>INDEX(script.out!B:B,results.txt!$M588)</f>
        <v>#N/A</v>
      </c>
      <c r="O588" t="e">
        <f>INDEX(script.out!C:C,results.txt!$M588)</f>
        <v>#N/A</v>
      </c>
      <c r="P588" t="e">
        <f>INDEX(script.out!D:D,results.txt!$M588)</f>
        <v>#N/A</v>
      </c>
      <c r="Q588" t="e">
        <f>INDEX(script.out!E:E,results.txt!$M588)</f>
        <v>#N/A</v>
      </c>
      <c r="R588" t="e">
        <f>INDEX(script.out!F:F,results.txt!$M588)</f>
        <v>#N/A</v>
      </c>
      <c r="S588" t="e">
        <f>INDEX(script.out!G:G,results.txt!$M588)</f>
        <v>#N/A</v>
      </c>
      <c r="T588" t="e">
        <f>INDEX(script.out!H:H,results.txt!$M588)</f>
        <v>#N/A</v>
      </c>
      <c r="U588" t="e">
        <f>INDEX(script.out!I:I,results.txt!$M588)</f>
        <v>#N/A</v>
      </c>
      <c r="V588" t="e">
        <f>INDEX(script.out!J:J,results.txt!$M588)</f>
        <v>#N/A</v>
      </c>
      <c r="W588" t="e">
        <f>INDEX(script.out!K:K,results.txt!$M588)</f>
        <v>#N/A</v>
      </c>
      <c r="X588" t="e">
        <f>INDEX(script.out!L:L,results.txt!$M588)</f>
        <v>#N/A</v>
      </c>
      <c r="Y588" t="e">
        <f>INDEX(script.out!M:M,results.txt!$M588)</f>
        <v>#N/A</v>
      </c>
      <c r="Z588" t="e">
        <f>INDEX(script.out!N:N,results.txt!$M588)</f>
        <v>#N/A</v>
      </c>
      <c r="AA588" t="e">
        <f>INDEX(script.out!O:O,results.txt!$M588)</f>
        <v>#N/A</v>
      </c>
      <c r="AB588" t="e">
        <f>INDEX(script.out!P:P,results.txt!$M588)</f>
        <v>#N/A</v>
      </c>
      <c r="AC588" t="e">
        <f>INDEX(script.out!Q:Q,results.txt!$M588)</f>
        <v>#N/A</v>
      </c>
      <c r="AD588">
        <f t="shared" si="9"/>
        <v>0</v>
      </c>
    </row>
    <row r="589" spans="9:30" x14ac:dyDescent="0.25">
      <c r="M589" t="e">
        <f>MATCH(C589,script.out!B:B,0)</f>
        <v>#N/A</v>
      </c>
      <c r="N589" t="e">
        <f>INDEX(script.out!B:B,results.txt!$M589)</f>
        <v>#N/A</v>
      </c>
      <c r="O589" t="e">
        <f>INDEX(script.out!C:C,results.txt!$M589)</f>
        <v>#N/A</v>
      </c>
      <c r="P589" t="e">
        <f>INDEX(script.out!D:D,results.txt!$M589)</f>
        <v>#N/A</v>
      </c>
      <c r="Q589" t="e">
        <f>INDEX(script.out!E:E,results.txt!$M589)</f>
        <v>#N/A</v>
      </c>
      <c r="R589" t="e">
        <f>INDEX(script.out!F:F,results.txt!$M589)</f>
        <v>#N/A</v>
      </c>
      <c r="S589" t="e">
        <f>INDEX(script.out!G:G,results.txt!$M589)</f>
        <v>#N/A</v>
      </c>
      <c r="T589" t="e">
        <f>INDEX(script.out!H:H,results.txt!$M589)</f>
        <v>#N/A</v>
      </c>
      <c r="U589" t="e">
        <f>INDEX(script.out!I:I,results.txt!$M589)</f>
        <v>#N/A</v>
      </c>
      <c r="V589" t="e">
        <f>INDEX(script.out!J:J,results.txt!$M589)</f>
        <v>#N/A</v>
      </c>
      <c r="W589" t="e">
        <f>INDEX(script.out!K:K,results.txt!$M589)</f>
        <v>#N/A</v>
      </c>
      <c r="X589" t="e">
        <f>INDEX(script.out!L:L,results.txt!$M589)</f>
        <v>#N/A</v>
      </c>
      <c r="Y589" t="e">
        <f>INDEX(script.out!M:M,results.txt!$M589)</f>
        <v>#N/A</v>
      </c>
      <c r="Z589" t="e">
        <f>INDEX(script.out!N:N,results.txt!$M589)</f>
        <v>#N/A</v>
      </c>
      <c r="AA589" t="e">
        <f>INDEX(script.out!O:O,results.txt!$M589)</f>
        <v>#N/A</v>
      </c>
      <c r="AB589" t="e">
        <f>INDEX(script.out!P:P,results.txt!$M589)</f>
        <v>#N/A</v>
      </c>
      <c r="AC589" t="e">
        <f>INDEX(script.out!Q:Q,results.txt!$M589)</f>
        <v>#N/A</v>
      </c>
      <c r="AD589">
        <f t="shared" si="9"/>
        <v>0</v>
      </c>
    </row>
    <row r="590" spans="9:30" x14ac:dyDescent="0.25">
      <c r="M590" t="e">
        <f>MATCH(C590,script.out!B:B,0)</f>
        <v>#N/A</v>
      </c>
      <c r="N590" t="e">
        <f>INDEX(script.out!B:B,results.txt!$M590)</f>
        <v>#N/A</v>
      </c>
      <c r="O590" t="e">
        <f>INDEX(script.out!C:C,results.txt!$M590)</f>
        <v>#N/A</v>
      </c>
      <c r="P590" t="e">
        <f>INDEX(script.out!D:D,results.txt!$M590)</f>
        <v>#N/A</v>
      </c>
      <c r="Q590" t="e">
        <f>INDEX(script.out!E:E,results.txt!$M590)</f>
        <v>#N/A</v>
      </c>
      <c r="R590" t="e">
        <f>INDEX(script.out!F:F,results.txt!$M590)</f>
        <v>#N/A</v>
      </c>
      <c r="S590" t="e">
        <f>INDEX(script.out!G:G,results.txt!$M590)</f>
        <v>#N/A</v>
      </c>
      <c r="T590" t="e">
        <f>INDEX(script.out!H:H,results.txt!$M590)</f>
        <v>#N/A</v>
      </c>
      <c r="U590" t="e">
        <f>INDEX(script.out!I:I,results.txt!$M590)</f>
        <v>#N/A</v>
      </c>
      <c r="V590" t="e">
        <f>INDEX(script.out!J:J,results.txt!$M590)</f>
        <v>#N/A</v>
      </c>
      <c r="W590" t="e">
        <f>INDEX(script.out!K:K,results.txt!$M590)</f>
        <v>#N/A</v>
      </c>
      <c r="X590" t="e">
        <f>INDEX(script.out!L:L,results.txt!$M590)</f>
        <v>#N/A</v>
      </c>
      <c r="Y590" t="e">
        <f>INDEX(script.out!M:M,results.txt!$M590)</f>
        <v>#N/A</v>
      </c>
      <c r="Z590" t="e">
        <f>INDEX(script.out!N:N,results.txt!$M590)</f>
        <v>#N/A</v>
      </c>
      <c r="AA590" t="e">
        <f>INDEX(script.out!O:O,results.txt!$M590)</f>
        <v>#N/A</v>
      </c>
      <c r="AB590" t="e">
        <f>INDEX(script.out!P:P,results.txt!$M590)</f>
        <v>#N/A</v>
      </c>
      <c r="AC590" t="e">
        <f>INDEX(script.out!Q:Q,results.txt!$M590)</f>
        <v>#N/A</v>
      </c>
      <c r="AD590">
        <f t="shared" si="9"/>
        <v>0</v>
      </c>
    </row>
    <row r="591" spans="9:30" x14ac:dyDescent="0.25">
      <c r="M591" t="e">
        <f>MATCH(C591,script.out!B:B,0)</f>
        <v>#N/A</v>
      </c>
      <c r="N591" t="e">
        <f>INDEX(script.out!B:B,results.txt!$M591)</f>
        <v>#N/A</v>
      </c>
      <c r="O591" t="e">
        <f>INDEX(script.out!C:C,results.txt!$M591)</f>
        <v>#N/A</v>
      </c>
      <c r="P591" t="e">
        <f>INDEX(script.out!D:D,results.txt!$M591)</f>
        <v>#N/A</v>
      </c>
      <c r="Q591" t="e">
        <f>INDEX(script.out!E:E,results.txt!$M591)</f>
        <v>#N/A</v>
      </c>
      <c r="R591" t="e">
        <f>INDEX(script.out!F:F,results.txt!$M591)</f>
        <v>#N/A</v>
      </c>
      <c r="S591" t="e">
        <f>INDEX(script.out!G:G,results.txt!$M591)</f>
        <v>#N/A</v>
      </c>
      <c r="T591" t="e">
        <f>INDEX(script.out!H:H,results.txt!$M591)</f>
        <v>#N/A</v>
      </c>
      <c r="U591" t="e">
        <f>INDEX(script.out!I:I,results.txt!$M591)</f>
        <v>#N/A</v>
      </c>
      <c r="V591" t="e">
        <f>INDEX(script.out!J:J,results.txt!$M591)</f>
        <v>#N/A</v>
      </c>
      <c r="W591" t="e">
        <f>INDEX(script.out!K:K,results.txt!$M591)</f>
        <v>#N/A</v>
      </c>
      <c r="X591" t="e">
        <f>INDEX(script.out!L:L,results.txt!$M591)</f>
        <v>#N/A</v>
      </c>
      <c r="Y591" t="e">
        <f>INDEX(script.out!M:M,results.txt!$M591)</f>
        <v>#N/A</v>
      </c>
      <c r="Z591" t="e">
        <f>INDEX(script.out!N:N,results.txt!$M591)</f>
        <v>#N/A</v>
      </c>
      <c r="AA591" t="e">
        <f>INDEX(script.out!O:O,results.txt!$M591)</f>
        <v>#N/A</v>
      </c>
      <c r="AB591" t="e">
        <f>INDEX(script.out!P:P,results.txt!$M591)</f>
        <v>#N/A</v>
      </c>
      <c r="AC591" t="e">
        <f>INDEX(script.out!Q:Q,results.txt!$M591)</f>
        <v>#N/A</v>
      </c>
      <c r="AD591">
        <f t="shared" si="9"/>
        <v>0</v>
      </c>
    </row>
    <row r="592" spans="9:30" x14ac:dyDescent="0.25">
      <c r="M592" t="e">
        <f>MATCH(C592,script.out!B:B,0)</f>
        <v>#N/A</v>
      </c>
      <c r="N592" t="e">
        <f>INDEX(script.out!B:B,results.txt!$M592)</f>
        <v>#N/A</v>
      </c>
      <c r="O592" t="e">
        <f>INDEX(script.out!C:C,results.txt!$M592)</f>
        <v>#N/A</v>
      </c>
      <c r="P592" t="e">
        <f>INDEX(script.out!D:D,results.txt!$M592)</f>
        <v>#N/A</v>
      </c>
      <c r="Q592" t="e">
        <f>INDEX(script.out!E:E,results.txt!$M592)</f>
        <v>#N/A</v>
      </c>
      <c r="R592" t="e">
        <f>INDEX(script.out!F:F,results.txt!$M592)</f>
        <v>#N/A</v>
      </c>
      <c r="S592" t="e">
        <f>INDEX(script.out!G:G,results.txt!$M592)</f>
        <v>#N/A</v>
      </c>
      <c r="T592" t="e">
        <f>INDEX(script.out!H:H,results.txt!$M592)</f>
        <v>#N/A</v>
      </c>
      <c r="U592" t="e">
        <f>INDEX(script.out!I:I,results.txt!$M592)</f>
        <v>#N/A</v>
      </c>
      <c r="V592" t="e">
        <f>INDEX(script.out!J:J,results.txt!$M592)</f>
        <v>#N/A</v>
      </c>
      <c r="W592" t="e">
        <f>INDEX(script.out!K:K,results.txt!$M592)</f>
        <v>#N/A</v>
      </c>
      <c r="X592" t="e">
        <f>INDEX(script.out!L:L,results.txt!$M592)</f>
        <v>#N/A</v>
      </c>
      <c r="Y592" t="e">
        <f>INDEX(script.out!M:M,results.txt!$M592)</f>
        <v>#N/A</v>
      </c>
      <c r="Z592" t="e">
        <f>INDEX(script.out!N:N,results.txt!$M592)</f>
        <v>#N/A</v>
      </c>
      <c r="AA592" t="e">
        <f>INDEX(script.out!O:O,results.txt!$M592)</f>
        <v>#N/A</v>
      </c>
      <c r="AB592" t="e">
        <f>INDEX(script.out!P:P,results.txt!$M592)</f>
        <v>#N/A</v>
      </c>
      <c r="AC592" t="e">
        <f>INDEX(script.out!Q:Q,results.txt!$M592)</f>
        <v>#N/A</v>
      </c>
      <c r="AD592">
        <f t="shared" si="9"/>
        <v>0</v>
      </c>
    </row>
    <row r="593" spans="13:30" x14ac:dyDescent="0.25">
      <c r="M593" t="e">
        <f>MATCH(C593,script.out!B:B,0)</f>
        <v>#N/A</v>
      </c>
      <c r="N593" t="e">
        <f>INDEX(script.out!B:B,results.txt!$M593)</f>
        <v>#N/A</v>
      </c>
      <c r="O593" t="e">
        <f>INDEX(script.out!C:C,results.txt!$M593)</f>
        <v>#N/A</v>
      </c>
      <c r="P593" t="e">
        <f>INDEX(script.out!D:D,results.txt!$M593)</f>
        <v>#N/A</v>
      </c>
      <c r="Q593" t="e">
        <f>INDEX(script.out!E:E,results.txt!$M593)</f>
        <v>#N/A</v>
      </c>
      <c r="R593" t="e">
        <f>INDEX(script.out!F:F,results.txt!$M593)</f>
        <v>#N/A</v>
      </c>
      <c r="S593" t="e">
        <f>INDEX(script.out!G:G,results.txt!$M593)</f>
        <v>#N/A</v>
      </c>
      <c r="T593" t="e">
        <f>INDEX(script.out!H:H,results.txt!$M593)</f>
        <v>#N/A</v>
      </c>
      <c r="U593" t="e">
        <f>INDEX(script.out!I:I,results.txt!$M593)</f>
        <v>#N/A</v>
      </c>
      <c r="V593" t="e">
        <f>INDEX(script.out!J:J,results.txt!$M593)</f>
        <v>#N/A</v>
      </c>
      <c r="W593" t="e">
        <f>INDEX(script.out!K:K,results.txt!$M593)</f>
        <v>#N/A</v>
      </c>
      <c r="X593" t="e">
        <f>INDEX(script.out!L:L,results.txt!$M593)</f>
        <v>#N/A</v>
      </c>
      <c r="Y593" t="e">
        <f>INDEX(script.out!M:M,results.txt!$M593)</f>
        <v>#N/A</v>
      </c>
      <c r="Z593" t="e">
        <f>INDEX(script.out!N:N,results.txt!$M593)</f>
        <v>#N/A</v>
      </c>
      <c r="AA593" t="e">
        <f>INDEX(script.out!O:O,results.txt!$M593)</f>
        <v>#N/A</v>
      </c>
      <c r="AB593" t="e">
        <f>INDEX(script.out!P:P,results.txt!$M593)</f>
        <v>#N/A</v>
      </c>
      <c r="AC593" t="e">
        <f>INDEX(script.out!Q:Q,results.txt!$M593)</f>
        <v>#N/A</v>
      </c>
      <c r="AD593">
        <f t="shared" si="9"/>
        <v>0</v>
      </c>
    </row>
    <row r="594" spans="13:30" x14ac:dyDescent="0.25">
      <c r="M594" t="e">
        <f>MATCH(C594,script.out!B:B,0)</f>
        <v>#N/A</v>
      </c>
      <c r="N594" t="e">
        <f>INDEX(script.out!B:B,results.txt!$M594)</f>
        <v>#N/A</v>
      </c>
      <c r="O594" t="e">
        <f>INDEX(script.out!C:C,results.txt!$M594)</f>
        <v>#N/A</v>
      </c>
      <c r="P594" t="e">
        <f>INDEX(script.out!D:D,results.txt!$M594)</f>
        <v>#N/A</v>
      </c>
      <c r="Q594" t="e">
        <f>INDEX(script.out!E:E,results.txt!$M594)</f>
        <v>#N/A</v>
      </c>
      <c r="R594" t="e">
        <f>INDEX(script.out!F:F,results.txt!$M594)</f>
        <v>#N/A</v>
      </c>
      <c r="S594" t="e">
        <f>INDEX(script.out!G:G,results.txt!$M594)</f>
        <v>#N/A</v>
      </c>
      <c r="T594" t="e">
        <f>INDEX(script.out!H:H,results.txt!$M594)</f>
        <v>#N/A</v>
      </c>
      <c r="U594" t="e">
        <f>INDEX(script.out!I:I,results.txt!$M594)</f>
        <v>#N/A</v>
      </c>
      <c r="V594" t="e">
        <f>INDEX(script.out!J:J,results.txt!$M594)</f>
        <v>#N/A</v>
      </c>
      <c r="W594" t="e">
        <f>INDEX(script.out!K:K,results.txt!$M594)</f>
        <v>#N/A</v>
      </c>
      <c r="X594" t="e">
        <f>INDEX(script.out!L:L,results.txt!$M594)</f>
        <v>#N/A</v>
      </c>
      <c r="Y594" t="e">
        <f>INDEX(script.out!M:M,results.txt!$M594)</f>
        <v>#N/A</v>
      </c>
      <c r="Z594" t="e">
        <f>INDEX(script.out!N:N,results.txt!$M594)</f>
        <v>#N/A</v>
      </c>
      <c r="AA594" t="e">
        <f>INDEX(script.out!O:O,results.txt!$M594)</f>
        <v>#N/A</v>
      </c>
      <c r="AB594" t="e">
        <f>INDEX(script.out!P:P,results.txt!$M594)</f>
        <v>#N/A</v>
      </c>
      <c r="AC594" t="e">
        <f>INDEX(script.out!Q:Q,results.txt!$M594)</f>
        <v>#N/A</v>
      </c>
      <c r="AD594">
        <f t="shared" si="9"/>
        <v>0</v>
      </c>
    </row>
    <row r="595" spans="13:30" x14ac:dyDescent="0.25">
      <c r="M595" t="e">
        <f>MATCH(C595,script.out!B:B,0)</f>
        <v>#N/A</v>
      </c>
      <c r="N595" t="e">
        <f>INDEX(script.out!B:B,results.txt!$M595)</f>
        <v>#N/A</v>
      </c>
      <c r="O595" t="e">
        <f>INDEX(script.out!C:C,results.txt!$M595)</f>
        <v>#N/A</v>
      </c>
      <c r="P595" t="e">
        <f>INDEX(script.out!D:D,results.txt!$M595)</f>
        <v>#N/A</v>
      </c>
      <c r="Q595" t="e">
        <f>INDEX(script.out!E:E,results.txt!$M595)</f>
        <v>#N/A</v>
      </c>
      <c r="R595" t="e">
        <f>INDEX(script.out!F:F,results.txt!$M595)</f>
        <v>#N/A</v>
      </c>
      <c r="S595" t="e">
        <f>INDEX(script.out!G:G,results.txt!$M595)</f>
        <v>#N/A</v>
      </c>
      <c r="T595" t="e">
        <f>INDEX(script.out!H:H,results.txt!$M595)</f>
        <v>#N/A</v>
      </c>
      <c r="U595" t="e">
        <f>INDEX(script.out!I:I,results.txt!$M595)</f>
        <v>#N/A</v>
      </c>
      <c r="V595" t="e">
        <f>INDEX(script.out!J:J,results.txt!$M595)</f>
        <v>#N/A</v>
      </c>
      <c r="W595" t="e">
        <f>INDEX(script.out!K:K,results.txt!$M595)</f>
        <v>#N/A</v>
      </c>
      <c r="X595" t="e">
        <f>INDEX(script.out!L:L,results.txt!$M595)</f>
        <v>#N/A</v>
      </c>
      <c r="Y595" t="e">
        <f>INDEX(script.out!M:M,results.txt!$M595)</f>
        <v>#N/A</v>
      </c>
      <c r="Z595" t="e">
        <f>INDEX(script.out!N:N,results.txt!$M595)</f>
        <v>#N/A</v>
      </c>
      <c r="AA595" t="e">
        <f>INDEX(script.out!O:O,results.txt!$M595)</f>
        <v>#N/A</v>
      </c>
      <c r="AB595" t="e">
        <f>INDEX(script.out!P:P,results.txt!$M595)</f>
        <v>#N/A</v>
      </c>
      <c r="AC595" t="e">
        <f>INDEX(script.out!Q:Q,results.txt!$M595)</f>
        <v>#N/A</v>
      </c>
      <c r="AD595">
        <f t="shared" si="9"/>
        <v>0</v>
      </c>
    </row>
    <row r="596" spans="13:30" x14ac:dyDescent="0.25">
      <c r="M596" t="e">
        <f>MATCH(C596,script.out!B:B,0)</f>
        <v>#N/A</v>
      </c>
      <c r="N596" t="e">
        <f>INDEX(script.out!B:B,results.txt!$M596)</f>
        <v>#N/A</v>
      </c>
      <c r="O596" t="e">
        <f>INDEX(script.out!C:C,results.txt!$M596)</f>
        <v>#N/A</v>
      </c>
      <c r="P596" t="e">
        <f>INDEX(script.out!D:D,results.txt!$M596)</f>
        <v>#N/A</v>
      </c>
      <c r="Q596" t="e">
        <f>INDEX(script.out!E:E,results.txt!$M596)</f>
        <v>#N/A</v>
      </c>
      <c r="R596" t="e">
        <f>INDEX(script.out!F:F,results.txt!$M596)</f>
        <v>#N/A</v>
      </c>
      <c r="S596" t="e">
        <f>INDEX(script.out!G:G,results.txt!$M596)</f>
        <v>#N/A</v>
      </c>
      <c r="T596" t="e">
        <f>INDEX(script.out!H:H,results.txt!$M596)</f>
        <v>#N/A</v>
      </c>
      <c r="U596" t="e">
        <f>INDEX(script.out!I:I,results.txt!$M596)</f>
        <v>#N/A</v>
      </c>
      <c r="V596" t="e">
        <f>INDEX(script.out!J:J,results.txt!$M596)</f>
        <v>#N/A</v>
      </c>
      <c r="W596" t="e">
        <f>INDEX(script.out!K:K,results.txt!$M596)</f>
        <v>#N/A</v>
      </c>
      <c r="X596" t="e">
        <f>INDEX(script.out!L:L,results.txt!$M596)</f>
        <v>#N/A</v>
      </c>
      <c r="Y596" t="e">
        <f>INDEX(script.out!M:M,results.txt!$M596)</f>
        <v>#N/A</v>
      </c>
      <c r="Z596" t="e">
        <f>INDEX(script.out!N:N,results.txt!$M596)</f>
        <v>#N/A</v>
      </c>
      <c r="AA596" t="e">
        <f>INDEX(script.out!O:O,results.txt!$M596)</f>
        <v>#N/A</v>
      </c>
      <c r="AB596" t="e">
        <f>INDEX(script.out!P:P,results.txt!$M596)</f>
        <v>#N/A</v>
      </c>
      <c r="AC596" t="e">
        <f>INDEX(script.out!Q:Q,results.txt!$M596)</f>
        <v>#N/A</v>
      </c>
      <c r="AD596">
        <f t="shared" si="9"/>
        <v>0</v>
      </c>
    </row>
    <row r="597" spans="13:30" x14ac:dyDescent="0.25">
      <c r="M597" t="e">
        <f>MATCH(C597,script.out!B:B,0)</f>
        <v>#N/A</v>
      </c>
      <c r="N597" t="e">
        <f>INDEX(script.out!B:B,results.txt!$M597)</f>
        <v>#N/A</v>
      </c>
      <c r="O597" t="e">
        <f>INDEX(script.out!C:C,results.txt!$M597)</f>
        <v>#N/A</v>
      </c>
      <c r="P597" t="e">
        <f>INDEX(script.out!D:D,results.txt!$M597)</f>
        <v>#N/A</v>
      </c>
      <c r="Q597" t="e">
        <f>INDEX(script.out!E:E,results.txt!$M597)</f>
        <v>#N/A</v>
      </c>
      <c r="R597" t="e">
        <f>INDEX(script.out!F:F,results.txt!$M597)</f>
        <v>#N/A</v>
      </c>
      <c r="S597" t="e">
        <f>INDEX(script.out!G:G,results.txt!$M597)</f>
        <v>#N/A</v>
      </c>
      <c r="T597" t="e">
        <f>INDEX(script.out!H:H,results.txt!$M597)</f>
        <v>#N/A</v>
      </c>
      <c r="U597" t="e">
        <f>INDEX(script.out!I:I,results.txt!$M597)</f>
        <v>#N/A</v>
      </c>
      <c r="V597" t="e">
        <f>INDEX(script.out!J:J,results.txt!$M597)</f>
        <v>#N/A</v>
      </c>
      <c r="W597" t="e">
        <f>INDEX(script.out!K:K,results.txt!$M597)</f>
        <v>#N/A</v>
      </c>
      <c r="X597" t="e">
        <f>INDEX(script.out!L:L,results.txt!$M597)</f>
        <v>#N/A</v>
      </c>
      <c r="Y597" t="e">
        <f>INDEX(script.out!M:M,results.txt!$M597)</f>
        <v>#N/A</v>
      </c>
      <c r="Z597" t="e">
        <f>INDEX(script.out!N:N,results.txt!$M597)</f>
        <v>#N/A</v>
      </c>
      <c r="AA597" t="e">
        <f>INDEX(script.out!O:O,results.txt!$M597)</f>
        <v>#N/A</v>
      </c>
      <c r="AB597" t="e">
        <f>INDEX(script.out!P:P,results.txt!$M597)</f>
        <v>#N/A</v>
      </c>
      <c r="AC597" t="e">
        <f>INDEX(script.out!Q:Q,results.txt!$M597)</f>
        <v>#N/A</v>
      </c>
      <c r="AD597">
        <f t="shared" si="9"/>
        <v>0</v>
      </c>
    </row>
    <row r="598" spans="13:30" x14ac:dyDescent="0.25">
      <c r="M598" t="e">
        <f>MATCH(C598,script.out!B:B,0)</f>
        <v>#N/A</v>
      </c>
      <c r="N598" t="e">
        <f>INDEX(script.out!B:B,results.txt!$M598)</f>
        <v>#N/A</v>
      </c>
      <c r="O598" t="e">
        <f>INDEX(script.out!C:C,results.txt!$M598)</f>
        <v>#N/A</v>
      </c>
      <c r="P598" t="e">
        <f>INDEX(script.out!D:D,results.txt!$M598)</f>
        <v>#N/A</v>
      </c>
      <c r="Q598" t="e">
        <f>INDEX(script.out!E:E,results.txt!$M598)</f>
        <v>#N/A</v>
      </c>
      <c r="R598" t="e">
        <f>INDEX(script.out!F:F,results.txt!$M598)</f>
        <v>#N/A</v>
      </c>
      <c r="S598" t="e">
        <f>INDEX(script.out!G:G,results.txt!$M598)</f>
        <v>#N/A</v>
      </c>
      <c r="T598" t="e">
        <f>INDEX(script.out!H:H,results.txt!$M598)</f>
        <v>#N/A</v>
      </c>
      <c r="U598" t="e">
        <f>INDEX(script.out!I:I,results.txt!$M598)</f>
        <v>#N/A</v>
      </c>
      <c r="V598" t="e">
        <f>INDEX(script.out!J:J,results.txt!$M598)</f>
        <v>#N/A</v>
      </c>
      <c r="W598" t="e">
        <f>INDEX(script.out!K:K,results.txt!$M598)</f>
        <v>#N/A</v>
      </c>
      <c r="X598" t="e">
        <f>INDEX(script.out!L:L,results.txt!$M598)</f>
        <v>#N/A</v>
      </c>
      <c r="Y598" t="e">
        <f>INDEX(script.out!M:M,results.txt!$M598)</f>
        <v>#N/A</v>
      </c>
      <c r="Z598" t="e">
        <f>INDEX(script.out!N:N,results.txt!$M598)</f>
        <v>#N/A</v>
      </c>
      <c r="AA598" t="e">
        <f>INDEX(script.out!O:O,results.txt!$M598)</f>
        <v>#N/A</v>
      </c>
      <c r="AB598" t="e">
        <f>INDEX(script.out!P:P,results.txt!$M598)</f>
        <v>#N/A</v>
      </c>
      <c r="AC598" t="e">
        <f>INDEX(script.out!Q:Q,results.txt!$M598)</f>
        <v>#N/A</v>
      </c>
      <c r="AD598">
        <f t="shared" si="9"/>
        <v>0</v>
      </c>
    </row>
    <row r="599" spans="13:30" x14ac:dyDescent="0.25">
      <c r="M599" t="e">
        <f>MATCH(C599,script.out!B:B,0)</f>
        <v>#N/A</v>
      </c>
      <c r="N599" t="e">
        <f>INDEX(script.out!B:B,results.txt!$M599)</f>
        <v>#N/A</v>
      </c>
      <c r="O599" t="e">
        <f>INDEX(script.out!C:C,results.txt!$M599)</f>
        <v>#N/A</v>
      </c>
      <c r="P599" t="e">
        <f>INDEX(script.out!D:D,results.txt!$M599)</f>
        <v>#N/A</v>
      </c>
      <c r="Q599" t="e">
        <f>INDEX(script.out!E:E,results.txt!$M599)</f>
        <v>#N/A</v>
      </c>
      <c r="R599" t="e">
        <f>INDEX(script.out!F:F,results.txt!$M599)</f>
        <v>#N/A</v>
      </c>
      <c r="S599" t="e">
        <f>INDEX(script.out!G:G,results.txt!$M599)</f>
        <v>#N/A</v>
      </c>
      <c r="T599" t="e">
        <f>INDEX(script.out!H:H,results.txt!$M599)</f>
        <v>#N/A</v>
      </c>
      <c r="U599" t="e">
        <f>INDEX(script.out!I:I,results.txt!$M599)</f>
        <v>#N/A</v>
      </c>
      <c r="V599" t="e">
        <f>INDEX(script.out!J:J,results.txt!$M599)</f>
        <v>#N/A</v>
      </c>
      <c r="W599" t="e">
        <f>INDEX(script.out!K:K,results.txt!$M599)</f>
        <v>#N/A</v>
      </c>
      <c r="X599" t="e">
        <f>INDEX(script.out!L:L,results.txt!$M599)</f>
        <v>#N/A</v>
      </c>
      <c r="Y599" t="e">
        <f>INDEX(script.out!M:M,results.txt!$M599)</f>
        <v>#N/A</v>
      </c>
      <c r="Z599" t="e">
        <f>INDEX(script.out!N:N,results.txt!$M599)</f>
        <v>#N/A</v>
      </c>
      <c r="AA599" t="e">
        <f>INDEX(script.out!O:O,results.txt!$M599)</f>
        <v>#N/A</v>
      </c>
      <c r="AB599" t="e">
        <f>INDEX(script.out!P:P,results.txt!$M599)</f>
        <v>#N/A</v>
      </c>
      <c r="AC599" t="e">
        <f>INDEX(script.out!Q:Q,results.txt!$M599)</f>
        <v>#N/A</v>
      </c>
      <c r="AD599">
        <f t="shared" si="9"/>
        <v>0</v>
      </c>
    </row>
    <row r="600" spans="13:30" x14ac:dyDescent="0.25">
      <c r="M600" t="e">
        <f>MATCH(C600,script.out!B:B,0)</f>
        <v>#N/A</v>
      </c>
      <c r="N600" t="e">
        <f>INDEX(script.out!B:B,results.txt!$M600)</f>
        <v>#N/A</v>
      </c>
      <c r="O600" t="e">
        <f>INDEX(script.out!C:C,results.txt!$M600)</f>
        <v>#N/A</v>
      </c>
      <c r="P600" t="e">
        <f>INDEX(script.out!D:D,results.txt!$M600)</f>
        <v>#N/A</v>
      </c>
      <c r="Q600" t="e">
        <f>INDEX(script.out!E:E,results.txt!$M600)</f>
        <v>#N/A</v>
      </c>
      <c r="R600" t="e">
        <f>INDEX(script.out!F:F,results.txt!$M600)</f>
        <v>#N/A</v>
      </c>
      <c r="S600" t="e">
        <f>INDEX(script.out!G:G,results.txt!$M600)</f>
        <v>#N/A</v>
      </c>
      <c r="T600" t="e">
        <f>INDEX(script.out!H:H,results.txt!$M600)</f>
        <v>#N/A</v>
      </c>
      <c r="U600" t="e">
        <f>INDEX(script.out!I:I,results.txt!$M600)</f>
        <v>#N/A</v>
      </c>
      <c r="V600" t="e">
        <f>INDEX(script.out!J:J,results.txt!$M600)</f>
        <v>#N/A</v>
      </c>
      <c r="W600" t="e">
        <f>INDEX(script.out!K:K,results.txt!$M600)</f>
        <v>#N/A</v>
      </c>
      <c r="X600" t="e">
        <f>INDEX(script.out!L:L,results.txt!$M600)</f>
        <v>#N/A</v>
      </c>
      <c r="Y600" t="e">
        <f>INDEX(script.out!M:M,results.txt!$M600)</f>
        <v>#N/A</v>
      </c>
      <c r="Z600" t="e">
        <f>INDEX(script.out!N:N,results.txt!$M600)</f>
        <v>#N/A</v>
      </c>
      <c r="AA600" t="e">
        <f>INDEX(script.out!O:O,results.txt!$M600)</f>
        <v>#N/A</v>
      </c>
      <c r="AB600" t="e">
        <f>INDEX(script.out!P:P,results.txt!$M600)</f>
        <v>#N/A</v>
      </c>
      <c r="AC600" t="e">
        <f>INDEX(script.out!Q:Q,results.txt!$M600)</f>
        <v>#N/A</v>
      </c>
      <c r="AD600">
        <f t="shared" si="9"/>
        <v>0</v>
      </c>
    </row>
    <row r="601" spans="13:30" x14ac:dyDescent="0.25">
      <c r="M601" t="e">
        <f>MATCH(C601,script.out!B:B,0)</f>
        <v>#N/A</v>
      </c>
      <c r="N601" t="e">
        <f>INDEX(script.out!B:B,results.txt!$M601)</f>
        <v>#N/A</v>
      </c>
      <c r="O601" t="e">
        <f>INDEX(script.out!C:C,results.txt!$M601)</f>
        <v>#N/A</v>
      </c>
      <c r="P601" t="e">
        <f>INDEX(script.out!D:D,results.txt!$M601)</f>
        <v>#N/A</v>
      </c>
      <c r="Q601" t="e">
        <f>INDEX(script.out!E:E,results.txt!$M601)</f>
        <v>#N/A</v>
      </c>
      <c r="R601" t="e">
        <f>INDEX(script.out!F:F,results.txt!$M601)</f>
        <v>#N/A</v>
      </c>
      <c r="S601" t="e">
        <f>INDEX(script.out!G:G,results.txt!$M601)</f>
        <v>#N/A</v>
      </c>
      <c r="T601" t="e">
        <f>INDEX(script.out!H:H,results.txt!$M601)</f>
        <v>#N/A</v>
      </c>
      <c r="U601" t="e">
        <f>INDEX(script.out!I:I,results.txt!$M601)</f>
        <v>#N/A</v>
      </c>
      <c r="V601" t="e">
        <f>INDEX(script.out!J:J,results.txt!$M601)</f>
        <v>#N/A</v>
      </c>
      <c r="W601" t="e">
        <f>INDEX(script.out!K:K,results.txt!$M601)</f>
        <v>#N/A</v>
      </c>
      <c r="X601" t="e">
        <f>INDEX(script.out!L:L,results.txt!$M601)</f>
        <v>#N/A</v>
      </c>
      <c r="Y601" t="e">
        <f>INDEX(script.out!M:M,results.txt!$M601)</f>
        <v>#N/A</v>
      </c>
      <c r="Z601" t="e">
        <f>INDEX(script.out!N:N,results.txt!$M601)</f>
        <v>#N/A</v>
      </c>
      <c r="AA601" t="e">
        <f>INDEX(script.out!O:O,results.txt!$M601)</f>
        <v>#N/A</v>
      </c>
      <c r="AB601" t="e">
        <f>INDEX(script.out!P:P,results.txt!$M601)</f>
        <v>#N/A</v>
      </c>
      <c r="AC601" t="e">
        <f>INDEX(script.out!Q:Q,results.txt!$M601)</f>
        <v>#N/A</v>
      </c>
      <c r="AD601">
        <f t="shared" si="9"/>
        <v>0</v>
      </c>
    </row>
    <row r="602" spans="13:30" x14ac:dyDescent="0.25">
      <c r="M602" t="e">
        <f>MATCH(C602,script.out!B:B,0)</f>
        <v>#N/A</v>
      </c>
      <c r="N602" t="e">
        <f>INDEX(script.out!B:B,results.txt!$M602)</f>
        <v>#N/A</v>
      </c>
      <c r="O602" t="e">
        <f>INDEX(script.out!C:C,results.txt!$M602)</f>
        <v>#N/A</v>
      </c>
      <c r="P602" t="e">
        <f>INDEX(script.out!D:D,results.txt!$M602)</f>
        <v>#N/A</v>
      </c>
      <c r="Q602" t="e">
        <f>INDEX(script.out!E:E,results.txt!$M602)</f>
        <v>#N/A</v>
      </c>
      <c r="R602" t="e">
        <f>INDEX(script.out!F:F,results.txt!$M602)</f>
        <v>#N/A</v>
      </c>
      <c r="S602" t="e">
        <f>INDEX(script.out!G:G,results.txt!$M602)</f>
        <v>#N/A</v>
      </c>
      <c r="T602" t="e">
        <f>INDEX(script.out!H:H,results.txt!$M602)</f>
        <v>#N/A</v>
      </c>
      <c r="U602" t="e">
        <f>INDEX(script.out!I:I,results.txt!$M602)</f>
        <v>#N/A</v>
      </c>
      <c r="V602" t="e">
        <f>INDEX(script.out!J:J,results.txt!$M602)</f>
        <v>#N/A</v>
      </c>
      <c r="W602" t="e">
        <f>INDEX(script.out!K:K,results.txt!$M602)</f>
        <v>#N/A</v>
      </c>
      <c r="X602" t="e">
        <f>INDEX(script.out!L:L,results.txt!$M602)</f>
        <v>#N/A</v>
      </c>
      <c r="Y602" t="e">
        <f>INDEX(script.out!M:M,results.txt!$M602)</f>
        <v>#N/A</v>
      </c>
      <c r="Z602" t="e">
        <f>INDEX(script.out!N:N,results.txt!$M602)</f>
        <v>#N/A</v>
      </c>
      <c r="AA602" t="e">
        <f>INDEX(script.out!O:O,results.txt!$M602)</f>
        <v>#N/A</v>
      </c>
      <c r="AB602" t="e">
        <f>INDEX(script.out!P:P,results.txt!$M602)</f>
        <v>#N/A</v>
      </c>
      <c r="AC602" t="e">
        <f>INDEX(script.out!Q:Q,results.txt!$M602)</f>
        <v>#N/A</v>
      </c>
      <c r="AD602">
        <f t="shared" si="9"/>
        <v>0</v>
      </c>
    </row>
    <row r="603" spans="13:30" x14ac:dyDescent="0.25">
      <c r="M603" t="e">
        <f>MATCH(C603,script.out!B:B,0)</f>
        <v>#N/A</v>
      </c>
      <c r="N603" t="e">
        <f>INDEX(script.out!B:B,results.txt!$M603)</f>
        <v>#N/A</v>
      </c>
      <c r="O603" t="e">
        <f>INDEX(script.out!C:C,results.txt!$M603)</f>
        <v>#N/A</v>
      </c>
      <c r="P603" t="e">
        <f>INDEX(script.out!D:D,results.txt!$M603)</f>
        <v>#N/A</v>
      </c>
      <c r="Q603" t="e">
        <f>INDEX(script.out!E:E,results.txt!$M603)</f>
        <v>#N/A</v>
      </c>
      <c r="R603" t="e">
        <f>INDEX(script.out!F:F,results.txt!$M603)</f>
        <v>#N/A</v>
      </c>
      <c r="S603" t="e">
        <f>INDEX(script.out!G:G,results.txt!$M603)</f>
        <v>#N/A</v>
      </c>
      <c r="T603" t="e">
        <f>INDEX(script.out!H:H,results.txt!$M603)</f>
        <v>#N/A</v>
      </c>
      <c r="U603" t="e">
        <f>INDEX(script.out!I:I,results.txt!$M603)</f>
        <v>#N/A</v>
      </c>
      <c r="V603" t="e">
        <f>INDEX(script.out!J:J,results.txt!$M603)</f>
        <v>#N/A</v>
      </c>
      <c r="W603" t="e">
        <f>INDEX(script.out!K:K,results.txt!$M603)</f>
        <v>#N/A</v>
      </c>
      <c r="X603" t="e">
        <f>INDEX(script.out!L:L,results.txt!$M603)</f>
        <v>#N/A</v>
      </c>
      <c r="Y603" t="e">
        <f>INDEX(script.out!M:M,results.txt!$M603)</f>
        <v>#N/A</v>
      </c>
      <c r="Z603" t="e">
        <f>INDEX(script.out!N:N,results.txt!$M603)</f>
        <v>#N/A</v>
      </c>
      <c r="AA603" t="e">
        <f>INDEX(script.out!O:O,results.txt!$M603)</f>
        <v>#N/A</v>
      </c>
      <c r="AB603" t="e">
        <f>INDEX(script.out!P:P,results.txt!$M603)</f>
        <v>#N/A</v>
      </c>
      <c r="AC603" t="e">
        <f>INDEX(script.out!Q:Q,results.txt!$M603)</f>
        <v>#N/A</v>
      </c>
      <c r="AD603">
        <f t="shared" si="9"/>
        <v>0</v>
      </c>
    </row>
    <row r="604" spans="13:30" x14ac:dyDescent="0.25">
      <c r="M604" t="e">
        <f>MATCH(C604,script.out!B:B,0)</f>
        <v>#N/A</v>
      </c>
      <c r="N604" t="e">
        <f>INDEX(script.out!B:B,results.txt!$M604)</f>
        <v>#N/A</v>
      </c>
      <c r="O604" t="e">
        <f>INDEX(script.out!C:C,results.txt!$M604)</f>
        <v>#N/A</v>
      </c>
      <c r="P604" t="e">
        <f>INDEX(script.out!D:D,results.txt!$M604)</f>
        <v>#N/A</v>
      </c>
      <c r="Q604" t="e">
        <f>INDEX(script.out!E:E,results.txt!$M604)</f>
        <v>#N/A</v>
      </c>
      <c r="R604" t="e">
        <f>INDEX(script.out!F:F,results.txt!$M604)</f>
        <v>#N/A</v>
      </c>
      <c r="S604" t="e">
        <f>INDEX(script.out!G:G,results.txt!$M604)</f>
        <v>#N/A</v>
      </c>
      <c r="T604" t="e">
        <f>INDEX(script.out!H:H,results.txt!$M604)</f>
        <v>#N/A</v>
      </c>
      <c r="U604" t="e">
        <f>INDEX(script.out!I:I,results.txt!$M604)</f>
        <v>#N/A</v>
      </c>
      <c r="V604" t="e">
        <f>INDEX(script.out!J:J,results.txt!$M604)</f>
        <v>#N/A</v>
      </c>
      <c r="W604" t="e">
        <f>INDEX(script.out!K:K,results.txt!$M604)</f>
        <v>#N/A</v>
      </c>
      <c r="X604" t="e">
        <f>INDEX(script.out!L:L,results.txt!$M604)</f>
        <v>#N/A</v>
      </c>
      <c r="Y604" t="e">
        <f>INDEX(script.out!M:M,results.txt!$M604)</f>
        <v>#N/A</v>
      </c>
      <c r="Z604" t="e">
        <f>INDEX(script.out!N:N,results.txt!$M604)</f>
        <v>#N/A</v>
      </c>
      <c r="AA604" t="e">
        <f>INDEX(script.out!O:O,results.txt!$M604)</f>
        <v>#N/A</v>
      </c>
      <c r="AB604" t="e">
        <f>INDEX(script.out!P:P,results.txt!$M604)</f>
        <v>#N/A</v>
      </c>
      <c r="AC604" t="e">
        <f>INDEX(script.out!Q:Q,results.txt!$M604)</f>
        <v>#N/A</v>
      </c>
      <c r="AD604">
        <f t="shared" si="9"/>
        <v>0</v>
      </c>
    </row>
    <row r="605" spans="13:30" x14ac:dyDescent="0.25">
      <c r="M605" t="e">
        <f>MATCH(C605,script.out!B:B,0)</f>
        <v>#N/A</v>
      </c>
      <c r="N605" t="e">
        <f>INDEX(script.out!B:B,results.txt!$M605)</f>
        <v>#N/A</v>
      </c>
      <c r="O605" t="e">
        <f>INDEX(script.out!C:C,results.txt!$M605)</f>
        <v>#N/A</v>
      </c>
      <c r="P605" t="e">
        <f>INDEX(script.out!D:D,results.txt!$M605)</f>
        <v>#N/A</v>
      </c>
      <c r="Q605" t="e">
        <f>INDEX(script.out!E:E,results.txt!$M605)</f>
        <v>#N/A</v>
      </c>
      <c r="R605" t="e">
        <f>INDEX(script.out!F:F,results.txt!$M605)</f>
        <v>#N/A</v>
      </c>
      <c r="S605" t="e">
        <f>INDEX(script.out!G:G,results.txt!$M605)</f>
        <v>#N/A</v>
      </c>
      <c r="T605" t="e">
        <f>INDEX(script.out!H:H,results.txt!$M605)</f>
        <v>#N/A</v>
      </c>
      <c r="U605" t="e">
        <f>INDEX(script.out!I:I,results.txt!$M605)</f>
        <v>#N/A</v>
      </c>
      <c r="V605" t="e">
        <f>INDEX(script.out!J:J,results.txt!$M605)</f>
        <v>#N/A</v>
      </c>
      <c r="W605" t="e">
        <f>INDEX(script.out!K:K,results.txt!$M605)</f>
        <v>#N/A</v>
      </c>
      <c r="X605" t="e">
        <f>INDEX(script.out!L:L,results.txt!$M605)</f>
        <v>#N/A</v>
      </c>
      <c r="Y605" t="e">
        <f>INDEX(script.out!M:M,results.txt!$M605)</f>
        <v>#N/A</v>
      </c>
      <c r="Z605" t="e">
        <f>INDEX(script.out!N:N,results.txt!$M605)</f>
        <v>#N/A</v>
      </c>
      <c r="AA605" t="e">
        <f>INDEX(script.out!O:O,results.txt!$M605)</f>
        <v>#N/A</v>
      </c>
      <c r="AB605" t="e">
        <f>INDEX(script.out!P:P,results.txt!$M605)</f>
        <v>#N/A</v>
      </c>
      <c r="AC605" t="e">
        <f>INDEX(script.out!Q:Q,results.txt!$M605)</f>
        <v>#N/A</v>
      </c>
      <c r="AD605">
        <f t="shared" si="9"/>
        <v>0</v>
      </c>
    </row>
    <row r="606" spans="13:30" x14ac:dyDescent="0.25">
      <c r="M606" t="e">
        <f>MATCH(C606,script.out!B:B,0)</f>
        <v>#N/A</v>
      </c>
      <c r="N606" t="e">
        <f>INDEX(script.out!B:B,results.txt!$M606)</f>
        <v>#N/A</v>
      </c>
      <c r="O606" t="e">
        <f>INDEX(script.out!C:C,results.txt!$M606)</f>
        <v>#N/A</v>
      </c>
      <c r="P606" t="e">
        <f>INDEX(script.out!D:D,results.txt!$M606)</f>
        <v>#N/A</v>
      </c>
      <c r="Q606" t="e">
        <f>INDEX(script.out!E:E,results.txt!$M606)</f>
        <v>#N/A</v>
      </c>
      <c r="R606" t="e">
        <f>INDEX(script.out!F:F,results.txt!$M606)</f>
        <v>#N/A</v>
      </c>
      <c r="S606" t="e">
        <f>INDEX(script.out!G:G,results.txt!$M606)</f>
        <v>#N/A</v>
      </c>
      <c r="T606" t="e">
        <f>INDEX(script.out!H:H,results.txt!$M606)</f>
        <v>#N/A</v>
      </c>
      <c r="U606" t="e">
        <f>INDEX(script.out!I:I,results.txt!$M606)</f>
        <v>#N/A</v>
      </c>
      <c r="V606" t="e">
        <f>INDEX(script.out!J:J,results.txt!$M606)</f>
        <v>#N/A</v>
      </c>
      <c r="W606" t="e">
        <f>INDEX(script.out!K:K,results.txt!$M606)</f>
        <v>#N/A</v>
      </c>
      <c r="X606" t="e">
        <f>INDEX(script.out!L:L,results.txt!$M606)</f>
        <v>#N/A</v>
      </c>
      <c r="Y606" t="e">
        <f>INDEX(script.out!M:M,results.txt!$M606)</f>
        <v>#N/A</v>
      </c>
      <c r="Z606" t="e">
        <f>INDEX(script.out!N:N,results.txt!$M606)</f>
        <v>#N/A</v>
      </c>
      <c r="AA606" t="e">
        <f>INDEX(script.out!O:O,results.txt!$M606)</f>
        <v>#N/A</v>
      </c>
      <c r="AB606" t="e">
        <f>INDEX(script.out!P:P,results.txt!$M606)</f>
        <v>#N/A</v>
      </c>
      <c r="AC606" t="e">
        <f>INDEX(script.out!Q:Q,results.txt!$M606)</f>
        <v>#N/A</v>
      </c>
      <c r="AD606">
        <f t="shared" si="9"/>
        <v>0</v>
      </c>
    </row>
    <row r="607" spans="13:30" x14ac:dyDescent="0.25">
      <c r="M607" t="e">
        <f>MATCH(C607,script.out!B:B,0)</f>
        <v>#N/A</v>
      </c>
      <c r="N607" t="e">
        <f>INDEX(script.out!B:B,results.txt!$M607)</f>
        <v>#N/A</v>
      </c>
      <c r="O607" t="e">
        <f>INDEX(script.out!C:C,results.txt!$M607)</f>
        <v>#N/A</v>
      </c>
      <c r="P607" t="e">
        <f>INDEX(script.out!D:D,results.txt!$M607)</f>
        <v>#N/A</v>
      </c>
      <c r="Q607" t="e">
        <f>INDEX(script.out!E:E,results.txt!$M607)</f>
        <v>#N/A</v>
      </c>
      <c r="R607" t="e">
        <f>INDEX(script.out!F:F,results.txt!$M607)</f>
        <v>#N/A</v>
      </c>
      <c r="S607" t="e">
        <f>INDEX(script.out!G:G,results.txt!$M607)</f>
        <v>#N/A</v>
      </c>
      <c r="T607" t="e">
        <f>INDEX(script.out!H:H,results.txt!$M607)</f>
        <v>#N/A</v>
      </c>
      <c r="U607" t="e">
        <f>INDEX(script.out!I:I,results.txt!$M607)</f>
        <v>#N/A</v>
      </c>
      <c r="V607" t="e">
        <f>INDEX(script.out!J:J,results.txt!$M607)</f>
        <v>#N/A</v>
      </c>
      <c r="W607" t="e">
        <f>INDEX(script.out!K:K,results.txt!$M607)</f>
        <v>#N/A</v>
      </c>
      <c r="X607" t="e">
        <f>INDEX(script.out!L:L,results.txt!$M607)</f>
        <v>#N/A</v>
      </c>
      <c r="Y607" t="e">
        <f>INDEX(script.out!M:M,results.txt!$M607)</f>
        <v>#N/A</v>
      </c>
      <c r="Z607" t="e">
        <f>INDEX(script.out!N:N,results.txt!$M607)</f>
        <v>#N/A</v>
      </c>
      <c r="AA607" t="e">
        <f>INDEX(script.out!O:O,results.txt!$M607)</f>
        <v>#N/A</v>
      </c>
      <c r="AB607" t="e">
        <f>INDEX(script.out!P:P,results.txt!$M607)</f>
        <v>#N/A</v>
      </c>
      <c r="AC607" t="e">
        <f>INDEX(script.out!Q:Q,results.txt!$M607)</f>
        <v>#N/A</v>
      </c>
      <c r="AD607">
        <f t="shared" si="9"/>
        <v>0</v>
      </c>
    </row>
    <row r="608" spans="13:30" x14ac:dyDescent="0.25">
      <c r="M608" t="e">
        <f>MATCH(C608,script.out!B:B,0)</f>
        <v>#N/A</v>
      </c>
      <c r="N608" t="e">
        <f>INDEX(script.out!B:B,results.txt!$M608)</f>
        <v>#N/A</v>
      </c>
      <c r="O608" t="e">
        <f>INDEX(script.out!C:C,results.txt!$M608)</f>
        <v>#N/A</v>
      </c>
      <c r="P608" t="e">
        <f>INDEX(script.out!D:D,results.txt!$M608)</f>
        <v>#N/A</v>
      </c>
      <c r="Q608" t="e">
        <f>INDEX(script.out!E:E,results.txt!$M608)</f>
        <v>#N/A</v>
      </c>
      <c r="R608" t="e">
        <f>INDEX(script.out!F:F,results.txt!$M608)</f>
        <v>#N/A</v>
      </c>
      <c r="S608" t="e">
        <f>INDEX(script.out!G:G,results.txt!$M608)</f>
        <v>#N/A</v>
      </c>
      <c r="T608" t="e">
        <f>INDEX(script.out!H:H,results.txt!$M608)</f>
        <v>#N/A</v>
      </c>
      <c r="U608" t="e">
        <f>INDEX(script.out!I:I,results.txt!$M608)</f>
        <v>#N/A</v>
      </c>
      <c r="V608" t="e">
        <f>INDEX(script.out!J:J,results.txt!$M608)</f>
        <v>#N/A</v>
      </c>
      <c r="W608" t="e">
        <f>INDEX(script.out!K:K,results.txt!$M608)</f>
        <v>#N/A</v>
      </c>
      <c r="X608" t="e">
        <f>INDEX(script.out!L:L,results.txt!$M608)</f>
        <v>#N/A</v>
      </c>
      <c r="Y608" t="e">
        <f>INDEX(script.out!M:M,results.txt!$M608)</f>
        <v>#N/A</v>
      </c>
      <c r="Z608" t="e">
        <f>INDEX(script.out!N:N,results.txt!$M608)</f>
        <v>#N/A</v>
      </c>
      <c r="AA608" t="e">
        <f>INDEX(script.out!O:O,results.txt!$M608)</f>
        <v>#N/A</v>
      </c>
      <c r="AB608" t="e">
        <f>INDEX(script.out!P:P,results.txt!$M608)</f>
        <v>#N/A</v>
      </c>
      <c r="AC608" t="e">
        <f>INDEX(script.out!Q:Q,results.txt!$M608)</f>
        <v>#N/A</v>
      </c>
      <c r="AD608">
        <f t="shared" si="9"/>
        <v>0</v>
      </c>
    </row>
    <row r="609" spans="13:30" x14ac:dyDescent="0.25">
      <c r="M609" t="e">
        <f>MATCH(C609,script.out!B:B,0)</f>
        <v>#N/A</v>
      </c>
      <c r="N609" t="e">
        <f>INDEX(script.out!B:B,results.txt!$M609)</f>
        <v>#N/A</v>
      </c>
      <c r="O609" t="e">
        <f>INDEX(script.out!C:C,results.txt!$M609)</f>
        <v>#N/A</v>
      </c>
      <c r="P609" t="e">
        <f>INDEX(script.out!D:D,results.txt!$M609)</f>
        <v>#N/A</v>
      </c>
      <c r="Q609" t="e">
        <f>INDEX(script.out!E:E,results.txt!$M609)</f>
        <v>#N/A</v>
      </c>
      <c r="R609" t="e">
        <f>INDEX(script.out!F:F,results.txt!$M609)</f>
        <v>#N/A</v>
      </c>
      <c r="S609" t="e">
        <f>INDEX(script.out!G:G,results.txt!$M609)</f>
        <v>#N/A</v>
      </c>
      <c r="T609" t="e">
        <f>INDEX(script.out!H:H,results.txt!$M609)</f>
        <v>#N/A</v>
      </c>
      <c r="U609" t="e">
        <f>INDEX(script.out!I:I,results.txt!$M609)</f>
        <v>#N/A</v>
      </c>
      <c r="V609" t="e">
        <f>INDEX(script.out!J:J,results.txt!$M609)</f>
        <v>#N/A</v>
      </c>
      <c r="W609" t="e">
        <f>INDEX(script.out!K:K,results.txt!$M609)</f>
        <v>#N/A</v>
      </c>
      <c r="X609" t="e">
        <f>INDEX(script.out!L:L,results.txt!$M609)</f>
        <v>#N/A</v>
      </c>
      <c r="Y609" t="e">
        <f>INDEX(script.out!M:M,results.txt!$M609)</f>
        <v>#N/A</v>
      </c>
      <c r="Z609" t="e">
        <f>INDEX(script.out!N:N,results.txt!$M609)</f>
        <v>#N/A</v>
      </c>
      <c r="AA609" t="e">
        <f>INDEX(script.out!O:O,results.txt!$M609)</f>
        <v>#N/A</v>
      </c>
      <c r="AB609" t="e">
        <f>INDEX(script.out!P:P,results.txt!$M609)</f>
        <v>#N/A</v>
      </c>
      <c r="AC609" t="e">
        <f>INDEX(script.out!Q:Q,results.txt!$M609)</f>
        <v>#N/A</v>
      </c>
      <c r="AD609">
        <f t="shared" si="9"/>
        <v>0</v>
      </c>
    </row>
    <row r="610" spans="13:30" x14ac:dyDescent="0.25">
      <c r="M610" t="e">
        <f>MATCH(C610,script.out!B:B,0)</f>
        <v>#N/A</v>
      </c>
      <c r="N610" t="e">
        <f>INDEX(script.out!B:B,results.txt!$M610)</f>
        <v>#N/A</v>
      </c>
      <c r="O610" t="e">
        <f>INDEX(script.out!C:C,results.txt!$M610)</f>
        <v>#N/A</v>
      </c>
      <c r="P610" t="e">
        <f>INDEX(script.out!D:D,results.txt!$M610)</f>
        <v>#N/A</v>
      </c>
      <c r="Q610" t="e">
        <f>INDEX(script.out!E:E,results.txt!$M610)</f>
        <v>#N/A</v>
      </c>
      <c r="R610" t="e">
        <f>INDEX(script.out!F:F,results.txt!$M610)</f>
        <v>#N/A</v>
      </c>
      <c r="S610" t="e">
        <f>INDEX(script.out!G:G,results.txt!$M610)</f>
        <v>#N/A</v>
      </c>
      <c r="T610" t="e">
        <f>INDEX(script.out!H:H,results.txt!$M610)</f>
        <v>#N/A</v>
      </c>
      <c r="U610" t="e">
        <f>INDEX(script.out!I:I,results.txt!$M610)</f>
        <v>#N/A</v>
      </c>
      <c r="V610" t="e">
        <f>INDEX(script.out!J:J,results.txt!$M610)</f>
        <v>#N/A</v>
      </c>
      <c r="W610" t="e">
        <f>INDEX(script.out!K:K,results.txt!$M610)</f>
        <v>#N/A</v>
      </c>
      <c r="X610" t="e">
        <f>INDEX(script.out!L:L,results.txt!$M610)</f>
        <v>#N/A</v>
      </c>
      <c r="Y610" t="e">
        <f>INDEX(script.out!M:M,results.txt!$M610)</f>
        <v>#N/A</v>
      </c>
      <c r="Z610" t="e">
        <f>INDEX(script.out!N:N,results.txt!$M610)</f>
        <v>#N/A</v>
      </c>
      <c r="AA610" t="e">
        <f>INDEX(script.out!O:O,results.txt!$M610)</f>
        <v>#N/A</v>
      </c>
      <c r="AB610" t="e">
        <f>INDEX(script.out!P:P,results.txt!$M610)</f>
        <v>#N/A</v>
      </c>
      <c r="AC610" t="e">
        <f>INDEX(script.out!Q:Q,results.txt!$M610)</f>
        <v>#N/A</v>
      </c>
      <c r="AD610">
        <f t="shared" si="9"/>
        <v>0</v>
      </c>
    </row>
    <row r="611" spans="13:30" x14ac:dyDescent="0.25">
      <c r="M611" t="e">
        <f>MATCH(C611,script.out!B:B,0)</f>
        <v>#N/A</v>
      </c>
      <c r="N611" t="e">
        <f>INDEX(script.out!B:B,results.txt!$M611)</f>
        <v>#N/A</v>
      </c>
      <c r="O611" t="e">
        <f>INDEX(script.out!C:C,results.txt!$M611)</f>
        <v>#N/A</v>
      </c>
      <c r="P611" t="e">
        <f>INDEX(script.out!D:D,results.txt!$M611)</f>
        <v>#N/A</v>
      </c>
      <c r="Q611" t="e">
        <f>INDEX(script.out!E:E,results.txt!$M611)</f>
        <v>#N/A</v>
      </c>
      <c r="R611" t="e">
        <f>INDEX(script.out!F:F,results.txt!$M611)</f>
        <v>#N/A</v>
      </c>
      <c r="S611" t="e">
        <f>INDEX(script.out!G:G,results.txt!$M611)</f>
        <v>#N/A</v>
      </c>
      <c r="T611" t="e">
        <f>INDEX(script.out!H:H,results.txt!$M611)</f>
        <v>#N/A</v>
      </c>
      <c r="U611" t="e">
        <f>INDEX(script.out!I:I,results.txt!$M611)</f>
        <v>#N/A</v>
      </c>
      <c r="V611" t="e">
        <f>INDEX(script.out!J:J,results.txt!$M611)</f>
        <v>#N/A</v>
      </c>
      <c r="W611" t="e">
        <f>INDEX(script.out!K:K,results.txt!$M611)</f>
        <v>#N/A</v>
      </c>
      <c r="X611" t="e">
        <f>INDEX(script.out!L:L,results.txt!$M611)</f>
        <v>#N/A</v>
      </c>
      <c r="Y611" t="e">
        <f>INDEX(script.out!M:M,results.txt!$M611)</f>
        <v>#N/A</v>
      </c>
      <c r="Z611" t="e">
        <f>INDEX(script.out!N:N,results.txt!$M611)</f>
        <v>#N/A</v>
      </c>
      <c r="AA611" t="e">
        <f>INDEX(script.out!O:O,results.txt!$M611)</f>
        <v>#N/A</v>
      </c>
      <c r="AB611" t="e">
        <f>INDEX(script.out!P:P,results.txt!$M611)</f>
        <v>#N/A</v>
      </c>
      <c r="AC611" t="e">
        <f>INDEX(script.out!Q:Q,results.txt!$M611)</f>
        <v>#N/A</v>
      </c>
      <c r="AD611">
        <f t="shared" si="9"/>
        <v>0</v>
      </c>
    </row>
    <row r="612" spans="13:30" x14ac:dyDescent="0.25">
      <c r="M612" t="e">
        <f>MATCH(C612,script.out!B:B,0)</f>
        <v>#N/A</v>
      </c>
      <c r="N612" t="e">
        <f>INDEX(script.out!B:B,results.txt!$M612)</f>
        <v>#N/A</v>
      </c>
      <c r="O612" t="e">
        <f>INDEX(script.out!C:C,results.txt!$M612)</f>
        <v>#N/A</v>
      </c>
      <c r="P612" t="e">
        <f>INDEX(script.out!D:D,results.txt!$M612)</f>
        <v>#N/A</v>
      </c>
      <c r="Q612" t="e">
        <f>INDEX(script.out!E:E,results.txt!$M612)</f>
        <v>#N/A</v>
      </c>
      <c r="R612" t="e">
        <f>INDEX(script.out!F:F,results.txt!$M612)</f>
        <v>#N/A</v>
      </c>
      <c r="S612" t="e">
        <f>INDEX(script.out!G:G,results.txt!$M612)</f>
        <v>#N/A</v>
      </c>
      <c r="T612" t="e">
        <f>INDEX(script.out!H:H,results.txt!$M612)</f>
        <v>#N/A</v>
      </c>
      <c r="U612" t="e">
        <f>INDEX(script.out!I:I,results.txt!$M612)</f>
        <v>#N/A</v>
      </c>
      <c r="V612" t="e">
        <f>INDEX(script.out!J:J,results.txt!$M612)</f>
        <v>#N/A</v>
      </c>
      <c r="W612" t="e">
        <f>INDEX(script.out!K:K,results.txt!$M612)</f>
        <v>#N/A</v>
      </c>
      <c r="X612" t="e">
        <f>INDEX(script.out!L:L,results.txt!$M612)</f>
        <v>#N/A</v>
      </c>
      <c r="Y612" t="e">
        <f>INDEX(script.out!M:M,results.txt!$M612)</f>
        <v>#N/A</v>
      </c>
      <c r="Z612" t="e">
        <f>INDEX(script.out!N:N,results.txt!$M612)</f>
        <v>#N/A</v>
      </c>
      <c r="AA612" t="e">
        <f>INDEX(script.out!O:O,results.txt!$M612)</f>
        <v>#N/A</v>
      </c>
      <c r="AB612" t="e">
        <f>INDEX(script.out!P:P,results.txt!$M612)</f>
        <v>#N/A</v>
      </c>
      <c r="AC612" t="e">
        <f>INDEX(script.out!Q:Q,results.txt!$M612)</f>
        <v>#N/A</v>
      </c>
      <c r="AD612">
        <f t="shared" si="9"/>
        <v>0</v>
      </c>
    </row>
    <row r="613" spans="13:30" x14ac:dyDescent="0.25">
      <c r="M613" t="e">
        <f>MATCH(C613,script.out!B:B,0)</f>
        <v>#N/A</v>
      </c>
      <c r="N613" t="e">
        <f>INDEX(script.out!B:B,results.txt!$M613)</f>
        <v>#N/A</v>
      </c>
      <c r="O613" t="e">
        <f>INDEX(script.out!C:C,results.txt!$M613)</f>
        <v>#N/A</v>
      </c>
      <c r="P613" t="e">
        <f>INDEX(script.out!D:D,results.txt!$M613)</f>
        <v>#N/A</v>
      </c>
      <c r="Q613" t="e">
        <f>INDEX(script.out!E:E,results.txt!$M613)</f>
        <v>#N/A</v>
      </c>
      <c r="R613" t="e">
        <f>INDEX(script.out!F:F,results.txt!$M613)</f>
        <v>#N/A</v>
      </c>
      <c r="S613" t="e">
        <f>INDEX(script.out!G:G,results.txt!$M613)</f>
        <v>#N/A</v>
      </c>
      <c r="T613" t="e">
        <f>INDEX(script.out!H:H,results.txt!$M613)</f>
        <v>#N/A</v>
      </c>
      <c r="U613" t="e">
        <f>INDEX(script.out!I:I,results.txt!$M613)</f>
        <v>#N/A</v>
      </c>
      <c r="V613" t="e">
        <f>INDEX(script.out!J:J,results.txt!$M613)</f>
        <v>#N/A</v>
      </c>
      <c r="W613" t="e">
        <f>INDEX(script.out!K:K,results.txt!$M613)</f>
        <v>#N/A</v>
      </c>
      <c r="X613" t="e">
        <f>INDEX(script.out!L:L,results.txt!$M613)</f>
        <v>#N/A</v>
      </c>
      <c r="Y613" t="e">
        <f>INDEX(script.out!M:M,results.txt!$M613)</f>
        <v>#N/A</v>
      </c>
      <c r="Z613" t="e">
        <f>INDEX(script.out!N:N,results.txt!$M613)</f>
        <v>#N/A</v>
      </c>
      <c r="AA613" t="e">
        <f>INDEX(script.out!O:O,results.txt!$M613)</f>
        <v>#N/A</v>
      </c>
      <c r="AB613" t="e">
        <f>INDEX(script.out!P:P,results.txt!$M613)</f>
        <v>#N/A</v>
      </c>
      <c r="AC613" t="e">
        <f>INDEX(script.out!Q:Q,results.txt!$M613)</f>
        <v>#N/A</v>
      </c>
      <c r="AD613">
        <f t="shared" si="9"/>
        <v>0</v>
      </c>
    </row>
    <row r="614" spans="13:30" x14ac:dyDescent="0.25">
      <c r="M614" t="e">
        <f>MATCH(C614,script.out!B:B,0)</f>
        <v>#N/A</v>
      </c>
      <c r="N614" t="e">
        <f>INDEX(script.out!B:B,results.txt!$M614)</f>
        <v>#N/A</v>
      </c>
      <c r="O614" t="e">
        <f>INDEX(script.out!C:C,results.txt!$M614)</f>
        <v>#N/A</v>
      </c>
      <c r="P614" t="e">
        <f>INDEX(script.out!D:D,results.txt!$M614)</f>
        <v>#N/A</v>
      </c>
      <c r="Q614" t="e">
        <f>INDEX(script.out!E:E,results.txt!$M614)</f>
        <v>#N/A</v>
      </c>
      <c r="R614" t="e">
        <f>INDEX(script.out!F:F,results.txt!$M614)</f>
        <v>#N/A</v>
      </c>
      <c r="S614" t="e">
        <f>INDEX(script.out!G:G,results.txt!$M614)</f>
        <v>#N/A</v>
      </c>
      <c r="T614" t="e">
        <f>INDEX(script.out!H:H,results.txt!$M614)</f>
        <v>#N/A</v>
      </c>
      <c r="U614" t="e">
        <f>INDEX(script.out!I:I,results.txt!$M614)</f>
        <v>#N/A</v>
      </c>
      <c r="V614" t="e">
        <f>INDEX(script.out!J:J,results.txt!$M614)</f>
        <v>#N/A</v>
      </c>
      <c r="W614" t="e">
        <f>INDEX(script.out!K:K,results.txt!$M614)</f>
        <v>#N/A</v>
      </c>
      <c r="X614" t="e">
        <f>INDEX(script.out!L:L,results.txt!$M614)</f>
        <v>#N/A</v>
      </c>
      <c r="Y614" t="e">
        <f>INDEX(script.out!M:M,results.txt!$M614)</f>
        <v>#N/A</v>
      </c>
      <c r="Z614" t="e">
        <f>INDEX(script.out!N:N,results.txt!$M614)</f>
        <v>#N/A</v>
      </c>
      <c r="AA614" t="e">
        <f>INDEX(script.out!O:O,results.txt!$M614)</f>
        <v>#N/A</v>
      </c>
      <c r="AB614" t="e">
        <f>INDEX(script.out!P:P,results.txt!$M614)</f>
        <v>#N/A</v>
      </c>
      <c r="AC614" t="e">
        <f>INDEX(script.out!Q:Q,results.txt!$M614)</f>
        <v>#N/A</v>
      </c>
      <c r="AD614">
        <f t="shared" si="9"/>
        <v>0</v>
      </c>
    </row>
    <row r="615" spans="13:30" x14ac:dyDescent="0.25">
      <c r="M615" t="e">
        <f>MATCH(C615,script.out!B:B,0)</f>
        <v>#N/A</v>
      </c>
      <c r="N615" t="e">
        <f>INDEX(script.out!B:B,results.txt!$M615)</f>
        <v>#N/A</v>
      </c>
      <c r="O615" t="e">
        <f>INDEX(script.out!C:C,results.txt!$M615)</f>
        <v>#N/A</v>
      </c>
      <c r="P615" t="e">
        <f>INDEX(script.out!D:D,results.txt!$M615)</f>
        <v>#N/A</v>
      </c>
      <c r="Q615" t="e">
        <f>INDEX(script.out!E:E,results.txt!$M615)</f>
        <v>#N/A</v>
      </c>
      <c r="R615" t="e">
        <f>INDEX(script.out!F:F,results.txt!$M615)</f>
        <v>#N/A</v>
      </c>
      <c r="S615" t="e">
        <f>INDEX(script.out!G:G,results.txt!$M615)</f>
        <v>#N/A</v>
      </c>
      <c r="T615" t="e">
        <f>INDEX(script.out!H:H,results.txt!$M615)</f>
        <v>#N/A</v>
      </c>
      <c r="U615" t="e">
        <f>INDEX(script.out!I:I,results.txt!$M615)</f>
        <v>#N/A</v>
      </c>
      <c r="V615" t="e">
        <f>INDEX(script.out!J:J,results.txt!$M615)</f>
        <v>#N/A</v>
      </c>
      <c r="W615" t="e">
        <f>INDEX(script.out!K:K,results.txt!$M615)</f>
        <v>#N/A</v>
      </c>
      <c r="X615" t="e">
        <f>INDEX(script.out!L:L,results.txt!$M615)</f>
        <v>#N/A</v>
      </c>
      <c r="Y615" t="e">
        <f>INDEX(script.out!M:M,results.txt!$M615)</f>
        <v>#N/A</v>
      </c>
      <c r="Z615" t="e">
        <f>INDEX(script.out!N:N,results.txt!$M615)</f>
        <v>#N/A</v>
      </c>
      <c r="AA615" t="e">
        <f>INDEX(script.out!O:O,results.txt!$M615)</f>
        <v>#N/A</v>
      </c>
      <c r="AB615" t="e">
        <f>INDEX(script.out!P:P,results.txt!$M615)</f>
        <v>#N/A</v>
      </c>
      <c r="AC615" t="e">
        <f>INDEX(script.out!Q:Q,results.txt!$M615)</f>
        <v>#N/A</v>
      </c>
      <c r="AD615">
        <f t="shared" si="9"/>
        <v>0</v>
      </c>
    </row>
    <row r="616" spans="13:30" x14ac:dyDescent="0.25">
      <c r="M616" t="e">
        <f>MATCH(C616,script.out!B:B,0)</f>
        <v>#N/A</v>
      </c>
      <c r="N616" t="e">
        <f>INDEX(script.out!B:B,results.txt!$M616)</f>
        <v>#N/A</v>
      </c>
      <c r="O616" t="e">
        <f>INDEX(script.out!C:C,results.txt!$M616)</f>
        <v>#N/A</v>
      </c>
      <c r="P616" t="e">
        <f>INDEX(script.out!D:D,results.txt!$M616)</f>
        <v>#N/A</v>
      </c>
      <c r="Q616" t="e">
        <f>INDEX(script.out!E:E,results.txt!$M616)</f>
        <v>#N/A</v>
      </c>
      <c r="R616" t="e">
        <f>INDEX(script.out!F:F,results.txt!$M616)</f>
        <v>#N/A</v>
      </c>
      <c r="S616" t="e">
        <f>INDEX(script.out!G:G,results.txt!$M616)</f>
        <v>#N/A</v>
      </c>
      <c r="T616" t="e">
        <f>INDEX(script.out!H:H,results.txt!$M616)</f>
        <v>#N/A</v>
      </c>
      <c r="U616" t="e">
        <f>INDEX(script.out!I:I,results.txt!$M616)</f>
        <v>#N/A</v>
      </c>
      <c r="V616" t="e">
        <f>INDEX(script.out!J:J,results.txt!$M616)</f>
        <v>#N/A</v>
      </c>
      <c r="W616" t="e">
        <f>INDEX(script.out!K:K,results.txt!$M616)</f>
        <v>#N/A</v>
      </c>
      <c r="X616" t="e">
        <f>INDEX(script.out!L:L,results.txt!$M616)</f>
        <v>#N/A</v>
      </c>
      <c r="Y616" t="e">
        <f>INDEX(script.out!M:M,results.txt!$M616)</f>
        <v>#N/A</v>
      </c>
      <c r="Z616" t="e">
        <f>INDEX(script.out!N:N,results.txt!$M616)</f>
        <v>#N/A</v>
      </c>
      <c r="AA616" t="e">
        <f>INDEX(script.out!O:O,results.txt!$M616)</f>
        <v>#N/A</v>
      </c>
      <c r="AB616" t="e">
        <f>INDEX(script.out!P:P,results.txt!$M616)</f>
        <v>#N/A</v>
      </c>
      <c r="AC616" t="e">
        <f>INDEX(script.out!Q:Q,results.txt!$M616)</f>
        <v>#N/A</v>
      </c>
      <c r="AD616">
        <f t="shared" si="9"/>
        <v>0</v>
      </c>
    </row>
    <row r="617" spans="13:30" x14ac:dyDescent="0.25">
      <c r="M617" t="e">
        <f>MATCH(C617,script.out!B:B,0)</f>
        <v>#N/A</v>
      </c>
      <c r="N617" t="e">
        <f>INDEX(script.out!B:B,results.txt!$M617)</f>
        <v>#N/A</v>
      </c>
      <c r="O617" t="e">
        <f>INDEX(script.out!C:C,results.txt!$M617)</f>
        <v>#N/A</v>
      </c>
      <c r="P617" t="e">
        <f>INDEX(script.out!D:D,results.txt!$M617)</f>
        <v>#N/A</v>
      </c>
      <c r="Q617" t="e">
        <f>INDEX(script.out!E:E,results.txt!$M617)</f>
        <v>#N/A</v>
      </c>
      <c r="R617" t="e">
        <f>INDEX(script.out!F:F,results.txt!$M617)</f>
        <v>#N/A</v>
      </c>
      <c r="S617" t="e">
        <f>INDEX(script.out!G:G,results.txt!$M617)</f>
        <v>#N/A</v>
      </c>
      <c r="T617" t="e">
        <f>INDEX(script.out!H:H,results.txt!$M617)</f>
        <v>#N/A</v>
      </c>
      <c r="U617" t="e">
        <f>INDEX(script.out!I:I,results.txt!$M617)</f>
        <v>#N/A</v>
      </c>
      <c r="V617" t="e">
        <f>INDEX(script.out!J:J,results.txt!$M617)</f>
        <v>#N/A</v>
      </c>
      <c r="W617" t="e">
        <f>INDEX(script.out!K:K,results.txt!$M617)</f>
        <v>#N/A</v>
      </c>
      <c r="X617" t="e">
        <f>INDEX(script.out!L:L,results.txt!$M617)</f>
        <v>#N/A</v>
      </c>
      <c r="Y617" t="e">
        <f>INDEX(script.out!M:M,results.txt!$M617)</f>
        <v>#N/A</v>
      </c>
      <c r="Z617" t="e">
        <f>INDEX(script.out!N:N,results.txt!$M617)</f>
        <v>#N/A</v>
      </c>
      <c r="AA617" t="e">
        <f>INDEX(script.out!O:O,results.txt!$M617)</f>
        <v>#N/A</v>
      </c>
      <c r="AB617" t="e">
        <f>INDEX(script.out!P:P,results.txt!$M617)</f>
        <v>#N/A</v>
      </c>
      <c r="AC617" t="e">
        <f>INDEX(script.out!Q:Q,results.txt!$M617)</f>
        <v>#N/A</v>
      </c>
      <c r="AD617">
        <f t="shared" si="9"/>
        <v>0</v>
      </c>
    </row>
    <row r="618" spans="13:30" x14ac:dyDescent="0.25">
      <c r="M618" t="e">
        <f>MATCH(C618,script.out!B:B,0)</f>
        <v>#N/A</v>
      </c>
      <c r="N618" t="e">
        <f>INDEX(script.out!B:B,results.txt!$M618)</f>
        <v>#N/A</v>
      </c>
      <c r="O618" t="e">
        <f>INDEX(script.out!C:C,results.txt!$M618)</f>
        <v>#N/A</v>
      </c>
      <c r="P618" t="e">
        <f>INDEX(script.out!D:D,results.txt!$M618)</f>
        <v>#N/A</v>
      </c>
      <c r="Q618" t="e">
        <f>INDEX(script.out!E:E,results.txt!$M618)</f>
        <v>#N/A</v>
      </c>
      <c r="R618" t="e">
        <f>INDEX(script.out!F:F,results.txt!$M618)</f>
        <v>#N/A</v>
      </c>
      <c r="S618" t="e">
        <f>INDEX(script.out!G:G,results.txt!$M618)</f>
        <v>#N/A</v>
      </c>
      <c r="T618" t="e">
        <f>INDEX(script.out!H:H,results.txt!$M618)</f>
        <v>#N/A</v>
      </c>
      <c r="U618" t="e">
        <f>INDEX(script.out!I:I,results.txt!$M618)</f>
        <v>#N/A</v>
      </c>
      <c r="V618" t="e">
        <f>INDEX(script.out!J:J,results.txt!$M618)</f>
        <v>#N/A</v>
      </c>
      <c r="W618" t="e">
        <f>INDEX(script.out!K:K,results.txt!$M618)</f>
        <v>#N/A</v>
      </c>
      <c r="X618" t="e">
        <f>INDEX(script.out!L:L,results.txt!$M618)</f>
        <v>#N/A</v>
      </c>
      <c r="Y618" t="e">
        <f>INDEX(script.out!M:M,results.txt!$M618)</f>
        <v>#N/A</v>
      </c>
      <c r="Z618" t="e">
        <f>INDEX(script.out!N:N,results.txt!$M618)</f>
        <v>#N/A</v>
      </c>
      <c r="AA618" t="e">
        <f>INDEX(script.out!O:O,results.txt!$M618)</f>
        <v>#N/A</v>
      </c>
      <c r="AB618" t="e">
        <f>INDEX(script.out!P:P,results.txt!$M618)</f>
        <v>#N/A</v>
      </c>
      <c r="AC618" t="e">
        <f>INDEX(script.out!Q:Q,results.txt!$M618)</f>
        <v>#N/A</v>
      </c>
      <c r="AD618">
        <f t="shared" si="9"/>
        <v>0</v>
      </c>
    </row>
    <row r="619" spans="13:30" x14ac:dyDescent="0.25">
      <c r="M619" t="e">
        <f>MATCH(C619,script.out!B:B,0)</f>
        <v>#N/A</v>
      </c>
      <c r="N619" t="e">
        <f>INDEX(script.out!B:B,results.txt!$M619)</f>
        <v>#N/A</v>
      </c>
      <c r="O619" t="e">
        <f>INDEX(script.out!C:C,results.txt!$M619)</f>
        <v>#N/A</v>
      </c>
      <c r="P619" t="e">
        <f>INDEX(script.out!D:D,results.txt!$M619)</f>
        <v>#N/A</v>
      </c>
      <c r="Q619" t="e">
        <f>INDEX(script.out!E:E,results.txt!$M619)</f>
        <v>#N/A</v>
      </c>
      <c r="R619" t="e">
        <f>INDEX(script.out!F:F,results.txt!$M619)</f>
        <v>#N/A</v>
      </c>
      <c r="S619" t="e">
        <f>INDEX(script.out!G:G,results.txt!$M619)</f>
        <v>#N/A</v>
      </c>
      <c r="T619" t="e">
        <f>INDEX(script.out!H:H,results.txt!$M619)</f>
        <v>#N/A</v>
      </c>
      <c r="U619" t="e">
        <f>INDEX(script.out!I:I,results.txt!$M619)</f>
        <v>#N/A</v>
      </c>
      <c r="V619" t="e">
        <f>INDEX(script.out!J:J,results.txt!$M619)</f>
        <v>#N/A</v>
      </c>
      <c r="W619" t="e">
        <f>INDEX(script.out!K:K,results.txt!$M619)</f>
        <v>#N/A</v>
      </c>
      <c r="X619" t="e">
        <f>INDEX(script.out!L:L,results.txt!$M619)</f>
        <v>#N/A</v>
      </c>
      <c r="Y619" t="e">
        <f>INDEX(script.out!M:M,results.txt!$M619)</f>
        <v>#N/A</v>
      </c>
      <c r="Z619" t="e">
        <f>INDEX(script.out!N:N,results.txt!$M619)</f>
        <v>#N/A</v>
      </c>
      <c r="AA619" t="e">
        <f>INDEX(script.out!O:O,results.txt!$M619)</f>
        <v>#N/A</v>
      </c>
      <c r="AB619" t="e">
        <f>INDEX(script.out!P:P,results.txt!$M619)</f>
        <v>#N/A</v>
      </c>
      <c r="AC619" t="e">
        <f>INDEX(script.out!Q:Q,results.txt!$M619)</f>
        <v>#N/A</v>
      </c>
      <c r="AD619">
        <f t="shared" ref="AD619:AD682" si="10">IF(A619="all",1)+IF(A619="nonDominatedFront",2)</f>
        <v>0</v>
      </c>
    </row>
    <row r="620" spans="13:30" x14ac:dyDescent="0.25">
      <c r="M620" t="e">
        <f>MATCH(C620,script.out!B:B,0)</f>
        <v>#N/A</v>
      </c>
      <c r="N620" t="e">
        <f>INDEX(script.out!B:B,results.txt!$M620)</f>
        <v>#N/A</v>
      </c>
      <c r="O620" t="e">
        <f>INDEX(script.out!C:C,results.txt!$M620)</f>
        <v>#N/A</v>
      </c>
      <c r="P620" t="e">
        <f>INDEX(script.out!D:D,results.txt!$M620)</f>
        <v>#N/A</v>
      </c>
      <c r="Q620" t="e">
        <f>INDEX(script.out!E:E,results.txt!$M620)</f>
        <v>#N/A</v>
      </c>
      <c r="R620" t="e">
        <f>INDEX(script.out!F:F,results.txt!$M620)</f>
        <v>#N/A</v>
      </c>
      <c r="S620" t="e">
        <f>INDEX(script.out!G:G,results.txt!$M620)</f>
        <v>#N/A</v>
      </c>
      <c r="T620" t="e">
        <f>INDEX(script.out!H:H,results.txt!$M620)</f>
        <v>#N/A</v>
      </c>
      <c r="U620" t="e">
        <f>INDEX(script.out!I:I,results.txt!$M620)</f>
        <v>#N/A</v>
      </c>
      <c r="V620" t="e">
        <f>INDEX(script.out!J:J,results.txt!$M620)</f>
        <v>#N/A</v>
      </c>
      <c r="W620" t="e">
        <f>INDEX(script.out!K:K,results.txt!$M620)</f>
        <v>#N/A</v>
      </c>
      <c r="X620" t="e">
        <f>INDEX(script.out!L:L,results.txt!$M620)</f>
        <v>#N/A</v>
      </c>
      <c r="Y620" t="e">
        <f>INDEX(script.out!M:M,results.txt!$M620)</f>
        <v>#N/A</v>
      </c>
      <c r="Z620" t="e">
        <f>INDEX(script.out!N:N,results.txt!$M620)</f>
        <v>#N/A</v>
      </c>
      <c r="AA620" t="e">
        <f>INDEX(script.out!O:O,results.txt!$M620)</f>
        <v>#N/A</v>
      </c>
      <c r="AB620" t="e">
        <f>INDEX(script.out!P:P,results.txt!$M620)</f>
        <v>#N/A</v>
      </c>
      <c r="AC620" t="e">
        <f>INDEX(script.out!Q:Q,results.txt!$M620)</f>
        <v>#N/A</v>
      </c>
      <c r="AD620">
        <f t="shared" si="10"/>
        <v>0</v>
      </c>
    </row>
    <row r="621" spans="13:30" x14ac:dyDescent="0.25">
      <c r="M621" t="e">
        <f>MATCH(C621,script.out!B:B,0)</f>
        <v>#N/A</v>
      </c>
      <c r="N621" t="e">
        <f>INDEX(script.out!B:B,results.txt!$M621)</f>
        <v>#N/A</v>
      </c>
      <c r="O621" t="e">
        <f>INDEX(script.out!C:C,results.txt!$M621)</f>
        <v>#N/A</v>
      </c>
      <c r="P621" t="e">
        <f>INDEX(script.out!D:D,results.txt!$M621)</f>
        <v>#N/A</v>
      </c>
      <c r="Q621" t="e">
        <f>INDEX(script.out!E:E,results.txt!$M621)</f>
        <v>#N/A</v>
      </c>
      <c r="R621" t="e">
        <f>INDEX(script.out!F:F,results.txt!$M621)</f>
        <v>#N/A</v>
      </c>
      <c r="S621" t="e">
        <f>INDEX(script.out!G:G,results.txt!$M621)</f>
        <v>#N/A</v>
      </c>
      <c r="T621" t="e">
        <f>INDEX(script.out!H:H,results.txt!$M621)</f>
        <v>#N/A</v>
      </c>
      <c r="U621" t="e">
        <f>INDEX(script.out!I:I,results.txt!$M621)</f>
        <v>#N/A</v>
      </c>
      <c r="V621" t="e">
        <f>INDEX(script.out!J:J,results.txt!$M621)</f>
        <v>#N/A</v>
      </c>
      <c r="W621" t="e">
        <f>INDEX(script.out!K:K,results.txt!$M621)</f>
        <v>#N/A</v>
      </c>
      <c r="X621" t="e">
        <f>INDEX(script.out!L:L,results.txt!$M621)</f>
        <v>#N/A</v>
      </c>
      <c r="Y621" t="e">
        <f>INDEX(script.out!M:M,results.txt!$M621)</f>
        <v>#N/A</v>
      </c>
      <c r="Z621" t="e">
        <f>INDEX(script.out!N:N,results.txt!$M621)</f>
        <v>#N/A</v>
      </c>
      <c r="AA621" t="e">
        <f>INDEX(script.out!O:O,results.txt!$M621)</f>
        <v>#N/A</v>
      </c>
      <c r="AB621" t="e">
        <f>INDEX(script.out!P:P,results.txt!$M621)</f>
        <v>#N/A</v>
      </c>
      <c r="AC621" t="e">
        <f>INDEX(script.out!Q:Q,results.txt!$M621)</f>
        <v>#N/A</v>
      </c>
      <c r="AD621">
        <f t="shared" si="10"/>
        <v>0</v>
      </c>
    </row>
    <row r="622" spans="13:30" x14ac:dyDescent="0.25">
      <c r="M622" t="e">
        <f>MATCH(C622,script.out!B:B,0)</f>
        <v>#N/A</v>
      </c>
      <c r="N622" t="e">
        <f>INDEX(script.out!B:B,results.txt!$M622)</f>
        <v>#N/A</v>
      </c>
      <c r="O622" t="e">
        <f>INDEX(script.out!C:C,results.txt!$M622)</f>
        <v>#N/A</v>
      </c>
      <c r="P622" t="e">
        <f>INDEX(script.out!D:D,results.txt!$M622)</f>
        <v>#N/A</v>
      </c>
      <c r="Q622" t="e">
        <f>INDEX(script.out!E:E,results.txt!$M622)</f>
        <v>#N/A</v>
      </c>
      <c r="R622" t="e">
        <f>INDEX(script.out!F:F,results.txt!$M622)</f>
        <v>#N/A</v>
      </c>
      <c r="S622" t="e">
        <f>INDEX(script.out!G:G,results.txt!$M622)</f>
        <v>#N/A</v>
      </c>
      <c r="T622" t="e">
        <f>INDEX(script.out!H:H,results.txt!$M622)</f>
        <v>#N/A</v>
      </c>
      <c r="U622" t="e">
        <f>INDEX(script.out!I:I,results.txt!$M622)</f>
        <v>#N/A</v>
      </c>
      <c r="V622" t="e">
        <f>INDEX(script.out!J:J,results.txt!$M622)</f>
        <v>#N/A</v>
      </c>
      <c r="W622" t="e">
        <f>INDEX(script.out!K:K,results.txt!$M622)</f>
        <v>#N/A</v>
      </c>
      <c r="X622" t="e">
        <f>INDEX(script.out!L:L,results.txt!$M622)</f>
        <v>#N/A</v>
      </c>
      <c r="Y622" t="e">
        <f>INDEX(script.out!M:M,results.txt!$M622)</f>
        <v>#N/A</v>
      </c>
      <c r="Z622" t="e">
        <f>INDEX(script.out!N:N,results.txt!$M622)</f>
        <v>#N/A</v>
      </c>
      <c r="AA622" t="e">
        <f>INDEX(script.out!O:O,results.txt!$M622)</f>
        <v>#N/A</v>
      </c>
      <c r="AB622" t="e">
        <f>INDEX(script.out!P:P,results.txt!$M622)</f>
        <v>#N/A</v>
      </c>
      <c r="AC622" t="e">
        <f>INDEX(script.out!Q:Q,results.txt!$M622)</f>
        <v>#N/A</v>
      </c>
      <c r="AD622">
        <f t="shared" si="10"/>
        <v>0</v>
      </c>
    </row>
    <row r="623" spans="13:30" x14ac:dyDescent="0.25">
      <c r="M623" t="e">
        <f>MATCH(C623,script.out!B:B,0)</f>
        <v>#N/A</v>
      </c>
      <c r="N623" t="e">
        <f>INDEX(script.out!B:B,results.txt!$M623)</f>
        <v>#N/A</v>
      </c>
      <c r="O623" t="e">
        <f>INDEX(script.out!C:C,results.txt!$M623)</f>
        <v>#N/A</v>
      </c>
      <c r="P623" t="e">
        <f>INDEX(script.out!D:D,results.txt!$M623)</f>
        <v>#N/A</v>
      </c>
      <c r="Q623" t="e">
        <f>INDEX(script.out!E:E,results.txt!$M623)</f>
        <v>#N/A</v>
      </c>
      <c r="R623" t="e">
        <f>INDEX(script.out!F:F,results.txt!$M623)</f>
        <v>#N/A</v>
      </c>
      <c r="S623" t="e">
        <f>INDEX(script.out!G:G,results.txt!$M623)</f>
        <v>#N/A</v>
      </c>
      <c r="T623" t="e">
        <f>INDEX(script.out!H:H,results.txt!$M623)</f>
        <v>#N/A</v>
      </c>
      <c r="U623" t="e">
        <f>INDEX(script.out!I:I,results.txt!$M623)</f>
        <v>#N/A</v>
      </c>
      <c r="V623" t="e">
        <f>INDEX(script.out!J:J,results.txt!$M623)</f>
        <v>#N/A</v>
      </c>
      <c r="W623" t="e">
        <f>INDEX(script.out!K:K,results.txt!$M623)</f>
        <v>#N/A</v>
      </c>
      <c r="X623" t="e">
        <f>INDEX(script.out!L:L,results.txt!$M623)</f>
        <v>#N/A</v>
      </c>
      <c r="Y623" t="e">
        <f>INDEX(script.out!M:M,results.txt!$M623)</f>
        <v>#N/A</v>
      </c>
      <c r="Z623" t="e">
        <f>INDEX(script.out!N:N,results.txt!$M623)</f>
        <v>#N/A</v>
      </c>
      <c r="AA623" t="e">
        <f>INDEX(script.out!O:O,results.txt!$M623)</f>
        <v>#N/A</v>
      </c>
      <c r="AB623" t="e">
        <f>INDEX(script.out!P:P,results.txt!$M623)</f>
        <v>#N/A</v>
      </c>
      <c r="AC623" t="e">
        <f>INDEX(script.out!Q:Q,results.txt!$M623)</f>
        <v>#N/A</v>
      </c>
      <c r="AD623">
        <f t="shared" si="10"/>
        <v>0</v>
      </c>
    </row>
    <row r="624" spans="13:30" x14ac:dyDescent="0.25">
      <c r="M624" t="e">
        <f>MATCH(C624,script.out!B:B,0)</f>
        <v>#N/A</v>
      </c>
      <c r="N624" t="e">
        <f>INDEX(script.out!B:B,results.txt!$M624)</f>
        <v>#N/A</v>
      </c>
      <c r="O624" t="e">
        <f>INDEX(script.out!C:C,results.txt!$M624)</f>
        <v>#N/A</v>
      </c>
      <c r="P624" t="e">
        <f>INDEX(script.out!D:D,results.txt!$M624)</f>
        <v>#N/A</v>
      </c>
      <c r="Q624" t="e">
        <f>INDEX(script.out!E:E,results.txt!$M624)</f>
        <v>#N/A</v>
      </c>
      <c r="R624" t="e">
        <f>INDEX(script.out!F:F,results.txt!$M624)</f>
        <v>#N/A</v>
      </c>
      <c r="S624" t="e">
        <f>INDEX(script.out!G:G,results.txt!$M624)</f>
        <v>#N/A</v>
      </c>
      <c r="T624" t="e">
        <f>INDEX(script.out!H:H,results.txt!$M624)</f>
        <v>#N/A</v>
      </c>
      <c r="U624" t="e">
        <f>INDEX(script.out!I:I,results.txt!$M624)</f>
        <v>#N/A</v>
      </c>
      <c r="V624" t="e">
        <f>INDEX(script.out!J:J,results.txt!$M624)</f>
        <v>#N/A</v>
      </c>
      <c r="W624" t="e">
        <f>INDEX(script.out!K:K,results.txt!$M624)</f>
        <v>#N/A</v>
      </c>
      <c r="X624" t="e">
        <f>INDEX(script.out!L:L,results.txt!$M624)</f>
        <v>#N/A</v>
      </c>
      <c r="Y624" t="e">
        <f>INDEX(script.out!M:M,results.txt!$M624)</f>
        <v>#N/A</v>
      </c>
      <c r="Z624" t="e">
        <f>INDEX(script.out!N:N,results.txt!$M624)</f>
        <v>#N/A</v>
      </c>
      <c r="AA624" t="e">
        <f>INDEX(script.out!O:O,results.txt!$M624)</f>
        <v>#N/A</v>
      </c>
      <c r="AB624" t="e">
        <f>INDEX(script.out!P:P,results.txt!$M624)</f>
        <v>#N/A</v>
      </c>
      <c r="AC624" t="e">
        <f>INDEX(script.out!Q:Q,results.txt!$M624)</f>
        <v>#N/A</v>
      </c>
      <c r="AD624">
        <f t="shared" si="10"/>
        <v>0</v>
      </c>
    </row>
    <row r="625" spans="13:30" x14ac:dyDescent="0.25">
      <c r="M625" t="e">
        <f>MATCH(C625,script.out!B:B,0)</f>
        <v>#N/A</v>
      </c>
      <c r="N625" t="e">
        <f>INDEX(script.out!B:B,results.txt!$M625)</f>
        <v>#N/A</v>
      </c>
      <c r="O625" t="e">
        <f>INDEX(script.out!C:C,results.txt!$M625)</f>
        <v>#N/A</v>
      </c>
      <c r="P625" t="e">
        <f>INDEX(script.out!D:D,results.txt!$M625)</f>
        <v>#N/A</v>
      </c>
      <c r="Q625" t="e">
        <f>INDEX(script.out!E:E,results.txt!$M625)</f>
        <v>#N/A</v>
      </c>
      <c r="R625" t="e">
        <f>INDEX(script.out!F:F,results.txt!$M625)</f>
        <v>#N/A</v>
      </c>
      <c r="S625" t="e">
        <f>INDEX(script.out!G:G,results.txt!$M625)</f>
        <v>#N/A</v>
      </c>
      <c r="T625" t="e">
        <f>INDEX(script.out!H:H,results.txt!$M625)</f>
        <v>#N/A</v>
      </c>
      <c r="U625" t="e">
        <f>INDEX(script.out!I:I,results.txt!$M625)</f>
        <v>#N/A</v>
      </c>
      <c r="V625" t="e">
        <f>INDEX(script.out!J:J,results.txt!$M625)</f>
        <v>#N/A</v>
      </c>
      <c r="W625" t="e">
        <f>INDEX(script.out!K:K,results.txt!$M625)</f>
        <v>#N/A</v>
      </c>
      <c r="X625" t="e">
        <f>INDEX(script.out!L:L,results.txt!$M625)</f>
        <v>#N/A</v>
      </c>
      <c r="Y625" t="e">
        <f>INDEX(script.out!M:M,results.txt!$M625)</f>
        <v>#N/A</v>
      </c>
      <c r="Z625" t="e">
        <f>INDEX(script.out!N:N,results.txt!$M625)</f>
        <v>#N/A</v>
      </c>
      <c r="AA625" t="e">
        <f>INDEX(script.out!O:O,results.txt!$M625)</f>
        <v>#N/A</v>
      </c>
      <c r="AB625" t="e">
        <f>INDEX(script.out!P:P,results.txt!$M625)</f>
        <v>#N/A</v>
      </c>
      <c r="AC625" t="e">
        <f>INDEX(script.out!Q:Q,results.txt!$M625)</f>
        <v>#N/A</v>
      </c>
      <c r="AD625">
        <f t="shared" si="10"/>
        <v>0</v>
      </c>
    </row>
    <row r="626" spans="13:30" x14ac:dyDescent="0.25">
      <c r="M626" t="e">
        <f>MATCH(C626,script.out!B:B,0)</f>
        <v>#N/A</v>
      </c>
      <c r="N626" t="e">
        <f>INDEX(script.out!B:B,results.txt!$M626)</f>
        <v>#N/A</v>
      </c>
      <c r="O626" t="e">
        <f>INDEX(script.out!C:C,results.txt!$M626)</f>
        <v>#N/A</v>
      </c>
      <c r="P626" t="e">
        <f>INDEX(script.out!D:D,results.txt!$M626)</f>
        <v>#N/A</v>
      </c>
      <c r="Q626" t="e">
        <f>INDEX(script.out!E:E,results.txt!$M626)</f>
        <v>#N/A</v>
      </c>
      <c r="R626" t="e">
        <f>INDEX(script.out!F:F,results.txt!$M626)</f>
        <v>#N/A</v>
      </c>
      <c r="S626" t="e">
        <f>INDEX(script.out!G:G,results.txt!$M626)</f>
        <v>#N/A</v>
      </c>
      <c r="T626" t="e">
        <f>INDEX(script.out!H:H,results.txt!$M626)</f>
        <v>#N/A</v>
      </c>
      <c r="U626" t="e">
        <f>INDEX(script.out!I:I,results.txt!$M626)</f>
        <v>#N/A</v>
      </c>
      <c r="V626" t="e">
        <f>INDEX(script.out!J:J,results.txt!$M626)</f>
        <v>#N/A</v>
      </c>
      <c r="W626" t="e">
        <f>INDEX(script.out!K:K,results.txt!$M626)</f>
        <v>#N/A</v>
      </c>
      <c r="X626" t="e">
        <f>INDEX(script.out!L:L,results.txt!$M626)</f>
        <v>#N/A</v>
      </c>
      <c r="Y626" t="e">
        <f>INDEX(script.out!M:M,results.txt!$M626)</f>
        <v>#N/A</v>
      </c>
      <c r="Z626" t="e">
        <f>INDEX(script.out!N:N,results.txt!$M626)</f>
        <v>#N/A</v>
      </c>
      <c r="AA626" t="e">
        <f>INDEX(script.out!O:O,results.txt!$M626)</f>
        <v>#N/A</v>
      </c>
      <c r="AB626" t="e">
        <f>INDEX(script.out!P:P,results.txt!$M626)</f>
        <v>#N/A</v>
      </c>
      <c r="AC626" t="e">
        <f>INDEX(script.out!Q:Q,results.txt!$M626)</f>
        <v>#N/A</v>
      </c>
      <c r="AD626">
        <f t="shared" si="10"/>
        <v>0</v>
      </c>
    </row>
    <row r="627" spans="13:30" x14ac:dyDescent="0.25">
      <c r="M627" t="e">
        <f>MATCH(C627,script.out!B:B,0)</f>
        <v>#N/A</v>
      </c>
      <c r="N627" t="e">
        <f>INDEX(script.out!B:B,results.txt!$M627)</f>
        <v>#N/A</v>
      </c>
      <c r="O627" t="e">
        <f>INDEX(script.out!C:C,results.txt!$M627)</f>
        <v>#N/A</v>
      </c>
      <c r="P627" t="e">
        <f>INDEX(script.out!D:D,results.txt!$M627)</f>
        <v>#N/A</v>
      </c>
      <c r="Q627" t="e">
        <f>INDEX(script.out!E:E,results.txt!$M627)</f>
        <v>#N/A</v>
      </c>
      <c r="R627" t="e">
        <f>INDEX(script.out!F:F,results.txt!$M627)</f>
        <v>#N/A</v>
      </c>
      <c r="S627" t="e">
        <f>INDEX(script.out!G:G,results.txt!$M627)</f>
        <v>#N/A</v>
      </c>
      <c r="T627" t="e">
        <f>INDEX(script.out!H:H,results.txt!$M627)</f>
        <v>#N/A</v>
      </c>
      <c r="U627" t="e">
        <f>INDEX(script.out!I:I,results.txt!$M627)</f>
        <v>#N/A</v>
      </c>
      <c r="V627" t="e">
        <f>INDEX(script.out!J:J,results.txt!$M627)</f>
        <v>#N/A</v>
      </c>
      <c r="W627" t="e">
        <f>INDEX(script.out!K:K,results.txt!$M627)</f>
        <v>#N/A</v>
      </c>
      <c r="X627" t="e">
        <f>INDEX(script.out!L:L,results.txt!$M627)</f>
        <v>#N/A</v>
      </c>
      <c r="Y627" t="e">
        <f>INDEX(script.out!M:M,results.txt!$M627)</f>
        <v>#N/A</v>
      </c>
      <c r="Z627" t="e">
        <f>INDEX(script.out!N:N,results.txt!$M627)</f>
        <v>#N/A</v>
      </c>
      <c r="AA627" t="e">
        <f>INDEX(script.out!O:O,results.txt!$M627)</f>
        <v>#N/A</v>
      </c>
      <c r="AB627" t="e">
        <f>INDEX(script.out!P:P,results.txt!$M627)</f>
        <v>#N/A</v>
      </c>
      <c r="AC627" t="e">
        <f>INDEX(script.out!Q:Q,results.txt!$M627)</f>
        <v>#N/A</v>
      </c>
      <c r="AD627">
        <f t="shared" si="10"/>
        <v>0</v>
      </c>
    </row>
    <row r="628" spans="13:30" x14ac:dyDescent="0.25">
      <c r="M628" t="e">
        <f>MATCH(C628,script.out!B:B,0)</f>
        <v>#N/A</v>
      </c>
      <c r="N628" t="e">
        <f>INDEX(script.out!B:B,results.txt!$M628)</f>
        <v>#N/A</v>
      </c>
      <c r="O628" t="e">
        <f>INDEX(script.out!C:C,results.txt!$M628)</f>
        <v>#N/A</v>
      </c>
      <c r="P628" t="e">
        <f>INDEX(script.out!D:D,results.txt!$M628)</f>
        <v>#N/A</v>
      </c>
      <c r="Q628" t="e">
        <f>INDEX(script.out!E:E,results.txt!$M628)</f>
        <v>#N/A</v>
      </c>
      <c r="R628" t="e">
        <f>INDEX(script.out!F:F,results.txt!$M628)</f>
        <v>#N/A</v>
      </c>
      <c r="S628" t="e">
        <f>INDEX(script.out!G:G,results.txt!$M628)</f>
        <v>#N/A</v>
      </c>
      <c r="T628" t="e">
        <f>INDEX(script.out!H:H,results.txt!$M628)</f>
        <v>#N/A</v>
      </c>
      <c r="U628" t="e">
        <f>INDEX(script.out!I:I,results.txt!$M628)</f>
        <v>#N/A</v>
      </c>
      <c r="V628" t="e">
        <f>INDEX(script.out!J:J,results.txt!$M628)</f>
        <v>#N/A</v>
      </c>
      <c r="W628" t="e">
        <f>INDEX(script.out!K:K,results.txt!$M628)</f>
        <v>#N/A</v>
      </c>
      <c r="X628" t="e">
        <f>INDEX(script.out!L:L,results.txt!$M628)</f>
        <v>#N/A</v>
      </c>
      <c r="Y628" t="e">
        <f>INDEX(script.out!M:M,results.txt!$M628)</f>
        <v>#N/A</v>
      </c>
      <c r="Z628" t="e">
        <f>INDEX(script.out!N:N,results.txt!$M628)</f>
        <v>#N/A</v>
      </c>
      <c r="AA628" t="e">
        <f>INDEX(script.out!O:O,results.txt!$M628)</f>
        <v>#N/A</v>
      </c>
      <c r="AB628" t="e">
        <f>INDEX(script.out!P:P,results.txt!$M628)</f>
        <v>#N/A</v>
      </c>
      <c r="AC628" t="e">
        <f>INDEX(script.out!Q:Q,results.txt!$M628)</f>
        <v>#N/A</v>
      </c>
      <c r="AD628">
        <f t="shared" si="10"/>
        <v>0</v>
      </c>
    </row>
    <row r="629" spans="13:30" x14ac:dyDescent="0.25">
      <c r="M629" t="e">
        <f>MATCH(C629,script.out!B:B,0)</f>
        <v>#N/A</v>
      </c>
      <c r="N629" t="e">
        <f>INDEX(script.out!B:B,results.txt!$M629)</f>
        <v>#N/A</v>
      </c>
      <c r="O629" t="e">
        <f>INDEX(script.out!C:C,results.txt!$M629)</f>
        <v>#N/A</v>
      </c>
      <c r="P629" t="e">
        <f>INDEX(script.out!D:D,results.txt!$M629)</f>
        <v>#N/A</v>
      </c>
      <c r="Q629" t="e">
        <f>INDEX(script.out!E:E,results.txt!$M629)</f>
        <v>#N/A</v>
      </c>
      <c r="R629" t="e">
        <f>INDEX(script.out!F:F,results.txt!$M629)</f>
        <v>#N/A</v>
      </c>
      <c r="S629" t="e">
        <f>INDEX(script.out!G:G,results.txt!$M629)</f>
        <v>#N/A</v>
      </c>
      <c r="T629" t="e">
        <f>INDEX(script.out!H:H,results.txt!$M629)</f>
        <v>#N/A</v>
      </c>
      <c r="U629" t="e">
        <f>INDEX(script.out!I:I,results.txt!$M629)</f>
        <v>#N/A</v>
      </c>
      <c r="V629" t="e">
        <f>INDEX(script.out!J:J,results.txt!$M629)</f>
        <v>#N/A</v>
      </c>
      <c r="W629" t="e">
        <f>INDEX(script.out!K:K,results.txt!$M629)</f>
        <v>#N/A</v>
      </c>
      <c r="X629" t="e">
        <f>INDEX(script.out!L:L,results.txt!$M629)</f>
        <v>#N/A</v>
      </c>
      <c r="Y629" t="e">
        <f>INDEX(script.out!M:M,results.txt!$M629)</f>
        <v>#N/A</v>
      </c>
      <c r="Z629" t="e">
        <f>INDEX(script.out!N:N,results.txt!$M629)</f>
        <v>#N/A</v>
      </c>
      <c r="AA629" t="e">
        <f>INDEX(script.out!O:O,results.txt!$M629)</f>
        <v>#N/A</v>
      </c>
      <c r="AB629" t="e">
        <f>INDEX(script.out!P:P,results.txt!$M629)</f>
        <v>#N/A</v>
      </c>
      <c r="AC629" t="e">
        <f>INDEX(script.out!Q:Q,results.txt!$M629)</f>
        <v>#N/A</v>
      </c>
      <c r="AD629">
        <f t="shared" si="10"/>
        <v>0</v>
      </c>
    </row>
    <row r="630" spans="13:30" x14ac:dyDescent="0.25">
      <c r="M630" t="e">
        <f>MATCH(C630,script.out!B:B,0)</f>
        <v>#N/A</v>
      </c>
      <c r="N630" t="e">
        <f>INDEX(script.out!B:B,results.txt!$M630)</f>
        <v>#N/A</v>
      </c>
      <c r="O630" t="e">
        <f>INDEX(script.out!C:C,results.txt!$M630)</f>
        <v>#N/A</v>
      </c>
      <c r="P630" t="e">
        <f>INDEX(script.out!D:D,results.txt!$M630)</f>
        <v>#N/A</v>
      </c>
      <c r="Q630" t="e">
        <f>INDEX(script.out!E:E,results.txt!$M630)</f>
        <v>#N/A</v>
      </c>
      <c r="R630" t="e">
        <f>INDEX(script.out!F:F,results.txt!$M630)</f>
        <v>#N/A</v>
      </c>
      <c r="S630" t="e">
        <f>INDEX(script.out!G:G,results.txt!$M630)</f>
        <v>#N/A</v>
      </c>
      <c r="T630" t="e">
        <f>INDEX(script.out!H:H,results.txt!$M630)</f>
        <v>#N/A</v>
      </c>
      <c r="U630" t="e">
        <f>INDEX(script.out!I:I,results.txt!$M630)</f>
        <v>#N/A</v>
      </c>
      <c r="V630" t="e">
        <f>INDEX(script.out!J:J,results.txt!$M630)</f>
        <v>#N/A</v>
      </c>
      <c r="W630" t="e">
        <f>INDEX(script.out!K:K,results.txt!$M630)</f>
        <v>#N/A</v>
      </c>
      <c r="X630" t="e">
        <f>INDEX(script.out!L:L,results.txt!$M630)</f>
        <v>#N/A</v>
      </c>
      <c r="Y630" t="e">
        <f>INDEX(script.out!M:M,results.txt!$M630)</f>
        <v>#N/A</v>
      </c>
      <c r="Z630" t="e">
        <f>INDEX(script.out!N:N,results.txt!$M630)</f>
        <v>#N/A</v>
      </c>
      <c r="AA630" t="e">
        <f>INDEX(script.out!O:O,results.txt!$M630)</f>
        <v>#N/A</v>
      </c>
      <c r="AB630" t="e">
        <f>INDEX(script.out!P:P,results.txt!$M630)</f>
        <v>#N/A</v>
      </c>
      <c r="AC630" t="e">
        <f>INDEX(script.out!Q:Q,results.txt!$M630)</f>
        <v>#N/A</v>
      </c>
      <c r="AD630">
        <f t="shared" si="10"/>
        <v>0</v>
      </c>
    </row>
    <row r="631" spans="13:30" x14ac:dyDescent="0.25">
      <c r="M631" t="e">
        <f>MATCH(C631,script.out!B:B,0)</f>
        <v>#N/A</v>
      </c>
      <c r="N631" t="e">
        <f>INDEX(script.out!B:B,results.txt!$M631)</f>
        <v>#N/A</v>
      </c>
      <c r="O631" t="e">
        <f>INDEX(script.out!C:C,results.txt!$M631)</f>
        <v>#N/A</v>
      </c>
      <c r="P631" t="e">
        <f>INDEX(script.out!D:D,results.txt!$M631)</f>
        <v>#N/A</v>
      </c>
      <c r="Q631" t="e">
        <f>INDEX(script.out!E:E,results.txt!$M631)</f>
        <v>#N/A</v>
      </c>
      <c r="R631" t="e">
        <f>INDEX(script.out!F:F,results.txt!$M631)</f>
        <v>#N/A</v>
      </c>
      <c r="S631" t="e">
        <f>INDEX(script.out!G:G,results.txt!$M631)</f>
        <v>#N/A</v>
      </c>
      <c r="T631" t="e">
        <f>INDEX(script.out!H:H,results.txt!$M631)</f>
        <v>#N/A</v>
      </c>
      <c r="U631" t="e">
        <f>INDEX(script.out!I:I,results.txt!$M631)</f>
        <v>#N/A</v>
      </c>
      <c r="V631" t="e">
        <f>INDEX(script.out!J:J,results.txt!$M631)</f>
        <v>#N/A</v>
      </c>
      <c r="W631" t="e">
        <f>INDEX(script.out!K:K,results.txt!$M631)</f>
        <v>#N/A</v>
      </c>
      <c r="X631" t="e">
        <f>INDEX(script.out!L:L,results.txt!$M631)</f>
        <v>#N/A</v>
      </c>
      <c r="Y631" t="e">
        <f>INDEX(script.out!M:M,results.txt!$M631)</f>
        <v>#N/A</v>
      </c>
      <c r="Z631" t="e">
        <f>INDEX(script.out!N:N,results.txt!$M631)</f>
        <v>#N/A</v>
      </c>
      <c r="AA631" t="e">
        <f>INDEX(script.out!O:O,results.txt!$M631)</f>
        <v>#N/A</v>
      </c>
      <c r="AB631" t="e">
        <f>INDEX(script.out!P:P,results.txt!$M631)</f>
        <v>#N/A</v>
      </c>
      <c r="AC631" t="e">
        <f>INDEX(script.out!Q:Q,results.txt!$M631)</f>
        <v>#N/A</v>
      </c>
      <c r="AD631">
        <f t="shared" si="10"/>
        <v>0</v>
      </c>
    </row>
    <row r="632" spans="13:30" x14ac:dyDescent="0.25">
      <c r="M632" t="e">
        <f>MATCH(C632,script.out!B:B,0)</f>
        <v>#N/A</v>
      </c>
      <c r="N632" t="e">
        <f>INDEX(script.out!B:B,results.txt!$M632)</f>
        <v>#N/A</v>
      </c>
      <c r="O632" t="e">
        <f>INDEX(script.out!C:C,results.txt!$M632)</f>
        <v>#N/A</v>
      </c>
      <c r="P632" t="e">
        <f>INDEX(script.out!D:D,results.txt!$M632)</f>
        <v>#N/A</v>
      </c>
      <c r="Q632" t="e">
        <f>INDEX(script.out!E:E,results.txt!$M632)</f>
        <v>#N/A</v>
      </c>
      <c r="R632" t="e">
        <f>INDEX(script.out!F:F,results.txt!$M632)</f>
        <v>#N/A</v>
      </c>
      <c r="S632" t="e">
        <f>INDEX(script.out!G:G,results.txt!$M632)</f>
        <v>#N/A</v>
      </c>
      <c r="T632" t="e">
        <f>INDEX(script.out!H:H,results.txt!$M632)</f>
        <v>#N/A</v>
      </c>
      <c r="U632" t="e">
        <f>INDEX(script.out!I:I,results.txt!$M632)</f>
        <v>#N/A</v>
      </c>
      <c r="V632" t="e">
        <f>INDEX(script.out!J:J,results.txt!$M632)</f>
        <v>#N/A</v>
      </c>
      <c r="W632" t="e">
        <f>INDEX(script.out!K:K,results.txt!$M632)</f>
        <v>#N/A</v>
      </c>
      <c r="X632" t="e">
        <f>INDEX(script.out!L:L,results.txt!$M632)</f>
        <v>#N/A</v>
      </c>
      <c r="Y632" t="e">
        <f>INDEX(script.out!M:M,results.txt!$M632)</f>
        <v>#N/A</v>
      </c>
      <c r="Z632" t="e">
        <f>INDEX(script.out!N:N,results.txt!$M632)</f>
        <v>#N/A</v>
      </c>
      <c r="AA632" t="e">
        <f>INDEX(script.out!O:O,results.txt!$M632)</f>
        <v>#N/A</v>
      </c>
      <c r="AB632" t="e">
        <f>INDEX(script.out!P:P,results.txt!$M632)</f>
        <v>#N/A</v>
      </c>
      <c r="AC632" t="e">
        <f>INDEX(script.out!Q:Q,results.txt!$M632)</f>
        <v>#N/A</v>
      </c>
      <c r="AD632">
        <f t="shared" si="10"/>
        <v>0</v>
      </c>
    </row>
    <row r="633" spans="13:30" x14ac:dyDescent="0.25">
      <c r="M633" t="e">
        <f>MATCH(C633,script.out!B:B,0)</f>
        <v>#N/A</v>
      </c>
      <c r="N633" t="e">
        <f>INDEX(script.out!B:B,results.txt!$M633)</f>
        <v>#N/A</v>
      </c>
      <c r="O633" t="e">
        <f>INDEX(script.out!C:C,results.txt!$M633)</f>
        <v>#N/A</v>
      </c>
      <c r="P633" t="e">
        <f>INDEX(script.out!D:D,results.txt!$M633)</f>
        <v>#N/A</v>
      </c>
      <c r="Q633" t="e">
        <f>INDEX(script.out!E:E,results.txt!$M633)</f>
        <v>#N/A</v>
      </c>
      <c r="R633" t="e">
        <f>INDEX(script.out!F:F,results.txt!$M633)</f>
        <v>#N/A</v>
      </c>
      <c r="S633" t="e">
        <f>INDEX(script.out!G:G,results.txt!$M633)</f>
        <v>#N/A</v>
      </c>
      <c r="T633" t="e">
        <f>INDEX(script.out!H:H,results.txt!$M633)</f>
        <v>#N/A</v>
      </c>
      <c r="U633" t="e">
        <f>INDEX(script.out!I:I,results.txt!$M633)</f>
        <v>#N/A</v>
      </c>
      <c r="V633" t="e">
        <f>INDEX(script.out!J:J,results.txt!$M633)</f>
        <v>#N/A</v>
      </c>
      <c r="W633" t="e">
        <f>INDEX(script.out!K:K,results.txt!$M633)</f>
        <v>#N/A</v>
      </c>
      <c r="X633" t="e">
        <f>INDEX(script.out!L:L,results.txt!$M633)</f>
        <v>#N/A</v>
      </c>
      <c r="Y633" t="e">
        <f>INDEX(script.out!M:M,results.txt!$M633)</f>
        <v>#N/A</v>
      </c>
      <c r="Z633" t="e">
        <f>INDEX(script.out!N:N,results.txt!$M633)</f>
        <v>#N/A</v>
      </c>
      <c r="AA633" t="e">
        <f>INDEX(script.out!O:O,results.txt!$M633)</f>
        <v>#N/A</v>
      </c>
      <c r="AB633" t="e">
        <f>INDEX(script.out!P:P,results.txt!$M633)</f>
        <v>#N/A</v>
      </c>
      <c r="AC633" t="e">
        <f>INDEX(script.out!Q:Q,results.txt!$M633)</f>
        <v>#N/A</v>
      </c>
      <c r="AD633">
        <f t="shared" si="10"/>
        <v>0</v>
      </c>
    </row>
    <row r="634" spans="13:30" x14ac:dyDescent="0.25">
      <c r="M634" t="e">
        <f>MATCH(C634,script.out!B:B,0)</f>
        <v>#N/A</v>
      </c>
      <c r="N634" t="e">
        <f>INDEX(script.out!B:B,results.txt!$M634)</f>
        <v>#N/A</v>
      </c>
      <c r="O634" t="e">
        <f>INDEX(script.out!C:C,results.txt!$M634)</f>
        <v>#N/A</v>
      </c>
      <c r="P634" t="e">
        <f>INDEX(script.out!D:D,results.txt!$M634)</f>
        <v>#N/A</v>
      </c>
      <c r="Q634" t="e">
        <f>INDEX(script.out!E:E,results.txt!$M634)</f>
        <v>#N/A</v>
      </c>
      <c r="R634" t="e">
        <f>INDEX(script.out!F:F,results.txt!$M634)</f>
        <v>#N/A</v>
      </c>
      <c r="S634" t="e">
        <f>INDEX(script.out!G:G,results.txt!$M634)</f>
        <v>#N/A</v>
      </c>
      <c r="T634" t="e">
        <f>INDEX(script.out!H:H,results.txt!$M634)</f>
        <v>#N/A</v>
      </c>
      <c r="U634" t="e">
        <f>INDEX(script.out!I:I,results.txt!$M634)</f>
        <v>#N/A</v>
      </c>
      <c r="V634" t="e">
        <f>INDEX(script.out!J:J,results.txt!$M634)</f>
        <v>#N/A</v>
      </c>
      <c r="W634" t="e">
        <f>INDEX(script.out!K:K,results.txt!$M634)</f>
        <v>#N/A</v>
      </c>
      <c r="X634" t="e">
        <f>INDEX(script.out!L:L,results.txt!$M634)</f>
        <v>#N/A</v>
      </c>
      <c r="Y634" t="e">
        <f>INDEX(script.out!M:M,results.txt!$M634)</f>
        <v>#N/A</v>
      </c>
      <c r="Z634" t="e">
        <f>INDEX(script.out!N:N,results.txt!$M634)</f>
        <v>#N/A</v>
      </c>
      <c r="AA634" t="e">
        <f>INDEX(script.out!O:O,results.txt!$M634)</f>
        <v>#N/A</v>
      </c>
      <c r="AB634" t="e">
        <f>INDEX(script.out!P:P,results.txt!$M634)</f>
        <v>#N/A</v>
      </c>
      <c r="AC634" t="e">
        <f>INDEX(script.out!Q:Q,results.txt!$M634)</f>
        <v>#N/A</v>
      </c>
      <c r="AD634">
        <f t="shared" si="10"/>
        <v>0</v>
      </c>
    </row>
    <row r="635" spans="13:30" x14ac:dyDescent="0.25">
      <c r="M635" t="e">
        <f>MATCH(C635,script.out!B:B,0)</f>
        <v>#N/A</v>
      </c>
      <c r="N635" t="e">
        <f>INDEX(script.out!B:B,results.txt!$M635)</f>
        <v>#N/A</v>
      </c>
      <c r="O635" t="e">
        <f>INDEX(script.out!C:C,results.txt!$M635)</f>
        <v>#N/A</v>
      </c>
      <c r="P635" t="e">
        <f>INDEX(script.out!D:D,results.txt!$M635)</f>
        <v>#N/A</v>
      </c>
      <c r="Q635" t="e">
        <f>INDEX(script.out!E:E,results.txt!$M635)</f>
        <v>#N/A</v>
      </c>
      <c r="R635" t="e">
        <f>INDEX(script.out!F:F,results.txt!$M635)</f>
        <v>#N/A</v>
      </c>
      <c r="S635" t="e">
        <f>INDEX(script.out!G:G,results.txt!$M635)</f>
        <v>#N/A</v>
      </c>
      <c r="T635" t="e">
        <f>INDEX(script.out!H:H,results.txt!$M635)</f>
        <v>#N/A</v>
      </c>
      <c r="U635" t="e">
        <f>INDEX(script.out!I:I,results.txt!$M635)</f>
        <v>#N/A</v>
      </c>
      <c r="V635" t="e">
        <f>INDEX(script.out!J:J,results.txt!$M635)</f>
        <v>#N/A</v>
      </c>
      <c r="W635" t="e">
        <f>INDEX(script.out!K:K,results.txt!$M635)</f>
        <v>#N/A</v>
      </c>
      <c r="X635" t="e">
        <f>INDEX(script.out!L:L,results.txt!$M635)</f>
        <v>#N/A</v>
      </c>
      <c r="Y635" t="e">
        <f>INDEX(script.out!M:M,results.txt!$M635)</f>
        <v>#N/A</v>
      </c>
      <c r="Z635" t="e">
        <f>INDEX(script.out!N:N,results.txt!$M635)</f>
        <v>#N/A</v>
      </c>
      <c r="AA635" t="e">
        <f>INDEX(script.out!O:O,results.txt!$M635)</f>
        <v>#N/A</v>
      </c>
      <c r="AB635" t="e">
        <f>INDEX(script.out!P:P,results.txt!$M635)</f>
        <v>#N/A</v>
      </c>
      <c r="AC635" t="e">
        <f>INDEX(script.out!Q:Q,results.txt!$M635)</f>
        <v>#N/A</v>
      </c>
      <c r="AD635">
        <f t="shared" si="10"/>
        <v>0</v>
      </c>
    </row>
    <row r="636" spans="13:30" x14ac:dyDescent="0.25">
      <c r="M636" t="e">
        <f>MATCH(C636,script.out!B:B,0)</f>
        <v>#N/A</v>
      </c>
      <c r="N636" t="e">
        <f>INDEX(script.out!B:B,results.txt!$M636)</f>
        <v>#N/A</v>
      </c>
      <c r="O636" t="e">
        <f>INDEX(script.out!C:C,results.txt!$M636)</f>
        <v>#N/A</v>
      </c>
      <c r="P636" t="e">
        <f>INDEX(script.out!D:D,results.txt!$M636)</f>
        <v>#N/A</v>
      </c>
      <c r="Q636" t="e">
        <f>INDEX(script.out!E:E,results.txt!$M636)</f>
        <v>#N/A</v>
      </c>
      <c r="R636" t="e">
        <f>INDEX(script.out!F:F,results.txt!$M636)</f>
        <v>#N/A</v>
      </c>
      <c r="S636" t="e">
        <f>INDEX(script.out!G:G,results.txt!$M636)</f>
        <v>#N/A</v>
      </c>
      <c r="T636" t="e">
        <f>INDEX(script.out!H:H,results.txt!$M636)</f>
        <v>#N/A</v>
      </c>
      <c r="U636" t="e">
        <f>INDEX(script.out!I:I,results.txt!$M636)</f>
        <v>#N/A</v>
      </c>
      <c r="V636" t="e">
        <f>INDEX(script.out!J:J,results.txt!$M636)</f>
        <v>#N/A</v>
      </c>
      <c r="W636" t="e">
        <f>INDEX(script.out!K:K,results.txt!$M636)</f>
        <v>#N/A</v>
      </c>
      <c r="X636" t="e">
        <f>INDEX(script.out!L:L,results.txt!$M636)</f>
        <v>#N/A</v>
      </c>
      <c r="Y636" t="e">
        <f>INDEX(script.out!M:M,results.txt!$M636)</f>
        <v>#N/A</v>
      </c>
      <c r="Z636" t="e">
        <f>INDEX(script.out!N:N,results.txt!$M636)</f>
        <v>#N/A</v>
      </c>
      <c r="AA636" t="e">
        <f>INDEX(script.out!O:O,results.txt!$M636)</f>
        <v>#N/A</v>
      </c>
      <c r="AB636" t="e">
        <f>INDEX(script.out!P:P,results.txt!$M636)</f>
        <v>#N/A</v>
      </c>
      <c r="AC636" t="e">
        <f>INDEX(script.out!Q:Q,results.txt!$M636)</f>
        <v>#N/A</v>
      </c>
      <c r="AD636">
        <f t="shared" si="10"/>
        <v>0</v>
      </c>
    </row>
    <row r="637" spans="13:30" x14ac:dyDescent="0.25">
      <c r="M637" t="e">
        <f>MATCH(C637,script.out!B:B,0)</f>
        <v>#N/A</v>
      </c>
      <c r="N637" t="e">
        <f>INDEX(script.out!B:B,results.txt!$M637)</f>
        <v>#N/A</v>
      </c>
      <c r="O637" t="e">
        <f>INDEX(script.out!C:C,results.txt!$M637)</f>
        <v>#N/A</v>
      </c>
      <c r="P637" t="e">
        <f>INDEX(script.out!D:D,results.txt!$M637)</f>
        <v>#N/A</v>
      </c>
      <c r="Q637" t="e">
        <f>INDEX(script.out!E:E,results.txt!$M637)</f>
        <v>#N/A</v>
      </c>
      <c r="R637" t="e">
        <f>INDEX(script.out!F:F,results.txt!$M637)</f>
        <v>#N/A</v>
      </c>
      <c r="S637" t="e">
        <f>INDEX(script.out!G:G,results.txt!$M637)</f>
        <v>#N/A</v>
      </c>
      <c r="T637" t="e">
        <f>INDEX(script.out!H:H,results.txt!$M637)</f>
        <v>#N/A</v>
      </c>
      <c r="U637" t="e">
        <f>INDEX(script.out!I:I,results.txt!$M637)</f>
        <v>#N/A</v>
      </c>
      <c r="V637" t="e">
        <f>INDEX(script.out!J:J,results.txt!$M637)</f>
        <v>#N/A</v>
      </c>
      <c r="W637" t="e">
        <f>INDEX(script.out!K:K,results.txt!$M637)</f>
        <v>#N/A</v>
      </c>
      <c r="X637" t="e">
        <f>INDEX(script.out!L:L,results.txt!$M637)</f>
        <v>#N/A</v>
      </c>
      <c r="Y637" t="e">
        <f>INDEX(script.out!M:M,results.txt!$M637)</f>
        <v>#N/A</v>
      </c>
      <c r="Z637" t="e">
        <f>INDEX(script.out!N:N,results.txt!$M637)</f>
        <v>#N/A</v>
      </c>
      <c r="AA637" t="e">
        <f>INDEX(script.out!O:O,results.txt!$M637)</f>
        <v>#N/A</v>
      </c>
      <c r="AB637" t="e">
        <f>INDEX(script.out!P:P,results.txt!$M637)</f>
        <v>#N/A</v>
      </c>
      <c r="AC637" t="e">
        <f>INDEX(script.out!Q:Q,results.txt!$M637)</f>
        <v>#N/A</v>
      </c>
      <c r="AD637">
        <f t="shared" si="10"/>
        <v>0</v>
      </c>
    </row>
    <row r="638" spans="13:30" x14ac:dyDescent="0.25">
      <c r="M638" t="e">
        <f>MATCH(C638,script.out!B:B,0)</f>
        <v>#N/A</v>
      </c>
      <c r="N638" t="e">
        <f>INDEX(script.out!B:B,results.txt!$M638)</f>
        <v>#N/A</v>
      </c>
      <c r="O638" t="e">
        <f>INDEX(script.out!C:C,results.txt!$M638)</f>
        <v>#N/A</v>
      </c>
      <c r="P638" t="e">
        <f>INDEX(script.out!D:D,results.txt!$M638)</f>
        <v>#N/A</v>
      </c>
      <c r="Q638" t="e">
        <f>INDEX(script.out!E:E,results.txt!$M638)</f>
        <v>#N/A</v>
      </c>
      <c r="R638" t="e">
        <f>INDEX(script.out!F:F,results.txt!$M638)</f>
        <v>#N/A</v>
      </c>
      <c r="S638" t="e">
        <f>INDEX(script.out!G:G,results.txt!$M638)</f>
        <v>#N/A</v>
      </c>
      <c r="T638" t="e">
        <f>INDEX(script.out!H:H,results.txt!$M638)</f>
        <v>#N/A</v>
      </c>
      <c r="U638" t="e">
        <f>INDEX(script.out!I:I,results.txt!$M638)</f>
        <v>#N/A</v>
      </c>
      <c r="V638" t="e">
        <f>INDEX(script.out!J:J,results.txt!$M638)</f>
        <v>#N/A</v>
      </c>
      <c r="W638" t="e">
        <f>INDEX(script.out!K:K,results.txt!$M638)</f>
        <v>#N/A</v>
      </c>
      <c r="X638" t="e">
        <f>INDEX(script.out!L:L,results.txt!$M638)</f>
        <v>#N/A</v>
      </c>
      <c r="Y638" t="e">
        <f>INDEX(script.out!M:M,results.txt!$M638)</f>
        <v>#N/A</v>
      </c>
      <c r="Z638" t="e">
        <f>INDEX(script.out!N:N,results.txt!$M638)</f>
        <v>#N/A</v>
      </c>
      <c r="AA638" t="e">
        <f>INDEX(script.out!O:O,results.txt!$M638)</f>
        <v>#N/A</v>
      </c>
      <c r="AB638" t="e">
        <f>INDEX(script.out!P:P,results.txt!$M638)</f>
        <v>#N/A</v>
      </c>
      <c r="AC638" t="e">
        <f>INDEX(script.out!Q:Q,results.txt!$M638)</f>
        <v>#N/A</v>
      </c>
      <c r="AD638">
        <f t="shared" si="10"/>
        <v>0</v>
      </c>
    </row>
    <row r="639" spans="13:30" x14ac:dyDescent="0.25">
      <c r="M639" t="e">
        <f>MATCH(C639,script.out!B:B,0)</f>
        <v>#N/A</v>
      </c>
      <c r="N639" t="e">
        <f>INDEX(script.out!B:B,results.txt!$M639)</f>
        <v>#N/A</v>
      </c>
      <c r="O639" t="e">
        <f>INDEX(script.out!C:C,results.txt!$M639)</f>
        <v>#N/A</v>
      </c>
      <c r="P639" t="e">
        <f>INDEX(script.out!D:D,results.txt!$M639)</f>
        <v>#N/A</v>
      </c>
      <c r="Q639" t="e">
        <f>INDEX(script.out!E:E,results.txt!$M639)</f>
        <v>#N/A</v>
      </c>
      <c r="R639" t="e">
        <f>INDEX(script.out!F:F,results.txt!$M639)</f>
        <v>#N/A</v>
      </c>
      <c r="S639" t="e">
        <f>INDEX(script.out!G:G,results.txt!$M639)</f>
        <v>#N/A</v>
      </c>
      <c r="T639" t="e">
        <f>INDEX(script.out!H:H,results.txt!$M639)</f>
        <v>#N/A</v>
      </c>
      <c r="U639" t="e">
        <f>INDEX(script.out!I:I,results.txt!$M639)</f>
        <v>#N/A</v>
      </c>
      <c r="V639" t="e">
        <f>INDEX(script.out!J:J,results.txt!$M639)</f>
        <v>#N/A</v>
      </c>
      <c r="W639" t="e">
        <f>INDEX(script.out!K:K,results.txt!$M639)</f>
        <v>#N/A</v>
      </c>
      <c r="X639" t="e">
        <f>INDEX(script.out!L:L,results.txt!$M639)</f>
        <v>#N/A</v>
      </c>
      <c r="Y639" t="e">
        <f>INDEX(script.out!M:M,results.txt!$M639)</f>
        <v>#N/A</v>
      </c>
      <c r="Z639" t="e">
        <f>INDEX(script.out!N:N,results.txt!$M639)</f>
        <v>#N/A</v>
      </c>
      <c r="AA639" t="e">
        <f>INDEX(script.out!O:O,results.txt!$M639)</f>
        <v>#N/A</v>
      </c>
      <c r="AB639" t="e">
        <f>INDEX(script.out!P:P,results.txt!$M639)</f>
        <v>#N/A</v>
      </c>
      <c r="AC639" t="e">
        <f>INDEX(script.out!Q:Q,results.txt!$M639)</f>
        <v>#N/A</v>
      </c>
      <c r="AD639">
        <f t="shared" si="10"/>
        <v>0</v>
      </c>
    </row>
    <row r="640" spans="13:30" x14ac:dyDescent="0.25">
      <c r="M640" t="e">
        <f>MATCH(C640,script.out!B:B,0)</f>
        <v>#N/A</v>
      </c>
      <c r="N640" t="e">
        <f>INDEX(script.out!B:B,results.txt!$M640)</f>
        <v>#N/A</v>
      </c>
      <c r="O640" t="e">
        <f>INDEX(script.out!C:C,results.txt!$M640)</f>
        <v>#N/A</v>
      </c>
      <c r="P640" t="e">
        <f>INDEX(script.out!D:D,results.txt!$M640)</f>
        <v>#N/A</v>
      </c>
      <c r="Q640" t="e">
        <f>INDEX(script.out!E:E,results.txt!$M640)</f>
        <v>#N/A</v>
      </c>
      <c r="R640" t="e">
        <f>INDEX(script.out!F:F,results.txt!$M640)</f>
        <v>#N/A</v>
      </c>
      <c r="S640" t="e">
        <f>INDEX(script.out!G:G,results.txt!$M640)</f>
        <v>#N/A</v>
      </c>
      <c r="T640" t="e">
        <f>INDEX(script.out!H:H,results.txt!$M640)</f>
        <v>#N/A</v>
      </c>
      <c r="U640" t="e">
        <f>INDEX(script.out!I:I,results.txt!$M640)</f>
        <v>#N/A</v>
      </c>
      <c r="V640" t="e">
        <f>INDEX(script.out!J:J,results.txt!$M640)</f>
        <v>#N/A</v>
      </c>
      <c r="W640" t="e">
        <f>INDEX(script.out!K:K,results.txt!$M640)</f>
        <v>#N/A</v>
      </c>
      <c r="X640" t="e">
        <f>INDEX(script.out!L:L,results.txt!$M640)</f>
        <v>#N/A</v>
      </c>
      <c r="Y640" t="e">
        <f>INDEX(script.out!M:M,results.txt!$M640)</f>
        <v>#N/A</v>
      </c>
      <c r="Z640" t="e">
        <f>INDEX(script.out!N:N,results.txt!$M640)</f>
        <v>#N/A</v>
      </c>
      <c r="AA640" t="e">
        <f>INDEX(script.out!O:O,results.txt!$M640)</f>
        <v>#N/A</v>
      </c>
      <c r="AB640" t="e">
        <f>INDEX(script.out!P:P,results.txt!$M640)</f>
        <v>#N/A</v>
      </c>
      <c r="AC640" t="e">
        <f>INDEX(script.out!Q:Q,results.txt!$M640)</f>
        <v>#N/A</v>
      </c>
      <c r="AD640">
        <f t="shared" si="10"/>
        <v>0</v>
      </c>
    </row>
    <row r="641" spans="13:30" x14ac:dyDescent="0.25">
      <c r="M641" t="e">
        <f>MATCH(C641,script.out!B:B,0)</f>
        <v>#N/A</v>
      </c>
      <c r="N641" t="e">
        <f>INDEX(script.out!B:B,results.txt!$M641)</f>
        <v>#N/A</v>
      </c>
      <c r="O641" t="e">
        <f>INDEX(script.out!C:C,results.txt!$M641)</f>
        <v>#N/A</v>
      </c>
      <c r="P641" t="e">
        <f>INDEX(script.out!D:D,results.txt!$M641)</f>
        <v>#N/A</v>
      </c>
      <c r="Q641" t="e">
        <f>INDEX(script.out!E:E,results.txt!$M641)</f>
        <v>#N/A</v>
      </c>
      <c r="R641" t="e">
        <f>INDEX(script.out!F:F,results.txt!$M641)</f>
        <v>#N/A</v>
      </c>
      <c r="S641" t="e">
        <f>INDEX(script.out!G:G,results.txt!$M641)</f>
        <v>#N/A</v>
      </c>
      <c r="T641" t="e">
        <f>INDEX(script.out!H:H,results.txt!$M641)</f>
        <v>#N/A</v>
      </c>
      <c r="U641" t="e">
        <f>INDEX(script.out!I:I,results.txt!$M641)</f>
        <v>#N/A</v>
      </c>
      <c r="V641" t="e">
        <f>INDEX(script.out!J:J,results.txt!$M641)</f>
        <v>#N/A</v>
      </c>
      <c r="W641" t="e">
        <f>INDEX(script.out!K:K,results.txt!$M641)</f>
        <v>#N/A</v>
      </c>
      <c r="X641" t="e">
        <f>INDEX(script.out!L:L,results.txt!$M641)</f>
        <v>#N/A</v>
      </c>
      <c r="Y641" t="e">
        <f>INDEX(script.out!M:M,results.txt!$M641)</f>
        <v>#N/A</v>
      </c>
      <c r="Z641" t="e">
        <f>INDEX(script.out!N:N,results.txt!$M641)</f>
        <v>#N/A</v>
      </c>
      <c r="AA641" t="e">
        <f>INDEX(script.out!O:O,results.txt!$M641)</f>
        <v>#N/A</v>
      </c>
      <c r="AB641" t="e">
        <f>INDEX(script.out!P:P,results.txt!$M641)</f>
        <v>#N/A</v>
      </c>
      <c r="AC641" t="e">
        <f>INDEX(script.out!Q:Q,results.txt!$M641)</f>
        <v>#N/A</v>
      </c>
      <c r="AD641">
        <f t="shared" si="10"/>
        <v>0</v>
      </c>
    </row>
    <row r="642" spans="13:30" x14ac:dyDescent="0.25">
      <c r="M642" t="e">
        <f>MATCH(C642,script.out!B:B,0)</f>
        <v>#N/A</v>
      </c>
      <c r="N642" t="e">
        <f>INDEX(script.out!B:B,results.txt!$M642)</f>
        <v>#N/A</v>
      </c>
      <c r="O642" t="e">
        <f>INDEX(script.out!C:C,results.txt!$M642)</f>
        <v>#N/A</v>
      </c>
      <c r="P642" t="e">
        <f>INDEX(script.out!D:D,results.txt!$M642)</f>
        <v>#N/A</v>
      </c>
      <c r="Q642" t="e">
        <f>INDEX(script.out!E:E,results.txt!$M642)</f>
        <v>#N/A</v>
      </c>
      <c r="R642" t="e">
        <f>INDEX(script.out!F:F,results.txt!$M642)</f>
        <v>#N/A</v>
      </c>
      <c r="S642" t="e">
        <f>INDEX(script.out!G:G,results.txt!$M642)</f>
        <v>#N/A</v>
      </c>
      <c r="T642" t="e">
        <f>INDEX(script.out!H:H,results.txt!$M642)</f>
        <v>#N/A</v>
      </c>
      <c r="U642" t="e">
        <f>INDEX(script.out!I:I,results.txt!$M642)</f>
        <v>#N/A</v>
      </c>
      <c r="V642" t="e">
        <f>INDEX(script.out!J:J,results.txt!$M642)</f>
        <v>#N/A</v>
      </c>
      <c r="W642" t="e">
        <f>INDEX(script.out!K:K,results.txt!$M642)</f>
        <v>#N/A</v>
      </c>
      <c r="X642" t="e">
        <f>INDEX(script.out!L:L,results.txt!$M642)</f>
        <v>#N/A</v>
      </c>
      <c r="Y642" t="e">
        <f>INDEX(script.out!M:M,results.txt!$M642)</f>
        <v>#N/A</v>
      </c>
      <c r="Z642" t="e">
        <f>INDEX(script.out!N:N,results.txt!$M642)</f>
        <v>#N/A</v>
      </c>
      <c r="AA642" t="e">
        <f>INDEX(script.out!O:O,results.txt!$M642)</f>
        <v>#N/A</v>
      </c>
      <c r="AB642" t="e">
        <f>INDEX(script.out!P:P,results.txt!$M642)</f>
        <v>#N/A</v>
      </c>
      <c r="AC642" t="e">
        <f>INDEX(script.out!Q:Q,results.txt!$M642)</f>
        <v>#N/A</v>
      </c>
      <c r="AD642">
        <f t="shared" si="10"/>
        <v>0</v>
      </c>
    </row>
    <row r="643" spans="13:30" x14ac:dyDescent="0.25">
      <c r="M643" t="e">
        <f>MATCH(C643,script.out!B:B,0)</f>
        <v>#N/A</v>
      </c>
      <c r="N643" t="e">
        <f>INDEX(script.out!B:B,results.txt!$M643)</f>
        <v>#N/A</v>
      </c>
      <c r="O643" t="e">
        <f>INDEX(script.out!C:C,results.txt!$M643)</f>
        <v>#N/A</v>
      </c>
      <c r="P643" t="e">
        <f>INDEX(script.out!D:D,results.txt!$M643)</f>
        <v>#N/A</v>
      </c>
      <c r="Q643" t="e">
        <f>INDEX(script.out!E:E,results.txt!$M643)</f>
        <v>#N/A</v>
      </c>
      <c r="R643" t="e">
        <f>INDEX(script.out!F:F,results.txt!$M643)</f>
        <v>#N/A</v>
      </c>
      <c r="S643" t="e">
        <f>INDEX(script.out!G:G,results.txt!$M643)</f>
        <v>#N/A</v>
      </c>
      <c r="T643" t="e">
        <f>INDEX(script.out!H:H,results.txt!$M643)</f>
        <v>#N/A</v>
      </c>
      <c r="U643" t="e">
        <f>INDEX(script.out!I:I,results.txt!$M643)</f>
        <v>#N/A</v>
      </c>
      <c r="V643" t="e">
        <f>INDEX(script.out!J:J,results.txt!$M643)</f>
        <v>#N/A</v>
      </c>
      <c r="W643" t="e">
        <f>INDEX(script.out!K:K,results.txt!$M643)</f>
        <v>#N/A</v>
      </c>
      <c r="X643" t="e">
        <f>INDEX(script.out!L:L,results.txt!$M643)</f>
        <v>#N/A</v>
      </c>
      <c r="Y643" t="e">
        <f>INDEX(script.out!M:M,results.txt!$M643)</f>
        <v>#N/A</v>
      </c>
      <c r="Z643" t="e">
        <f>INDEX(script.out!N:N,results.txt!$M643)</f>
        <v>#N/A</v>
      </c>
      <c r="AA643" t="e">
        <f>INDEX(script.out!O:O,results.txt!$M643)</f>
        <v>#N/A</v>
      </c>
      <c r="AB643" t="e">
        <f>INDEX(script.out!P:P,results.txt!$M643)</f>
        <v>#N/A</v>
      </c>
      <c r="AC643" t="e">
        <f>INDEX(script.out!Q:Q,results.txt!$M643)</f>
        <v>#N/A</v>
      </c>
      <c r="AD643">
        <f t="shared" si="10"/>
        <v>0</v>
      </c>
    </row>
    <row r="644" spans="13:30" x14ac:dyDescent="0.25">
      <c r="M644" t="e">
        <f>MATCH(C644,script.out!B:B,0)</f>
        <v>#N/A</v>
      </c>
      <c r="N644" t="e">
        <f>INDEX(script.out!B:B,results.txt!$M644)</f>
        <v>#N/A</v>
      </c>
      <c r="O644" t="e">
        <f>INDEX(script.out!C:C,results.txt!$M644)</f>
        <v>#N/A</v>
      </c>
      <c r="P644" t="e">
        <f>INDEX(script.out!D:D,results.txt!$M644)</f>
        <v>#N/A</v>
      </c>
      <c r="Q644" t="e">
        <f>INDEX(script.out!E:E,results.txt!$M644)</f>
        <v>#N/A</v>
      </c>
      <c r="R644" t="e">
        <f>INDEX(script.out!F:F,results.txt!$M644)</f>
        <v>#N/A</v>
      </c>
      <c r="S644" t="e">
        <f>INDEX(script.out!G:G,results.txt!$M644)</f>
        <v>#N/A</v>
      </c>
      <c r="T644" t="e">
        <f>INDEX(script.out!H:H,results.txt!$M644)</f>
        <v>#N/A</v>
      </c>
      <c r="U644" t="e">
        <f>INDEX(script.out!I:I,results.txt!$M644)</f>
        <v>#N/A</v>
      </c>
      <c r="V644" t="e">
        <f>INDEX(script.out!J:J,results.txt!$M644)</f>
        <v>#N/A</v>
      </c>
      <c r="W644" t="e">
        <f>INDEX(script.out!K:K,results.txt!$M644)</f>
        <v>#N/A</v>
      </c>
      <c r="X644" t="e">
        <f>INDEX(script.out!L:L,results.txt!$M644)</f>
        <v>#N/A</v>
      </c>
      <c r="Y644" t="e">
        <f>INDEX(script.out!M:M,results.txt!$M644)</f>
        <v>#N/A</v>
      </c>
      <c r="Z644" t="e">
        <f>INDEX(script.out!N:N,results.txt!$M644)</f>
        <v>#N/A</v>
      </c>
      <c r="AA644" t="e">
        <f>INDEX(script.out!O:O,results.txt!$M644)</f>
        <v>#N/A</v>
      </c>
      <c r="AB644" t="e">
        <f>INDEX(script.out!P:P,results.txt!$M644)</f>
        <v>#N/A</v>
      </c>
      <c r="AC644" t="e">
        <f>INDEX(script.out!Q:Q,results.txt!$M644)</f>
        <v>#N/A</v>
      </c>
      <c r="AD644">
        <f t="shared" si="10"/>
        <v>0</v>
      </c>
    </row>
    <row r="645" spans="13:30" x14ac:dyDescent="0.25">
      <c r="M645" t="e">
        <f>MATCH(C645,script.out!B:B,0)</f>
        <v>#N/A</v>
      </c>
      <c r="N645" t="e">
        <f>INDEX(script.out!B:B,results.txt!$M645)</f>
        <v>#N/A</v>
      </c>
      <c r="O645" t="e">
        <f>INDEX(script.out!C:C,results.txt!$M645)</f>
        <v>#N/A</v>
      </c>
      <c r="P645" t="e">
        <f>INDEX(script.out!D:D,results.txt!$M645)</f>
        <v>#N/A</v>
      </c>
      <c r="Q645" t="e">
        <f>INDEX(script.out!E:E,results.txt!$M645)</f>
        <v>#N/A</v>
      </c>
      <c r="R645" t="e">
        <f>INDEX(script.out!F:F,results.txt!$M645)</f>
        <v>#N/A</v>
      </c>
      <c r="S645" t="e">
        <f>INDEX(script.out!G:G,results.txt!$M645)</f>
        <v>#N/A</v>
      </c>
      <c r="T645" t="e">
        <f>INDEX(script.out!H:H,results.txt!$M645)</f>
        <v>#N/A</v>
      </c>
      <c r="U645" t="e">
        <f>INDEX(script.out!I:I,results.txt!$M645)</f>
        <v>#N/A</v>
      </c>
      <c r="V645" t="e">
        <f>INDEX(script.out!J:J,results.txt!$M645)</f>
        <v>#N/A</v>
      </c>
      <c r="W645" t="e">
        <f>INDEX(script.out!K:K,results.txt!$M645)</f>
        <v>#N/A</v>
      </c>
      <c r="X645" t="e">
        <f>INDEX(script.out!L:L,results.txt!$M645)</f>
        <v>#N/A</v>
      </c>
      <c r="Y645" t="e">
        <f>INDEX(script.out!M:M,results.txt!$M645)</f>
        <v>#N/A</v>
      </c>
      <c r="Z645" t="e">
        <f>INDEX(script.out!N:N,results.txt!$M645)</f>
        <v>#N/A</v>
      </c>
      <c r="AA645" t="e">
        <f>INDEX(script.out!O:O,results.txt!$M645)</f>
        <v>#N/A</v>
      </c>
      <c r="AB645" t="e">
        <f>INDEX(script.out!P:P,results.txt!$M645)</f>
        <v>#N/A</v>
      </c>
      <c r="AC645" t="e">
        <f>INDEX(script.out!Q:Q,results.txt!$M645)</f>
        <v>#N/A</v>
      </c>
      <c r="AD645">
        <f t="shared" si="10"/>
        <v>0</v>
      </c>
    </row>
    <row r="646" spans="13:30" x14ac:dyDescent="0.25">
      <c r="M646" t="e">
        <f>MATCH(C646,script.out!B:B,0)</f>
        <v>#N/A</v>
      </c>
      <c r="N646" t="e">
        <f>INDEX(script.out!B:B,results.txt!$M646)</f>
        <v>#N/A</v>
      </c>
      <c r="O646" t="e">
        <f>INDEX(script.out!C:C,results.txt!$M646)</f>
        <v>#N/A</v>
      </c>
      <c r="P646" t="e">
        <f>INDEX(script.out!D:D,results.txt!$M646)</f>
        <v>#N/A</v>
      </c>
      <c r="Q646" t="e">
        <f>INDEX(script.out!E:E,results.txt!$M646)</f>
        <v>#N/A</v>
      </c>
      <c r="R646" t="e">
        <f>INDEX(script.out!F:F,results.txt!$M646)</f>
        <v>#N/A</v>
      </c>
      <c r="S646" t="e">
        <f>INDEX(script.out!G:G,results.txt!$M646)</f>
        <v>#N/A</v>
      </c>
      <c r="T646" t="e">
        <f>INDEX(script.out!H:H,results.txt!$M646)</f>
        <v>#N/A</v>
      </c>
      <c r="U646" t="e">
        <f>INDEX(script.out!I:I,results.txt!$M646)</f>
        <v>#N/A</v>
      </c>
      <c r="V646" t="e">
        <f>INDEX(script.out!J:J,results.txt!$M646)</f>
        <v>#N/A</v>
      </c>
      <c r="W646" t="e">
        <f>INDEX(script.out!K:K,results.txt!$M646)</f>
        <v>#N/A</v>
      </c>
      <c r="X646" t="e">
        <f>INDEX(script.out!L:L,results.txt!$M646)</f>
        <v>#N/A</v>
      </c>
      <c r="Y646" t="e">
        <f>INDEX(script.out!M:M,results.txt!$M646)</f>
        <v>#N/A</v>
      </c>
      <c r="Z646" t="e">
        <f>INDEX(script.out!N:N,results.txt!$M646)</f>
        <v>#N/A</v>
      </c>
      <c r="AA646" t="e">
        <f>INDEX(script.out!O:O,results.txt!$M646)</f>
        <v>#N/A</v>
      </c>
      <c r="AB646" t="e">
        <f>INDEX(script.out!P:P,results.txt!$M646)</f>
        <v>#N/A</v>
      </c>
      <c r="AC646" t="e">
        <f>INDEX(script.out!Q:Q,results.txt!$M646)</f>
        <v>#N/A</v>
      </c>
      <c r="AD646">
        <f t="shared" si="10"/>
        <v>0</v>
      </c>
    </row>
    <row r="647" spans="13:30" x14ac:dyDescent="0.25">
      <c r="M647" t="e">
        <f>MATCH(C647,script.out!B:B,0)</f>
        <v>#N/A</v>
      </c>
      <c r="N647" t="e">
        <f>INDEX(script.out!B:B,results.txt!$M647)</f>
        <v>#N/A</v>
      </c>
      <c r="O647" t="e">
        <f>INDEX(script.out!C:C,results.txt!$M647)</f>
        <v>#N/A</v>
      </c>
      <c r="P647" t="e">
        <f>INDEX(script.out!D:D,results.txt!$M647)</f>
        <v>#N/A</v>
      </c>
      <c r="Q647" t="e">
        <f>INDEX(script.out!E:E,results.txt!$M647)</f>
        <v>#N/A</v>
      </c>
      <c r="R647" t="e">
        <f>INDEX(script.out!F:F,results.txt!$M647)</f>
        <v>#N/A</v>
      </c>
      <c r="S647" t="e">
        <f>INDEX(script.out!G:G,results.txt!$M647)</f>
        <v>#N/A</v>
      </c>
      <c r="T647" t="e">
        <f>INDEX(script.out!H:H,results.txt!$M647)</f>
        <v>#N/A</v>
      </c>
      <c r="U647" t="e">
        <f>INDEX(script.out!I:I,results.txt!$M647)</f>
        <v>#N/A</v>
      </c>
      <c r="V647" t="e">
        <f>INDEX(script.out!J:J,results.txt!$M647)</f>
        <v>#N/A</v>
      </c>
      <c r="W647" t="e">
        <f>INDEX(script.out!K:K,results.txt!$M647)</f>
        <v>#N/A</v>
      </c>
      <c r="X647" t="e">
        <f>INDEX(script.out!L:L,results.txt!$M647)</f>
        <v>#N/A</v>
      </c>
      <c r="Y647" t="e">
        <f>INDEX(script.out!M:M,results.txt!$M647)</f>
        <v>#N/A</v>
      </c>
      <c r="Z647" t="e">
        <f>INDEX(script.out!N:N,results.txt!$M647)</f>
        <v>#N/A</v>
      </c>
      <c r="AA647" t="e">
        <f>INDEX(script.out!O:O,results.txt!$M647)</f>
        <v>#N/A</v>
      </c>
      <c r="AB647" t="e">
        <f>INDEX(script.out!P:P,results.txt!$M647)</f>
        <v>#N/A</v>
      </c>
      <c r="AC647" t="e">
        <f>INDEX(script.out!Q:Q,results.txt!$M647)</f>
        <v>#N/A</v>
      </c>
      <c r="AD647">
        <f t="shared" si="10"/>
        <v>0</v>
      </c>
    </row>
    <row r="648" spans="13:30" x14ac:dyDescent="0.25">
      <c r="M648" t="e">
        <f>MATCH(C648,script.out!B:B,0)</f>
        <v>#N/A</v>
      </c>
      <c r="N648" t="e">
        <f>INDEX(script.out!B:B,results.txt!$M648)</f>
        <v>#N/A</v>
      </c>
      <c r="O648" t="e">
        <f>INDEX(script.out!C:C,results.txt!$M648)</f>
        <v>#N/A</v>
      </c>
      <c r="P648" t="e">
        <f>INDEX(script.out!D:D,results.txt!$M648)</f>
        <v>#N/A</v>
      </c>
      <c r="Q648" t="e">
        <f>INDEX(script.out!E:E,results.txt!$M648)</f>
        <v>#N/A</v>
      </c>
      <c r="R648" t="e">
        <f>INDEX(script.out!F:F,results.txt!$M648)</f>
        <v>#N/A</v>
      </c>
      <c r="S648" t="e">
        <f>INDEX(script.out!G:G,results.txt!$M648)</f>
        <v>#N/A</v>
      </c>
      <c r="T648" t="e">
        <f>INDEX(script.out!H:H,results.txt!$M648)</f>
        <v>#N/A</v>
      </c>
      <c r="U648" t="e">
        <f>INDEX(script.out!I:I,results.txt!$M648)</f>
        <v>#N/A</v>
      </c>
      <c r="V648" t="e">
        <f>INDEX(script.out!J:J,results.txt!$M648)</f>
        <v>#N/A</v>
      </c>
      <c r="W648" t="e">
        <f>INDEX(script.out!K:K,results.txt!$M648)</f>
        <v>#N/A</v>
      </c>
      <c r="X648" t="e">
        <f>INDEX(script.out!L:L,results.txt!$M648)</f>
        <v>#N/A</v>
      </c>
      <c r="Y648" t="e">
        <f>INDEX(script.out!M:M,results.txt!$M648)</f>
        <v>#N/A</v>
      </c>
      <c r="Z648" t="e">
        <f>INDEX(script.out!N:N,results.txt!$M648)</f>
        <v>#N/A</v>
      </c>
      <c r="AA648" t="e">
        <f>INDEX(script.out!O:O,results.txt!$M648)</f>
        <v>#N/A</v>
      </c>
      <c r="AB648" t="e">
        <f>INDEX(script.out!P:P,results.txt!$M648)</f>
        <v>#N/A</v>
      </c>
      <c r="AC648" t="e">
        <f>INDEX(script.out!Q:Q,results.txt!$M648)</f>
        <v>#N/A</v>
      </c>
      <c r="AD648">
        <f t="shared" si="10"/>
        <v>0</v>
      </c>
    </row>
    <row r="649" spans="13:30" x14ac:dyDescent="0.25">
      <c r="M649" t="e">
        <f>MATCH(C649,script.out!B:B,0)</f>
        <v>#N/A</v>
      </c>
      <c r="N649" t="e">
        <f>INDEX(script.out!B:B,results.txt!$M649)</f>
        <v>#N/A</v>
      </c>
      <c r="O649" t="e">
        <f>INDEX(script.out!C:C,results.txt!$M649)</f>
        <v>#N/A</v>
      </c>
      <c r="P649" t="e">
        <f>INDEX(script.out!D:D,results.txt!$M649)</f>
        <v>#N/A</v>
      </c>
      <c r="Q649" t="e">
        <f>INDEX(script.out!E:E,results.txt!$M649)</f>
        <v>#N/A</v>
      </c>
      <c r="R649" t="e">
        <f>INDEX(script.out!F:F,results.txt!$M649)</f>
        <v>#N/A</v>
      </c>
      <c r="S649" t="e">
        <f>INDEX(script.out!G:G,results.txt!$M649)</f>
        <v>#N/A</v>
      </c>
      <c r="T649" t="e">
        <f>INDEX(script.out!H:H,results.txt!$M649)</f>
        <v>#N/A</v>
      </c>
      <c r="U649" t="e">
        <f>INDEX(script.out!I:I,results.txt!$M649)</f>
        <v>#N/A</v>
      </c>
      <c r="V649" t="e">
        <f>INDEX(script.out!J:J,results.txt!$M649)</f>
        <v>#N/A</v>
      </c>
      <c r="W649" t="e">
        <f>INDEX(script.out!K:K,results.txt!$M649)</f>
        <v>#N/A</v>
      </c>
      <c r="X649" t="e">
        <f>INDEX(script.out!L:L,results.txt!$M649)</f>
        <v>#N/A</v>
      </c>
      <c r="Y649" t="e">
        <f>INDEX(script.out!M:M,results.txt!$M649)</f>
        <v>#N/A</v>
      </c>
      <c r="Z649" t="e">
        <f>INDEX(script.out!N:N,results.txt!$M649)</f>
        <v>#N/A</v>
      </c>
      <c r="AA649" t="e">
        <f>INDEX(script.out!O:O,results.txt!$M649)</f>
        <v>#N/A</v>
      </c>
      <c r="AB649" t="e">
        <f>INDEX(script.out!P:P,results.txt!$M649)</f>
        <v>#N/A</v>
      </c>
      <c r="AC649" t="e">
        <f>INDEX(script.out!Q:Q,results.txt!$M649)</f>
        <v>#N/A</v>
      </c>
      <c r="AD649">
        <f t="shared" si="10"/>
        <v>0</v>
      </c>
    </row>
    <row r="650" spans="13:30" x14ac:dyDescent="0.25">
      <c r="M650" t="e">
        <f>MATCH(C650,script.out!B:B,0)</f>
        <v>#N/A</v>
      </c>
      <c r="N650" t="e">
        <f>INDEX(script.out!B:B,results.txt!$M650)</f>
        <v>#N/A</v>
      </c>
      <c r="O650" t="e">
        <f>INDEX(script.out!C:C,results.txt!$M650)</f>
        <v>#N/A</v>
      </c>
      <c r="P650" t="e">
        <f>INDEX(script.out!D:D,results.txt!$M650)</f>
        <v>#N/A</v>
      </c>
      <c r="Q650" t="e">
        <f>INDEX(script.out!E:E,results.txt!$M650)</f>
        <v>#N/A</v>
      </c>
      <c r="R650" t="e">
        <f>INDEX(script.out!F:F,results.txt!$M650)</f>
        <v>#N/A</v>
      </c>
      <c r="S650" t="e">
        <f>INDEX(script.out!G:G,results.txt!$M650)</f>
        <v>#N/A</v>
      </c>
      <c r="T650" t="e">
        <f>INDEX(script.out!H:H,results.txt!$M650)</f>
        <v>#N/A</v>
      </c>
      <c r="U650" t="e">
        <f>INDEX(script.out!I:I,results.txt!$M650)</f>
        <v>#N/A</v>
      </c>
      <c r="V650" t="e">
        <f>INDEX(script.out!J:J,results.txt!$M650)</f>
        <v>#N/A</v>
      </c>
      <c r="W650" t="e">
        <f>INDEX(script.out!K:K,results.txt!$M650)</f>
        <v>#N/A</v>
      </c>
      <c r="X650" t="e">
        <f>INDEX(script.out!L:L,results.txt!$M650)</f>
        <v>#N/A</v>
      </c>
      <c r="Y650" t="e">
        <f>INDEX(script.out!M:M,results.txt!$M650)</f>
        <v>#N/A</v>
      </c>
      <c r="Z650" t="e">
        <f>INDEX(script.out!N:N,results.txt!$M650)</f>
        <v>#N/A</v>
      </c>
      <c r="AA650" t="e">
        <f>INDEX(script.out!O:O,results.txt!$M650)</f>
        <v>#N/A</v>
      </c>
      <c r="AB650" t="e">
        <f>INDEX(script.out!P:P,results.txt!$M650)</f>
        <v>#N/A</v>
      </c>
      <c r="AC650" t="e">
        <f>INDEX(script.out!Q:Q,results.txt!$M650)</f>
        <v>#N/A</v>
      </c>
      <c r="AD650">
        <f t="shared" si="10"/>
        <v>0</v>
      </c>
    </row>
    <row r="651" spans="13:30" x14ac:dyDescent="0.25">
      <c r="M651" t="e">
        <f>MATCH(C651,script.out!B:B,0)</f>
        <v>#N/A</v>
      </c>
      <c r="N651" t="e">
        <f>INDEX(script.out!B:B,results.txt!$M651)</f>
        <v>#N/A</v>
      </c>
      <c r="O651" t="e">
        <f>INDEX(script.out!C:C,results.txt!$M651)</f>
        <v>#N/A</v>
      </c>
      <c r="P651" t="e">
        <f>INDEX(script.out!D:D,results.txt!$M651)</f>
        <v>#N/A</v>
      </c>
      <c r="Q651" t="e">
        <f>INDEX(script.out!E:E,results.txt!$M651)</f>
        <v>#N/A</v>
      </c>
      <c r="R651" t="e">
        <f>INDEX(script.out!F:F,results.txt!$M651)</f>
        <v>#N/A</v>
      </c>
      <c r="S651" t="e">
        <f>INDEX(script.out!G:G,results.txt!$M651)</f>
        <v>#N/A</v>
      </c>
      <c r="T651" t="e">
        <f>INDEX(script.out!H:H,results.txt!$M651)</f>
        <v>#N/A</v>
      </c>
      <c r="U651" t="e">
        <f>INDEX(script.out!I:I,results.txt!$M651)</f>
        <v>#N/A</v>
      </c>
      <c r="V651" t="e">
        <f>INDEX(script.out!J:J,results.txt!$M651)</f>
        <v>#N/A</v>
      </c>
      <c r="W651" t="e">
        <f>INDEX(script.out!K:K,results.txt!$M651)</f>
        <v>#N/A</v>
      </c>
      <c r="X651" t="e">
        <f>INDEX(script.out!L:L,results.txt!$M651)</f>
        <v>#N/A</v>
      </c>
      <c r="Y651" t="e">
        <f>INDEX(script.out!M:M,results.txt!$M651)</f>
        <v>#N/A</v>
      </c>
      <c r="Z651" t="e">
        <f>INDEX(script.out!N:N,results.txt!$M651)</f>
        <v>#N/A</v>
      </c>
      <c r="AA651" t="e">
        <f>INDEX(script.out!O:O,results.txt!$M651)</f>
        <v>#N/A</v>
      </c>
      <c r="AB651" t="e">
        <f>INDEX(script.out!P:P,results.txt!$M651)</f>
        <v>#N/A</v>
      </c>
      <c r="AC651" t="e">
        <f>INDEX(script.out!Q:Q,results.txt!$M651)</f>
        <v>#N/A</v>
      </c>
      <c r="AD651">
        <f t="shared" si="10"/>
        <v>0</v>
      </c>
    </row>
    <row r="652" spans="13:30" x14ac:dyDescent="0.25">
      <c r="M652" t="e">
        <f>MATCH(C652,script.out!B:B,0)</f>
        <v>#N/A</v>
      </c>
      <c r="N652" t="e">
        <f>INDEX(script.out!B:B,results.txt!$M652)</f>
        <v>#N/A</v>
      </c>
      <c r="O652" t="e">
        <f>INDEX(script.out!C:C,results.txt!$M652)</f>
        <v>#N/A</v>
      </c>
      <c r="P652" t="e">
        <f>INDEX(script.out!D:D,results.txt!$M652)</f>
        <v>#N/A</v>
      </c>
      <c r="Q652" t="e">
        <f>INDEX(script.out!E:E,results.txt!$M652)</f>
        <v>#N/A</v>
      </c>
      <c r="R652" t="e">
        <f>INDEX(script.out!F:F,results.txt!$M652)</f>
        <v>#N/A</v>
      </c>
      <c r="S652" t="e">
        <f>INDEX(script.out!G:G,results.txt!$M652)</f>
        <v>#N/A</v>
      </c>
      <c r="T652" t="e">
        <f>INDEX(script.out!H:H,results.txt!$M652)</f>
        <v>#N/A</v>
      </c>
      <c r="U652" t="e">
        <f>INDEX(script.out!I:I,results.txt!$M652)</f>
        <v>#N/A</v>
      </c>
      <c r="V652" t="e">
        <f>INDEX(script.out!J:J,results.txt!$M652)</f>
        <v>#N/A</v>
      </c>
      <c r="W652" t="e">
        <f>INDEX(script.out!K:K,results.txt!$M652)</f>
        <v>#N/A</v>
      </c>
      <c r="X652" t="e">
        <f>INDEX(script.out!L:L,results.txt!$M652)</f>
        <v>#N/A</v>
      </c>
      <c r="Y652" t="e">
        <f>INDEX(script.out!M:M,results.txt!$M652)</f>
        <v>#N/A</v>
      </c>
      <c r="Z652" t="e">
        <f>INDEX(script.out!N:N,results.txt!$M652)</f>
        <v>#N/A</v>
      </c>
      <c r="AA652" t="e">
        <f>INDEX(script.out!O:O,results.txt!$M652)</f>
        <v>#N/A</v>
      </c>
      <c r="AB652" t="e">
        <f>INDEX(script.out!P:P,results.txt!$M652)</f>
        <v>#N/A</v>
      </c>
      <c r="AC652" t="e">
        <f>INDEX(script.out!Q:Q,results.txt!$M652)</f>
        <v>#N/A</v>
      </c>
      <c r="AD652">
        <f t="shared" si="10"/>
        <v>0</v>
      </c>
    </row>
    <row r="653" spans="13:30" x14ac:dyDescent="0.25">
      <c r="M653" t="e">
        <f>MATCH(C653,script.out!B:B,0)</f>
        <v>#N/A</v>
      </c>
      <c r="N653" t="e">
        <f>INDEX(script.out!B:B,results.txt!$M653)</f>
        <v>#N/A</v>
      </c>
      <c r="O653" t="e">
        <f>INDEX(script.out!C:C,results.txt!$M653)</f>
        <v>#N/A</v>
      </c>
      <c r="P653" t="e">
        <f>INDEX(script.out!D:D,results.txt!$M653)</f>
        <v>#N/A</v>
      </c>
      <c r="Q653" t="e">
        <f>INDEX(script.out!E:E,results.txt!$M653)</f>
        <v>#N/A</v>
      </c>
      <c r="R653" t="e">
        <f>INDEX(script.out!F:F,results.txt!$M653)</f>
        <v>#N/A</v>
      </c>
      <c r="S653" t="e">
        <f>INDEX(script.out!G:G,results.txt!$M653)</f>
        <v>#N/A</v>
      </c>
      <c r="T653" t="e">
        <f>INDEX(script.out!H:H,results.txt!$M653)</f>
        <v>#N/A</v>
      </c>
      <c r="U653" t="e">
        <f>INDEX(script.out!I:I,results.txt!$M653)</f>
        <v>#N/A</v>
      </c>
      <c r="V653" t="e">
        <f>INDEX(script.out!J:J,results.txt!$M653)</f>
        <v>#N/A</v>
      </c>
      <c r="W653" t="e">
        <f>INDEX(script.out!K:K,results.txt!$M653)</f>
        <v>#N/A</v>
      </c>
      <c r="X653" t="e">
        <f>INDEX(script.out!L:L,results.txt!$M653)</f>
        <v>#N/A</v>
      </c>
      <c r="Y653" t="e">
        <f>INDEX(script.out!M:M,results.txt!$M653)</f>
        <v>#N/A</v>
      </c>
      <c r="Z653" t="e">
        <f>INDEX(script.out!N:N,results.txt!$M653)</f>
        <v>#N/A</v>
      </c>
      <c r="AA653" t="e">
        <f>INDEX(script.out!O:O,results.txt!$M653)</f>
        <v>#N/A</v>
      </c>
      <c r="AB653" t="e">
        <f>INDEX(script.out!P:P,results.txt!$M653)</f>
        <v>#N/A</v>
      </c>
      <c r="AC653" t="e">
        <f>INDEX(script.out!Q:Q,results.txt!$M653)</f>
        <v>#N/A</v>
      </c>
      <c r="AD653">
        <f t="shared" si="10"/>
        <v>0</v>
      </c>
    </row>
    <row r="654" spans="13:30" x14ac:dyDescent="0.25">
      <c r="M654" t="e">
        <f>MATCH(C654,script.out!B:B,0)</f>
        <v>#N/A</v>
      </c>
      <c r="N654" t="e">
        <f>INDEX(script.out!B:B,results.txt!$M654)</f>
        <v>#N/A</v>
      </c>
      <c r="O654" t="e">
        <f>INDEX(script.out!C:C,results.txt!$M654)</f>
        <v>#N/A</v>
      </c>
      <c r="P654" t="e">
        <f>INDEX(script.out!D:D,results.txt!$M654)</f>
        <v>#N/A</v>
      </c>
      <c r="Q654" t="e">
        <f>INDEX(script.out!E:E,results.txt!$M654)</f>
        <v>#N/A</v>
      </c>
      <c r="R654" t="e">
        <f>INDEX(script.out!F:F,results.txt!$M654)</f>
        <v>#N/A</v>
      </c>
      <c r="S654" t="e">
        <f>INDEX(script.out!G:G,results.txt!$M654)</f>
        <v>#N/A</v>
      </c>
      <c r="T654" t="e">
        <f>INDEX(script.out!H:H,results.txt!$M654)</f>
        <v>#N/A</v>
      </c>
      <c r="U654" t="e">
        <f>INDEX(script.out!I:I,results.txt!$M654)</f>
        <v>#N/A</v>
      </c>
      <c r="V654" t="e">
        <f>INDEX(script.out!J:J,results.txt!$M654)</f>
        <v>#N/A</v>
      </c>
      <c r="W654" t="e">
        <f>INDEX(script.out!K:K,results.txt!$M654)</f>
        <v>#N/A</v>
      </c>
      <c r="X654" t="e">
        <f>INDEX(script.out!L:L,results.txt!$M654)</f>
        <v>#N/A</v>
      </c>
      <c r="Y654" t="e">
        <f>INDEX(script.out!M:M,results.txt!$M654)</f>
        <v>#N/A</v>
      </c>
      <c r="Z654" t="e">
        <f>INDEX(script.out!N:N,results.txt!$M654)</f>
        <v>#N/A</v>
      </c>
      <c r="AA654" t="e">
        <f>INDEX(script.out!O:O,results.txt!$M654)</f>
        <v>#N/A</v>
      </c>
      <c r="AB654" t="e">
        <f>INDEX(script.out!P:P,results.txt!$M654)</f>
        <v>#N/A</v>
      </c>
      <c r="AC654" t="e">
        <f>INDEX(script.out!Q:Q,results.txt!$M654)</f>
        <v>#N/A</v>
      </c>
      <c r="AD654">
        <f t="shared" si="10"/>
        <v>0</v>
      </c>
    </row>
    <row r="655" spans="13:30" x14ac:dyDescent="0.25">
      <c r="M655" t="e">
        <f>MATCH(C655,script.out!B:B,0)</f>
        <v>#N/A</v>
      </c>
      <c r="N655" t="e">
        <f>INDEX(script.out!B:B,results.txt!$M655)</f>
        <v>#N/A</v>
      </c>
      <c r="O655" t="e">
        <f>INDEX(script.out!C:C,results.txt!$M655)</f>
        <v>#N/A</v>
      </c>
      <c r="P655" t="e">
        <f>INDEX(script.out!D:D,results.txt!$M655)</f>
        <v>#N/A</v>
      </c>
      <c r="Q655" t="e">
        <f>INDEX(script.out!E:E,results.txt!$M655)</f>
        <v>#N/A</v>
      </c>
      <c r="R655" t="e">
        <f>INDEX(script.out!F:F,results.txt!$M655)</f>
        <v>#N/A</v>
      </c>
      <c r="S655" t="e">
        <f>INDEX(script.out!G:G,results.txt!$M655)</f>
        <v>#N/A</v>
      </c>
      <c r="T655" t="e">
        <f>INDEX(script.out!H:H,results.txt!$M655)</f>
        <v>#N/A</v>
      </c>
      <c r="U655" t="e">
        <f>INDEX(script.out!I:I,results.txt!$M655)</f>
        <v>#N/A</v>
      </c>
      <c r="V655" t="e">
        <f>INDEX(script.out!J:J,results.txt!$M655)</f>
        <v>#N/A</v>
      </c>
      <c r="W655" t="e">
        <f>INDEX(script.out!K:K,results.txt!$M655)</f>
        <v>#N/A</v>
      </c>
      <c r="X655" t="e">
        <f>INDEX(script.out!L:L,results.txt!$M655)</f>
        <v>#N/A</v>
      </c>
      <c r="Y655" t="e">
        <f>INDEX(script.out!M:M,results.txt!$M655)</f>
        <v>#N/A</v>
      </c>
      <c r="Z655" t="e">
        <f>INDEX(script.out!N:N,results.txt!$M655)</f>
        <v>#N/A</v>
      </c>
      <c r="AA655" t="e">
        <f>INDEX(script.out!O:O,results.txt!$M655)</f>
        <v>#N/A</v>
      </c>
      <c r="AB655" t="e">
        <f>INDEX(script.out!P:P,results.txt!$M655)</f>
        <v>#N/A</v>
      </c>
      <c r="AC655" t="e">
        <f>INDEX(script.out!Q:Q,results.txt!$M655)</f>
        <v>#N/A</v>
      </c>
      <c r="AD655">
        <f t="shared" si="10"/>
        <v>0</v>
      </c>
    </row>
    <row r="656" spans="13:30" x14ac:dyDescent="0.25">
      <c r="M656" t="e">
        <f>MATCH(C656,script.out!B:B,0)</f>
        <v>#N/A</v>
      </c>
      <c r="N656" t="e">
        <f>INDEX(script.out!B:B,results.txt!$M656)</f>
        <v>#N/A</v>
      </c>
      <c r="O656" t="e">
        <f>INDEX(script.out!C:C,results.txt!$M656)</f>
        <v>#N/A</v>
      </c>
      <c r="P656" t="e">
        <f>INDEX(script.out!D:D,results.txt!$M656)</f>
        <v>#N/A</v>
      </c>
      <c r="Q656" t="e">
        <f>INDEX(script.out!E:E,results.txt!$M656)</f>
        <v>#N/A</v>
      </c>
      <c r="R656" t="e">
        <f>INDEX(script.out!F:F,results.txt!$M656)</f>
        <v>#N/A</v>
      </c>
      <c r="S656" t="e">
        <f>INDEX(script.out!G:G,results.txt!$M656)</f>
        <v>#N/A</v>
      </c>
      <c r="T656" t="e">
        <f>INDEX(script.out!H:H,results.txt!$M656)</f>
        <v>#N/A</v>
      </c>
      <c r="U656" t="e">
        <f>INDEX(script.out!I:I,results.txt!$M656)</f>
        <v>#N/A</v>
      </c>
      <c r="V656" t="e">
        <f>INDEX(script.out!J:J,results.txt!$M656)</f>
        <v>#N/A</v>
      </c>
      <c r="W656" t="e">
        <f>INDEX(script.out!K:K,results.txt!$M656)</f>
        <v>#N/A</v>
      </c>
      <c r="X656" t="e">
        <f>INDEX(script.out!L:L,results.txt!$M656)</f>
        <v>#N/A</v>
      </c>
      <c r="Y656" t="e">
        <f>INDEX(script.out!M:M,results.txt!$M656)</f>
        <v>#N/A</v>
      </c>
      <c r="Z656" t="e">
        <f>INDEX(script.out!N:N,results.txt!$M656)</f>
        <v>#N/A</v>
      </c>
      <c r="AA656" t="e">
        <f>INDEX(script.out!O:O,results.txt!$M656)</f>
        <v>#N/A</v>
      </c>
      <c r="AB656" t="e">
        <f>INDEX(script.out!P:P,results.txt!$M656)</f>
        <v>#N/A</v>
      </c>
      <c r="AC656" t="e">
        <f>INDEX(script.out!Q:Q,results.txt!$M656)</f>
        <v>#N/A</v>
      </c>
      <c r="AD656">
        <f t="shared" si="10"/>
        <v>0</v>
      </c>
    </row>
    <row r="657" spans="13:30" x14ac:dyDescent="0.25">
      <c r="M657" t="e">
        <f>MATCH(C657,script.out!B:B,0)</f>
        <v>#N/A</v>
      </c>
      <c r="N657" t="e">
        <f>INDEX(script.out!B:B,results.txt!$M657)</f>
        <v>#N/A</v>
      </c>
      <c r="O657" t="e">
        <f>INDEX(script.out!C:C,results.txt!$M657)</f>
        <v>#N/A</v>
      </c>
      <c r="P657" t="e">
        <f>INDEX(script.out!D:D,results.txt!$M657)</f>
        <v>#N/A</v>
      </c>
      <c r="Q657" t="e">
        <f>INDEX(script.out!E:E,results.txt!$M657)</f>
        <v>#N/A</v>
      </c>
      <c r="R657" t="e">
        <f>INDEX(script.out!F:F,results.txt!$M657)</f>
        <v>#N/A</v>
      </c>
      <c r="S657" t="e">
        <f>INDEX(script.out!G:G,results.txt!$M657)</f>
        <v>#N/A</v>
      </c>
      <c r="T657" t="e">
        <f>INDEX(script.out!H:H,results.txt!$M657)</f>
        <v>#N/A</v>
      </c>
      <c r="U657" t="e">
        <f>INDEX(script.out!I:I,results.txt!$M657)</f>
        <v>#N/A</v>
      </c>
      <c r="V657" t="e">
        <f>INDEX(script.out!J:J,results.txt!$M657)</f>
        <v>#N/A</v>
      </c>
      <c r="W657" t="e">
        <f>INDEX(script.out!K:K,results.txt!$M657)</f>
        <v>#N/A</v>
      </c>
      <c r="X657" t="e">
        <f>INDEX(script.out!L:L,results.txt!$M657)</f>
        <v>#N/A</v>
      </c>
      <c r="Y657" t="e">
        <f>INDEX(script.out!M:M,results.txt!$M657)</f>
        <v>#N/A</v>
      </c>
      <c r="Z657" t="e">
        <f>INDEX(script.out!N:N,results.txt!$M657)</f>
        <v>#N/A</v>
      </c>
      <c r="AA657" t="e">
        <f>INDEX(script.out!O:O,results.txt!$M657)</f>
        <v>#N/A</v>
      </c>
      <c r="AB657" t="e">
        <f>INDEX(script.out!P:P,results.txt!$M657)</f>
        <v>#N/A</v>
      </c>
      <c r="AC657" t="e">
        <f>INDEX(script.out!Q:Q,results.txt!$M657)</f>
        <v>#N/A</v>
      </c>
      <c r="AD657">
        <f t="shared" si="10"/>
        <v>0</v>
      </c>
    </row>
    <row r="658" spans="13:30" x14ac:dyDescent="0.25">
      <c r="M658" t="e">
        <f>MATCH(C658,script.out!B:B,0)</f>
        <v>#N/A</v>
      </c>
      <c r="N658" t="e">
        <f>INDEX(script.out!B:B,results.txt!$M658)</f>
        <v>#N/A</v>
      </c>
      <c r="O658" t="e">
        <f>INDEX(script.out!C:C,results.txt!$M658)</f>
        <v>#N/A</v>
      </c>
      <c r="P658" t="e">
        <f>INDEX(script.out!D:D,results.txt!$M658)</f>
        <v>#N/A</v>
      </c>
      <c r="Q658" t="e">
        <f>INDEX(script.out!E:E,results.txt!$M658)</f>
        <v>#N/A</v>
      </c>
      <c r="R658" t="e">
        <f>INDEX(script.out!F:F,results.txt!$M658)</f>
        <v>#N/A</v>
      </c>
      <c r="S658" t="e">
        <f>INDEX(script.out!G:G,results.txt!$M658)</f>
        <v>#N/A</v>
      </c>
      <c r="T658" t="e">
        <f>INDEX(script.out!H:H,results.txt!$M658)</f>
        <v>#N/A</v>
      </c>
      <c r="U658" t="e">
        <f>INDEX(script.out!I:I,results.txt!$M658)</f>
        <v>#N/A</v>
      </c>
      <c r="V658" t="e">
        <f>INDEX(script.out!J:J,results.txt!$M658)</f>
        <v>#N/A</v>
      </c>
      <c r="W658" t="e">
        <f>INDEX(script.out!K:K,results.txt!$M658)</f>
        <v>#N/A</v>
      </c>
      <c r="X658" t="e">
        <f>INDEX(script.out!L:L,results.txt!$M658)</f>
        <v>#N/A</v>
      </c>
      <c r="Y658" t="e">
        <f>INDEX(script.out!M:M,results.txt!$M658)</f>
        <v>#N/A</v>
      </c>
      <c r="Z658" t="e">
        <f>INDEX(script.out!N:N,results.txt!$M658)</f>
        <v>#N/A</v>
      </c>
      <c r="AA658" t="e">
        <f>INDEX(script.out!O:O,results.txt!$M658)</f>
        <v>#N/A</v>
      </c>
      <c r="AB658" t="e">
        <f>INDEX(script.out!P:P,results.txt!$M658)</f>
        <v>#N/A</v>
      </c>
      <c r="AC658" t="e">
        <f>INDEX(script.out!Q:Q,results.txt!$M658)</f>
        <v>#N/A</v>
      </c>
      <c r="AD658">
        <f t="shared" si="10"/>
        <v>0</v>
      </c>
    </row>
    <row r="659" spans="13:30" x14ac:dyDescent="0.25">
      <c r="M659" t="e">
        <f>MATCH(C659,script.out!B:B,0)</f>
        <v>#N/A</v>
      </c>
      <c r="N659" t="e">
        <f>INDEX(script.out!B:B,results.txt!$M659)</f>
        <v>#N/A</v>
      </c>
      <c r="O659" t="e">
        <f>INDEX(script.out!C:C,results.txt!$M659)</f>
        <v>#N/A</v>
      </c>
      <c r="P659" t="e">
        <f>INDEX(script.out!D:D,results.txt!$M659)</f>
        <v>#N/A</v>
      </c>
      <c r="Q659" t="e">
        <f>INDEX(script.out!E:E,results.txt!$M659)</f>
        <v>#N/A</v>
      </c>
      <c r="R659" t="e">
        <f>INDEX(script.out!F:F,results.txt!$M659)</f>
        <v>#N/A</v>
      </c>
      <c r="S659" t="e">
        <f>INDEX(script.out!G:G,results.txt!$M659)</f>
        <v>#N/A</v>
      </c>
      <c r="T659" t="e">
        <f>INDEX(script.out!H:H,results.txt!$M659)</f>
        <v>#N/A</v>
      </c>
      <c r="U659" t="e">
        <f>INDEX(script.out!I:I,results.txt!$M659)</f>
        <v>#N/A</v>
      </c>
      <c r="V659" t="e">
        <f>INDEX(script.out!J:J,results.txt!$M659)</f>
        <v>#N/A</v>
      </c>
      <c r="W659" t="e">
        <f>INDEX(script.out!K:K,results.txt!$M659)</f>
        <v>#N/A</v>
      </c>
      <c r="X659" t="e">
        <f>INDEX(script.out!L:L,results.txt!$M659)</f>
        <v>#N/A</v>
      </c>
      <c r="Y659" t="e">
        <f>INDEX(script.out!M:M,results.txt!$M659)</f>
        <v>#N/A</v>
      </c>
      <c r="Z659" t="e">
        <f>INDEX(script.out!N:N,results.txt!$M659)</f>
        <v>#N/A</v>
      </c>
      <c r="AA659" t="e">
        <f>INDEX(script.out!O:O,results.txt!$M659)</f>
        <v>#N/A</v>
      </c>
      <c r="AB659" t="e">
        <f>INDEX(script.out!P:P,results.txt!$M659)</f>
        <v>#N/A</v>
      </c>
      <c r="AC659" t="e">
        <f>INDEX(script.out!Q:Q,results.txt!$M659)</f>
        <v>#N/A</v>
      </c>
      <c r="AD659">
        <f t="shared" si="10"/>
        <v>0</v>
      </c>
    </row>
    <row r="660" spans="13:30" x14ac:dyDescent="0.25">
      <c r="M660" t="e">
        <f>MATCH(C660,script.out!B:B,0)</f>
        <v>#N/A</v>
      </c>
      <c r="N660" t="e">
        <f>INDEX(script.out!B:B,results.txt!$M660)</f>
        <v>#N/A</v>
      </c>
      <c r="O660" t="e">
        <f>INDEX(script.out!C:C,results.txt!$M660)</f>
        <v>#N/A</v>
      </c>
      <c r="P660" t="e">
        <f>INDEX(script.out!D:D,results.txt!$M660)</f>
        <v>#N/A</v>
      </c>
      <c r="Q660" t="e">
        <f>INDEX(script.out!E:E,results.txt!$M660)</f>
        <v>#N/A</v>
      </c>
      <c r="R660" t="e">
        <f>INDEX(script.out!F:F,results.txt!$M660)</f>
        <v>#N/A</v>
      </c>
      <c r="S660" t="e">
        <f>INDEX(script.out!G:G,results.txt!$M660)</f>
        <v>#N/A</v>
      </c>
      <c r="T660" t="e">
        <f>INDEX(script.out!H:H,results.txt!$M660)</f>
        <v>#N/A</v>
      </c>
      <c r="U660" t="e">
        <f>INDEX(script.out!I:I,results.txt!$M660)</f>
        <v>#N/A</v>
      </c>
      <c r="V660" t="e">
        <f>INDEX(script.out!J:J,results.txt!$M660)</f>
        <v>#N/A</v>
      </c>
      <c r="W660" t="e">
        <f>INDEX(script.out!K:K,results.txt!$M660)</f>
        <v>#N/A</v>
      </c>
      <c r="X660" t="e">
        <f>INDEX(script.out!L:L,results.txt!$M660)</f>
        <v>#N/A</v>
      </c>
      <c r="Y660" t="e">
        <f>INDEX(script.out!M:M,results.txt!$M660)</f>
        <v>#N/A</v>
      </c>
      <c r="Z660" t="e">
        <f>INDEX(script.out!N:N,results.txt!$M660)</f>
        <v>#N/A</v>
      </c>
      <c r="AA660" t="e">
        <f>INDEX(script.out!O:O,results.txt!$M660)</f>
        <v>#N/A</v>
      </c>
      <c r="AB660" t="e">
        <f>INDEX(script.out!P:P,results.txt!$M660)</f>
        <v>#N/A</v>
      </c>
      <c r="AC660" t="e">
        <f>INDEX(script.out!Q:Q,results.txt!$M660)</f>
        <v>#N/A</v>
      </c>
      <c r="AD660">
        <f t="shared" si="10"/>
        <v>0</v>
      </c>
    </row>
    <row r="661" spans="13:30" x14ac:dyDescent="0.25">
      <c r="M661" t="e">
        <f>MATCH(C661,script.out!B:B,0)</f>
        <v>#N/A</v>
      </c>
      <c r="N661" t="e">
        <f>INDEX(script.out!B:B,results.txt!$M661)</f>
        <v>#N/A</v>
      </c>
      <c r="O661" t="e">
        <f>INDEX(script.out!C:C,results.txt!$M661)</f>
        <v>#N/A</v>
      </c>
      <c r="P661" t="e">
        <f>INDEX(script.out!D:D,results.txt!$M661)</f>
        <v>#N/A</v>
      </c>
      <c r="Q661" t="e">
        <f>INDEX(script.out!E:E,results.txt!$M661)</f>
        <v>#N/A</v>
      </c>
      <c r="R661" t="e">
        <f>INDEX(script.out!F:F,results.txt!$M661)</f>
        <v>#N/A</v>
      </c>
      <c r="S661" t="e">
        <f>INDEX(script.out!G:G,results.txt!$M661)</f>
        <v>#N/A</v>
      </c>
      <c r="T661" t="e">
        <f>INDEX(script.out!H:H,results.txt!$M661)</f>
        <v>#N/A</v>
      </c>
      <c r="U661" t="e">
        <f>INDEX(script.out!I:I,results.txt!$M661)</f>
        <v>#N/A</v>
      </c>
      <c r="V661" t="e">
        <f>INDEX(script.out!J:J,results.txt!$M661)</f>
        <v>#N/A</v>
      </c>
      <c r="W661" t="e">
        <f>INDEX(script.out!K:K,results.txt!$M661)</f>
        <v>#N/A</v>
      </c>
      <c r="X661" t="e">
        <f>INDEX(script.out!L:L,results.txt!$M661)</f>
        <v>#N/A</v>
      </c>
      <c r="Y661" t="e">
        <f>INDEX(script.out!M:M,results.txt!$M661)</f>
        <v>#N/A</v>
      </c>
      <c r="Z661" t="e">
        <f>INDEX(script.out!N:N,results.txt!$M661)</f>
        <v>#N/A</v>
      </c>
      <c r="AA661" t="e">
        <f>INDEX(script.out!O:O,results.txt!$M661)</f>
        <v>#N/A</v>
      </c>
      <c r="AB661" t="e">
        <f>INDEX(script.out!P:P,results.txt!$M661)</f>
        <v>#N/A</v>
      </c>
      <c r="AC661" t="e">
        <f>INDEX(script.out!Q:Q,results.txt!$M661)</f>
        <v>#N/A</v>
      </c>
      <c r="AD661">
        <f t="shared" si="10"/>
        <v>0</v>
      </c>
    </row>
    <row r="662" spans="13:30" x14ac:dyDescent="0.25">
      <c r="M662" t="e">
        <f>MATCH(C662,script.out!B:B,0)</f>
        <v>#N/A</v>
      </c>
      <c r="N662" t="e">
        <f>INDEX(script.out!B:B,results.txt!$M662)</f>
        <v>#N/A</v>
      </c>
      <c r="O662" t="e">
        <f>INDEX(script.out!C:C,results.txt!$M662)</f>
        <v>#N/A</v>
      </c>
      <c r="P662" t="e">
        <f>INDEX(script.out!D:D,results.txt!$M662)</f>
        <v>#N/A</v>
      </c>
      <c r="Q662" t="e">
        <f>INDEX(script.out!E:E,results.txt!$M662)</f>
        <v>#N/A</v>
      </c>
      <c r="R662" t="e">
        <f>INDEX(script.out!F:F,results.txt!$M662)</f>
        <v>#N/A</v>
      </c>
      <c r="S662" t="e">
        <f>INDEX(script.out!G:G,results.txt!$M662)</f>
        <v>#N/A</v>
      </c>
      <c r="T662" t="e">
        <f>INDEX(script.out!H:H,results.txt!$M662)</f>
        <v>#N/A</v>
      </c>
      <c r="U662" t="e">
        <f>INDEX(script.out!I:I,results.txt!$M662)</f>
        <v>#N/A</v>
      </c>
      <c r="V662" t="e">
        <f>INDEX(script.out!J:J,results.txt!$M662)</f>
        <v>#N/A</v>
      </c>
      <c r="W662" t="e">
        <f>INDEX(script.out!K:K,results.txt!$M662)</f>
        <v>#N/A</v>
      </c>
      <c r="X662" t="e">
        <f>INDEX(script.out!L:L,results.txt!$M662)</f>
        <v>#N/A</v>
      </c>
      <c r="Y662" t="e">
        <f>INDEX(script.out!M:M,results.txt!$M662)</f>
        <v>#N/A</v>
      </c>
      <c r="Z662" t="e">
        <f>INDEX(script.out!N:N,results.txt!$M662)</f>
        <v>#N/A</v>
      </c>
      <c r="AA662" t="e">
        <f>INDEX(script.out!O:O,results.txt!$M662)</f>
        <v>#N/A</v>
      </c>
      <c r="AB662" t="e">
        <f>INDEX(script.out!P:P,results.txt!$M662)</f>
        <v>#N/A</v>
      </c>
      <c r="AC662" t="e">
        <f>INDEX(script.out!Q:Q,results.txt!$M662)</f>
        <v>#N/A</v>
      </c>
      <c r="AD662">
        <f t="shared" si="10"/>
        <v>0</v>
      </c>
    </row>
    <row r="663" spans="13:30" x14ac:dyDescent="0.25">
      <c r="M663" t="e">
        <f>MATCH(C663,script.out!B:B,0)</f>
        <v>#N/A</v>
      </c>
      <c r="N663" t="e">
        <f>INDEX(script.out!B:B,results.txt!$M663)</f>
        <v>#N/A</v>
      </c>
      <c r="O663" t="e">
        <f>INDEX(script.out!C:C,results.txt!$M663)</f>
        <v>#N/A</v>
      </c>
      <c r="P663" t="e">
        <f>INDEX(script.out!D:D,results.txt!$M663)</f>
        <v>#N/A</v>
      </c>
      <c r="Q663" t="e">
        <f>INDEX(script.out!E:E,results.txt!$M663)</f>
        <v>#N/A</v>
      </c>
      <c r="R663" t="e">
        <f>INDEX(script.out!F:F,results.txt!$M663)</f>
        <v>#N/A</v>
      </c>
      <c r="S663" t="e">
        <f>INDEX(script.out!G:G,results.txt!$M663)</f>
        <v>#N/A</v>
      </c>
      <c r="T663" t="e">
        <f>INDEX(script.out!H:H,results.txt!$M663)</f>
        <v>#N/A</v>
      </c>
      <c r="U663" t="e">
        <f>INDEX(script.out!I:I,results.txt!$M663)</f>
        <v>#N/A</v>
      </c>
      <c r="V663" t="e">
        <f>INDEX(script.out!J:J,results.txt!$M663)</f>
        <v>#N/A</v>
      </c>
      <c r="W663" t="e">
        <f>INDEX(script.out!K:K,results.txt!$M663)</f>
        <v>#N/A</v>
      </c>
      <c r="X663" t="e">
        <f>INDEX(script.out!L:L,results.txt!$M663)</f>
        <v>#N/A</v>
      </c>
      <c r="Y663" t="e">
        <f>INDEX(script.out!M:M,results.txt!$M663)</f>
        <v>#N/A</v>
      </c>
      <c r="Z663" t="e">
        <f>INDEX(script.out!N:N,results.txt!$M663)</f>
        <v>#N/A</v>
      </c>
      <c r="AA663" t="e">
        <f>INDEX(script.out!O:O,results.txt!$M663)</f>
        <v>#N/A</v>
      </c>
      <c r="AB663" t="e">
        <f>INDEX(script.out!P:P,results.txt!$M663)</f>
        <v>#N/A</v>
      </c>
      <c r="AC663" t="e">
        <f>INDEX(script.out!Q:Q,results.txt!$M663)</f>
        <v>#N/A</v>
      </c>
      <c r="AD663">
        <f t="shared" si="10"/>
        <v>0</v>
      </c>
    </row>
    <row r="664" spans="13:30" x14ac:dyDescent="0.25">
      <c r="M664" t="e">
        <f>MATCH(C664,script.out!B:B,0)</f>
        <v>#N/A</v>
      </c>
      <c r="N664" t="e">
        <f>INDEX(script.out!B:B,results.txt!$M664)</f>
        <v>#N/A</v>
      </c>
      <c r="O664" t="e">
        <f>INDEX(script.out!C:C,results.txt!$M664)</f>
        <v>#N/A</v>
      </c>
      <c r="P664" t="e">
        <f>INDEX(script.out!D:D,results.txt!$M664)</f>
        <v>#N/A</v>
      </c>
      <c r="Q664" t="e">
        <f>INDEX(script.out!E:E,results.txt!$M664)</f>
        <v>#N/A</v>
      </c>
      <c r="R664" t="e">
        <f>INDEX(script.out!F:F,results.txt!$M664)</f>
        <v>#N/A</v>
      </c>
      <c r="S664" t="e">
        <f>INDEX(script.out!G:G,results.txt!$M664)</f>
        <v>#N/A</v>
      </c>
      <c r="T664" t="e">
        <f>INDEX(script.out!H:H,results.txt!$M664)</f>
        <v>#N/A</v>
      </c>
      <c r="U664" t="e">
        <f>INDEX(script.out!I:I,results.txt!$M664)</f>
        <v>#N/A</v>
      </c>
      <c r="V664" t="e">
        <f>INDEX(script.out!J:J,results.txt!$M664)</f>
        <v>#N/A</v>
      </c>
      <c r="W664" t="e">
        <f>INDEX(script.out!K:K,results.txt!$M664)</f>
        <v>#N/A</v>
      </c>
      <c r="X664" t="e">
        <f>INDEX(script.out!L:L,results.txt!$M664)</f>
        <v>#N/A</v>
      </c>
      <c r="Y664" t="e">
        <f>INDEX(script.out!M:M,results.txt!$M664)</f>
        <v>#N/A</v>
      </c>
      <c r="Z664" t="e">
        <f>INDEX(script.out!N:N,results.txt!$M664)</f>
        <v>#N/A</v>
      </c>
      <c r="AA664" t="e">
        <f>INDEX(script.out!O:O,results.txt!$M664)</f>
        <v>#N/A</v>
      </c>
      <c r="AB664" t="e">
        <f>INDEX(script.out!P:P,results.txt!$M664)</f>
        <v>#N/A</v>
      </c>
      <c r="AC664" t="e">
        <f>INDEX(script.out!Q:Q,results.txt!$M664)</f>
        <v>#N/A</v>
      </c>
      <c r="AD664">
        <f t="shared" si="10"/>
        <v>0</v>
      </c>
    </row>
    <row r="665" spans="13:30" x14ac:dyDescent="0.25">
      <c r="M665" t="e">
        <f>MATCH(C665,script.out!B:B,0)</f>
        <v>#N/A</v>
      </c>
      <c r="N665" t="e">
        <f>INDEX(script.out!B:B,results.txt!$M665)</f>
        <v>#N/A</v>
      </c>
      <c r="O665" t="e">
        <f>INDEX(script.out!C:C,results.txt!$M665)</f>
        <v>#N/A</v>
      </c>
      <c r="P665" t="e">
        <f>INDEX(script.out!D:D,results.txt!$M665)</f>
        <v>#N/A</v>
      </c>
      <c r="Q665" t="e">
        <f>INDEX(script.out!E:E,results.txt!$M665)</f>
        <v>#N/A</v>
      </c>
      <c r="R665" t="e">
        <f>INDEX(script.out!F:F,results.txt!$M665)</f>
        <v>#N/A</v>
      </c>
      <c r="S665" t="e">
        <f>INDEX(script.out!G:G,results.txt!$M665)</f>
        <v>#N/A</v>
      </c>
      <c r="T665" t="e">
        <f>INDEX(script.out!H:H,results.txt!$M665)</f>
        <v>#N/A</v>
      </c>
      <c r="U665" t="e">
        <f>INDEX(script.out!I:I,results.txt!$M665)</f>
        <v>#N/A</v>
      </c>
      <c r="V665" t="e">
        <f>INDEX(script.out!J:J,results.txt!$M665)</f>
        <v>#N/A</v>
      </c>
      <c r="W665" t="e">
        <f>INDEX(script.out!K:K,results.txt!$M665)</f>
        <v>#N/A</v>
      </c>
      <c r="X665" t="e">
        <f>INDEX(script.out!L:L,results.txt!$M665)</f>
        <v>#N/A</v>
      </c>
      <c r="Y665" t="e">
        <f>INDEX(script.out!M:M,results.txt!$M665)</f>
        <v>#N/A</v>
      </c>
      <c r="Z665" t="e">
        <f>INDEX(script.out!N:N,results.txt!$M665)</f>
        <v>#N/A</v>
      </c>
      <c r="AA665" t="e">
        <f>INDEX(script.out!O:O,results.txt!$M665)</f>
        <v>#N/A</v>
      </c>
      <c r="AB665" t="e">
        <f>INDEX(script.out!P:P,results.txt!$M665)</f>
        <v>#N/A</v>
      </c>
      <c r="AC665" t="e">
        <f>INDEX(script.out!Q:Q,results.txt!$M665)</f>
        <v>#N/A</v>
      </c>
      <c r="AD665">
        <f t="shared" si="10"/>
        <v>0</v>
      </c>
    </row>
    <row r="666" spans="13:30" x14ac:dyDescent="0.25">
      <c r="M666" t="e">
        <f>MATCH(C666,script.out!B:B,0)</f>
        <v>#N/A</v>
      </c>
      <c r="N666" t="e">
        <f>INDEX(script.out!B:B,results.txt!$M666)</f>
        <v>#N/A</v>
      </c>
      <c r="O666" t="e">
        <f>INDEX(script.out!C:C,results.txt!$M666)</f>
        <v>#N/A</v>
      </c>
      <c r="P666" t="e">
        <f>INDEX(script.out!D:D,results.txt!$M666)</f>
        <v>#N/A</v>
      </c>
      <c r="Q666" t="e">
        <f>INDEX(script.out!E:E,results.txt!$M666)</f>
        <v>#N/A</v>
      </c>
      <c r="R666" t="e">
        <f>INDEX(script.out!F:F,results.txt!$M666)</f>
        <v>#N/A</v>
      </c>
      <c r="S666" t="e">
        <f>INDEX(script.out!G:G,results.txt!$M666)</f>
        <v>#N/A</v>
      </c>
      <c r="T666" t="e">
        <f>INDEX(script.out!H:H,results.txt!$M666)</f>
        <v>#N/A</v>
      </c>
      <c r="U666" t="e">
        <f>INDEX(script.out!I:I,results.txt!$M666)</f>
        <v>#N/A</v>
      </c>
      <c r="V666" t="e">
        <f>INDEX(script.out!J:J,results.txt!$M666)</f>
        <v>#N/A</v>
      </c>
      <c r="W666" t="e">
        <f>INDEX(script.out!K:K,results.txt!$M666)</f>
        <v>#N/A</v>
      </c>
      <c r="X666" t="e">
        <f>INDEX(script.out!L:L,results.txt!$M666)</f>
        <v>#N/A</v>
      </c>
      <c r="Y666" t="e">
        <f>INDEX(script.out!M:M,results.txt!$M666)</f>
        <v>#N/A</v>
      </c>
      <c r="Z666" t="e">
        <f>INDEX(script.out!N:N,results.txt!$M666)</f>
        <v>#N/A</v>
      </c>
      <c r="AA666" t="e">
        <f>INDEX(script.out!O:O,results.txt!$M666)</f>
        <v>#N/A</v>
      </c>
      <c r="AB666" t="e">
        <f>INDEX(script.out!P:P,results.txt!$M666)</f>
        <v>#N/A</v>
      </c>
      <c r="AC666" t="e">
        <f>INDEX(script.out!Q:Q,results.txt!$M666)</f>
        <v>#N/A</v>
      </c>
      <c r="AD666">
        <f t="shared" si="10"/>
        <v>0</v>
      </c>
    </row>
    <row r="667" spans="13:30" x14ac:dyDescent="0.25">
      <c r="M667" t="e">
        <f>MATCH(C667,script.out!B:B,0)</f>
        <v>#N/A</v>
      </c>
      <c r="N667" t="e">
        <f>INDEX(script.out!B:B,results.txt!$M667)</f>
        <v>#N/A</v>
      </c>
      <c r="O667" t="e">
        <f>INDEX(script.out!C:C,results.txt!$M667)</f>
        <v>#N/A</v>
      </c>
      <c r="P667" t="e">
        <f>INDEX(script.out!D:D,results.txt!$M667)</f>
        <v>#N/A</v>
      </c>
      <c r="Q667" t="e">
        <f>INDEX(script.out!E:E,results.txt!$M667)</f>
        <v>#N/A</v>
      </c>
      <c r="R667" t="e">
        <f>INDEX(script.out!F:F,results.txt!$M667)</f>
        <v>#N/A</v>
      </c>
      <c r="S667" t="e">
        <f>INDEX(script.out!G:G,results.txt!$M667)</f>
        <v>#N/A</v>
      </c>
      <c r="T667" t="e">
        <f>INDEX(script.out!H:H,results.txt!$M667)</f>
        <v>#N/A</v>
      </c>
      <c r="U667" t="e">
        <f>INDEX(script.out!I:I,results.txt!$M667)</f>
        <v>#N/A</v>
      </c>
      <c r="V667" t="e">
        <f>INDEX(script.out!J:J,results.txt!$M667)</f>
        <v>#N/A</v>
      </c>
      <c r="W667" t="e">
        <f>INDEX(script.out!K:K,results.txt!$M667)</f>
        <v>#N/A</v>
      </c>
      <c r="X667" t="e">
        <f>INDEX(script.out!L:L,results.txt!$M667)</f>
        <v>#N/A</v>
      </c>
      <c r="Y667" t="e">
        <f>INDEX(script.out!M:M,results.txt!$M667)</f>
        <v>#N/A</v>
      </c>
      <c r="Z667" t="e">
        <f>INDEX(script.out!N:N,results.txt!$M667)</f>
        <v>#N/A</v>
      </c>
      <c r="AA667" t="e">
        <f>INDEX(script.out!O:O,results.txt!$M667)</f>
        <v>#N/A</v>
      </c>
      <c r="AB667" t="e">
        <f>INDEX(script.out!P:P,results.txt!$M667)</f>
        <v>#N/A</v>
      </c>
      <c r="AC667" t="e">
        <f>INDEX(script.out!Q:Q,results.txt!$M667)</f>
        <v>#N/A</v>
      </c>
      <c r="AD667">
        <f t="shared" si="10"/>
        <v>0</v>
      </c>
    </row>
    <row r="668" spans="13:30" x14ac:dyDescent="0.25">
      <c r="M668" t="e">
        <f>MATCH(C668,script.out!B:B,0)</f>
        <v>#N/A</v>
      </c>
      <c r="N668" t="e">
        <f>INDEX(script.out!B:B,results.txt!$M668)</f>
        <v>#N/A</v>
      </c>
      <c r="O668" t="e">
        <f>INDEX(script.out!C:C,results.txt!$M668)</f>
        <v>#N/A</v>
      </c>
      <c r="P668" t="e">
        <f>INDEX(script.out!D:D,results.txt!$M668)</f>
        <v>#N/A</v>
      </c>
      <c r="Q668" t="e">
        <f>INDEX(script.out!E:E,results.txt!$M668)</f>
        <v>#N/A</v>
      </c>
      <c r="R668" t="e">
        <f>INDEX(script.out!F:F,results.txt!$M668)</f>
        <v>#N/A</v>
      </c>
      <c r="S668" t="e">
        <f>INDEX(script.out!G:G,results.txt!$M668)</f>
        <v>#N/A</v>
      </c>
      <c r="T668" t="e">
        <f>INDEX(script.out!H:H,results.txt!$M668)</f>
        <v>#N/A</v>
      </c>
      <c r="U668" t="e">
        <f>INDEX(script.out!I:I,results.txt!$M668)</f>
        <v>#N/A</v>
      </c>
      <c r="V668" t="e">
        <f>INDEX(script.out!J:J,results.txt!$M668)</f>
        <v>#N/A</v>
      </c>
      <c r="W668" t="e">
        <f>INDEX(script.out!K:K,results.txt!$M668)</f>
        <v>#N/A</v>
      </c>
      <c r="X668" t="e">
        <f>INDEX(script.out!L:L,results.txt!$M668)</f>
        <v>#N/A</v>
      </c>
      <c r="Y668" t="e">
        <f>INDEX(script.out!M:M,results.txt!$M668)</f>
        <v>#N/A</v>
      </c>
      <c r="Z668" t="e">
        <f>INDEX(script.out!N:N,results.txt!$M668)</f>
        <v>#N/A</v>
      </c>
      <c r="AA668" t="e">
        <f>INDEX(script.out!O:O,results.txt!$M668)</f>
        <v>#N/A</v>
      </c>
      <c r="AB668" t="e">
        <f>INDEX(script.out!P:P,results.txt!$M668)</f>
        <v>#N/A</v>
      </c>
      <c r="AC668" t="e">
        <f>INDEX(script.out!Q:Q,results.txt!$M668)</f>
        <v>#N/A</v>
      </c>
      <c r="AD668">
        <f t="shared" si="10"/>
        <v>0</v>
      </c>
    </row>
    <row r="669" spans="13:30" x14ac:dyDescent="0.25">
      <c r="M669" t="e">
        <f>MATCH(C669,script.out!B:B,0)</f>
        <v>#N/A</v>
      </c>
      <c r="N669" t="e">
        <f>INDEX(script.out!B:B,results.txt!$M669)</f>
        <v>#N/A</v>
      </c>
      <c r="O669" t="e">
        <f>INDEX(script.out!C:C,results.txt!$M669)</f>
        <v>#N/A</v>
      </c>
      <c r="P669" t="e">
        <f>INDEX(script.out!D:D,results.txt!$M669)</f>
        <v>#N/A</v>
      </c>
      <c r="Q669" t="e">
        <f>INDEX(script.out!E:E,results.txt!$M669)</f>
        <v>#N/A</v>
      </c>
      <c r="R669" t="e">
        <f>INDEX(script.out!F:F,results.txt!$M669)</f>
        <v>#N/A</v>
      </c>
      <c r="S669" t="e">
        <f>INDEX(script.out!G:G,results.txt!$M669)</f>
        <v>#N/A</v>
      </c>
      <c r="T669" t="e">
        <f>INDEX(script.out!H:H,results.txt!$M669)</f>
        <v>#N/A</v>
      </c>
      <c r="U669" t="e">
        <f>INDEX(script.out!I:I,results.txt!$M669)</f>
        <v>#N/A</v>
      </c>
      <c r="V669" t="e">
        <f>INDEX(script.out!J:J,results.txt!$M669)</f>
        <v>#N/A</v>
      </c>
      <c r="W669" t="e">
        <f>INDEX(script.out!K:K,results.txt!$M669)</f>
        <v>#N/A</v>
      </c>
      <c r="X669" t="e">
        <f>INDEX(script.out!L:L,results.txt!$M669)</f>
        <v>#N/A</v>
      </c>
      <c r="Y669" t="e">
        <f>INDEX(script.out!M:M,results.txt!$M669)</f>
        <v>#N/A</v>
      </c>
      <c r="Z669" t="e">
        <f>INDEX(script.out!N:N,results.txt!$M669)</f>
        <v>#N/A</v>
      </c>
      <c r="AA669" t="e">
        <f>INDEX(script.out!O:O,results.txt!$M669)</f>
        <v>#N/A</v>
      </c>
      <c r="AB669" t="e">
        <f>INDEX(script.out!P:P,results.txt!$M669)</f>
        <v>#N/A</v>
      </c>
      <c r="AC669" t="e">
        <f>INDEX(script.out!Q:Q,results.txt!$M669)</f>
        <v>#N/A</v>
      </c>
      <c r="AD669">
        <f t="shared" si="10"/>
        <v>0</v>
      </c>
    </row>
    <row r="670" spans="13:30" x14ac:dyDescent="0.25">
      <c r="M670" t="e">
        <f>MATCH(C670,script.out!B:B,0)</f>
        <v>#N/A</v>
      </c>
      <c r="N670" t="e">
        <f>INDEX(script.out!B:B,results.txt!$M670)</f>
        <v>#N/A</v>
      </c>
      <c r="O670" t="e">
        <f>INDEX(script.out!C:C,results.txt!$M670)</f>
        <v>#N/A</v>
      </c>
      <c r="P670" t="e">
        <f>INDEX(script.out!D:D,results.txt!$M670)</f>
        <v>#N/A</v>
      </c>
      <c r="Q670" t="e">
        <f>INDEX(script.out!E:E,results.txt!$M670)</f>
        <v>#N/A</v>
      </c>
      <c r="R670" t="e">
        <f>INDEX(script.out!F:F,results.txt!$M670)</f>
        <v>#N/A</v>
      </c>
      <c r="S670" t="e">
        <f>INDEX(script.out!G:G,results.txt!$M670)</f>
        <v>#N/A</v>
      </c>
      <c r="T670" t="e">
        <f>INDEX(script.out!H:H,results.txt!$M670)</f>
        <v>#N/A</v>
      </c>
      <c r="U670" t="e">
        <f>INDEX(script.out!I:I,results.txt!$M670)</f>
        <v>#N/A</v>
      </c>
      <c r="V670" t="e">
        <f>INDEX(script.out!J:J,results.txt!$M670)</f>
        <v>#N/A</v>
      </c>
      <c r="W670" t="e">
        <f>INDEX(script.out!K:K,results.txt!$M670)</f>
        <v>#N/A</v>
      </c>
      <c r="X670" t="e">
        <f>INDEX(script.out!L:L,results.txt!$M670)</f>
        <v>#N/A</v>
      </c>
      <c r="Y670" t="e">
        <f>INDEX(script.out!M:M,results.txt!$M670)</f>
        <v>#N/A</v>
      </c>
      <c r="Z670" t="e">
        <f>INDEX(script.out!N:N,results.txt!$M670)</f>
        <v>#N/A</v>
      </c>
      <c r="AA670" t="e">
        <f>INDEX(script.out!O:O,results.txt!$M670)</f>
        <v>#N/A</v>
      </c>
      <c r="AB670" t="e">
        <f>INDEX(script.out!P:P,results.txt!$M670)</f>
        <v>#N/A</v>
      </c>
      <c r="AC670" t="e">
        <f>INDEX(script.out!Q:Q,results.txt!$M670)</f>
        <v>#N/A</v>
      </c>
      <c r="AD670">
        <f t="shared" si="10"/>
        <v>0</v>
      </c>
    </row>
    <row r="671" spans="13:30" x14ac:dyDescent="0.25">
      <c r="M671" t="e">
        <f>MATCH(C671,script.out!B:B,0)</f>
        <v>#N/A</v>
      </c>
      <c r="N671" t="e">
        <f>INDEX(script.out!B:B,results.txt!$M671)</f>
        <v>#N/A</v>
      </c>
      <c r="O671" t="e">
        <f>INDEX(script.out!C:C,results.txt!$M671)</f>
        <v>#N/A</v>
      </c>
      <c r="P671" t="e">
        <f>INDEX(script.out!D:D,results.txt!$M671)</f>
        <v>#N/A</v>
      </c>
      <c r="Q671" t="e">
        <f>INDEX(script.out!E:E,results.txt!$M671)</f>
        <v>#N/A</v>
      </c>
      <c r="R671" t="e">
        <f>INDEX(script.out!F:F,results.txt!$M671)</f>
        <v>#N/A</v>
      </c>
      <c r="S671" t="e">
        <f>INDEX(script.out!G:G,results.txt!$M671)</f>
        <v>#N/A</v>
      </c>
      <c r="T671" t="e">
        <f>INDEX(script.out!H:H,results.txt!$M671)</f>
        <v>#N/A</v>
      </c>
      <c r="U671" t="e">
        <f>INDEX(script.out!I:I,results.txt!$M671)</f>
        <v>#N/A</v>
      </c>
      <c r="V671" t="e">
        <f>INDEX(script.out!J:J,results.txt!$M671)</f>
        <v>#N/A</v>
      </c>
      <c r="W671" t="e">
        <f>INDEX(script.out!K:K,results.txt!$M671)</f>
        <v>#N/A</v>
      </c>
      <c r="X671" t="e">
        <f>INDEX(script.out!L:L,results.txt!$M671)</f>
        <v>#N/A</v>
      </c>
      <c r="Y671" t="e">
        <f>INDEX(script.out!M:M,results.txt!$M671)</f>
        <v>#N/A</v>
      </c>
      <c r="Z671" t="e">
        <f>INDEX(script.out!N:N,results.txt!$M671)</f>
        <v>#N/A</v>
      </c>
      <c r="AA671" t="e">
        <f>INDEX(script.out!O:O,results.txt!$M671)</f>
        <v>#N/A</v>
      </c>
      <c r="AB671" t="e">
        <f>INDEX(script.out!P:P,results.txt!$M671)</f>
        <v>#N/A</v>
      </c>
      <c r="AC671" t="e">
        <f>INDEX(script.out!Q:Q,results.txt!$M671)</f>
        <v>#N/A</v>
      </c>
      <c r="AD671">
        <f t="shared" si="10"/>
        <v>0</v>
      </c>
    </row>
    <row r="672" spans="13:30" x14ac:dyDescent="0.25">
      <c r="M672" t="e">
        <f>MATCH(C672,script.out!B:B,0)</f>
        <v>#N/A</v>
      </c>
      <c r="N672" t="e">
        <f>INDEX(script.out!B:B,results.txt!$M672)</f>
        <v>#N/A</v>
      </c>
      <c r="O672" t="e">
        <f>INDEX(script.out!C:C,results.txt!$M672)</f>
        <v>#N/A</v>
      </c>
      <c r="P672" t="e">
        <f>INDEX(script.out!D:D,results.txt!$M672)</f>
        <v>#N/A</v>
      </c>
      <c r="Q672" t="e">
        <f>INDEX(script.out!E:E,results.txt!$M672)</f>
        <v>#N/A</v>
      </c>
      <c r="R672" t="e">
        <f>INDEX(script.out!F:F,results.txt!$M672)</f>
        <v>#N/A</v>
      </c>
      <c r="S672" t="e">
        <f>INDEX(script.out!G:G,results.txt!$M672)</f>
        <v>#N/A</v>
      </c>
      <c r="T672" t="e">
        <f>INDEX(script.out!H:H,results.txt!$M672)</f>
        <v>#N/A</v>
      </c>
      <c r="U672" t="e">
        <f>INDEX(script.out!I:I,results.txt!$M672)</f>
        <v>#N/A</v>
      </c>
      <c r="V672" t="e">
        <f>INDEX(script.out!J:J,results.txt!$M672)</f>
        <v>#N/A</v>
      </c>
      <c r="W672" t="e">
        <f>INDEX(script.out!K:K,results.txt!$M672)</f>
        <v>#N/A</v>
      </c>
      <c r="X672" t="e">
        <f>INDEX(script.out!L:L,results.txt!$M672)</f>
        <v>#N/A</v>
      </c>
      <c r="Y672" t="e">
        <f>INDEX(script.out!M:M,results.txt!$M672)</f>
        <v>#N/A</v>
      </c>
      <c r="Z672" t="e">
        <f>INDEX(script.out!N:N,results.txt!$M672)</f>
        <v>#N/A</v>
      </c>
      <c r="AA672" t="e">
        <f>INDEX(script.out!O:O,results.txt!$M672)</f>
        <v>#N/A</v>
      </c>
      <c r="AB672" t="e">
        <f>INDEX(script.out!P:P,results.txt!$M672)</f>
        <v>#N/A</v>
      </c>
      <c r="AC672" t="e">
        <f>INDEX(script.out!Q:Q,results.txt!$M672)</f>
        <v>#N/A</v>
      </c>
      <c r="AD672">
        <f t="shared" si="10"/>
        <v>0</v>
      </c>
    </row>
    <row r="673" spans="13:30" x14ac:dyDescent="0.25">
      <c r="M673" t="e">
        <f>MATCH(C673,script.out!B:B,0)</f>
        <v>#N/A</v>
      </c>
      <c r="N673" t="e">
        <f>INDEX(script.out!B:B,results.txt!$M673)</f>
        <v>#N/A</v>
      </c>
      <c r="O673" t="e">
        <f>INDEX(script.out!C:C,results.txt!$M673)</f>
        <v>#N/A</v>
      </c>
      <c r="P673" t="e">
        <f>INDEX(script.out!D:D,results.txt!$M673)</f>
        <v>#N/A</v>
      </c>
      <c r="Q673" t="e">
        <f>INDEX(script.out!E:E,results.txt!$M673)</f>
        <v>#N/A</v>
      </c>
      <c r="R673" t="e">
        <f>INDEX(script.out!F:F,results.txt!$M673)</f>
        <v>#N/A</v>
      </c>
      <c r="S673" t="e">
        <f>INDEX(script.out!G:G,results.txt!$M673)</f>
        <v>#N/A</v>
      </c>
      <c r="T673" t="e">
        <f>INDEX(script.out!H:H,results.txt!$M673)</f>
        <v>#N/A</v>
      </c>
      <c r="U673" t="e">
        <f>INDEX(script.out!I:I,results.txt!$M673)</f>
        <v>#N/A</v>
      </c>
      <c r="V673" t="e">
        <f>INDEX(script.out!J:J,results.txt!$M673)</f>
        <v>#N/A</v>
      </c>
      <c r="W673" t="e">
        <f>INDEX(script.out!K:K,results.txt!$M673)</f>
        <v>#N/A</v>
      </c>
      <c r="X673" t="e">
        <f>INDEX(script.out!L:L,results.txt!$M673)</f>
        <v>#N/A</v>
      </c>
      <c r="Y673" t="e">
        <f>INDEX(script.out!M:M,results.txt!$M673)</f>
        <v>#N/A</v>
      </c>
      <c r="Z673" t="e">
        <f>INDEX(script.out!N:N,results.txt!$M673)</f>
        <v>#N/A</v>
      </c>
      <c r="AA673" t="e">
        <f>INDEX(script.out!O:O,results.txt!$M673)</f>
        <v>#N/A</v>
      </c>
      <c r="AB673" t="e">
        <f>INDEX(script.out!P:P,results.txt!$M673)</f>
        <v>#N/A</v>
      </c>
      <c r="AC673" t="e">
        <f>INDEX(script.out!Q:Q,results.txt!$M673)</f>
        <v>#N/A</v>
      </c>
      <c r="AD673">
        <f t="shared" si="10"/>
        <v>0</v>
      </c>
    </row>
    <row r="674" spans="13:30" x14ac:dyDescent="0.25">
      <c r="M674" t="e">
        <f>MATCH(C674,script.out!B:B,0)</f>
        <v>#N/A</v>
      </c>
      <c r="N674" t="e">
        <f>INDEX(script.out!B:B,results.txt!$M674)</f>
        <v>#N/A</v>
      </c>
      <c r="O674" t="e">
        <f>INDEX(script.out!C:C,results.txt!$M674)</f>
        <v>#N/A</v>
      </c>
      <c r="P674" t="e">
        <f>INDEX(script.out!D:D,results.txt!$M674)</f>
        <v>#N/A</v>
      </c>
      <c r="Q674" t="e">
        <f>INDEX(script.out!E:E,results.txt!$M674)</f>
        <v>#N/A</v>
      </c>
      <c r="R674" t="e">
        <f>INDEX(script.out!F:F,results.txt!$M674)</f>
        <v>#N/A</v>
      </c>
      <c r="S674" t="e">
        <f>INDEX(script.out!G:G,results.txt!$M674)</f>
        <v>#N/A</v>
      </c>
      <c r="T674" t="e">
        <f>INDEX(script.out!H:H,results.txt!$M674)</f>
        <v>#N/A</v>
      </c>
      <c r="U674" t="e">
        <f>INDEX(script.out!I:I,results.txt!$M674)</f>
        <v>#N/A</v>
      </c>
      <c r="V674" t="e">
        <f>INDEX(script.out!J:J,results.txt!$M674)</f>
        <v>#N/A</v>
      </c>
      <c r="W674" t="e">
        <f>INDEX(script.out!K:K,results.txt!$M674)</f>
        <v>#N/A</v>
      </c>
      <c r="X674" t="e">
        <f>INDEX(script.out!L:L,results.txt!$M674)</f>
        <v>#N/A</v>
      </c>
      <c r="Y674" t="e">
        <f>INDEX(script.out!M:M,results.txt!$M674)</f>
        <v>#N/A</v>
      </c>
      <c r="Z674" t="e">
        <f>INDEX(script.out!N:N,results.txt!$M674)</f>
        <v>#N/A</v>
      </c>
      <c r="AA674" t="e">
        <f>INDEX(script.out!O:O,results.txt!$M674)</f>
        <v>#N/A</v>
      </c>
      <c r="AB674" t="e">
        <f>INDEX(script.out!P:P,results.txt!$M674)</f>
        <v>#N/A</v>
      </c>
      <c r="AC674" t="e">
        <f>INDEX(script.out!Q:Q,results.txt!$M674)</f>
        <v>#N/A</v>
      </c>
      <c r="AD674">
        <f t="shared" si="10"/>
        <v>0</v>
      </c>
    </row>
    <row r="675" spans="13:30" x14ac:dyDescent="0.25">
      <c r="M675" t="e">
        <f>MATCH(C675,script.out!B:B,0)</f>
        <v>#N/A</v>
      </c>
      <c r="N675" t="e">
        <f>INDEX(script.out!B:B,results.txt!$M675)</f>
        <v>#N/A</v>
      </c>
      <c r="O675" t="e">
        <f>INDEX(script.out!C:C,results.txt!$M675)</f>
        <v>#N/A</v>
      </c>
      <c r="P675" t="e">
        <f>INDEX(script.out!D:D,results.txt!$M675)</f>
        <v>#N/A</v>
      </c>
      <c r="Q675" t="e">
        <f>INDEX(script.out!E:E,results.txt!$M675)</f>
        <v>#N/A</v>
      </c>
      <c r="R675" t="e">
        <f>INDEX(script.out!F:F,results.txt!$M675)</f>
        <v>#N/A</v>
      </c>
      <c r="S675" t="e">
        <f>INDEX(script.out!G:G,results.txt!$M675)</f>
        <v>#N/A</v>
      </c>
      <c r="T675" t="e">
        <f>INDEX(script.out!H:H,results.txt!$M675)</f>
        <v>#N/A</v>
      </c>
      <c r="U675" t="e">
        <f>INDEX(script.out!I:I,results.txt!$M675)</f>
        <v>#N/A</v>
      </c>
      <c r="V675" t="e">
        <f>INDEX(script.out!J:J,results.txt!$M675)</f>
        <v>#N/A</v>
      </c>
      <c r="W675" t="e">
        <f>INDEX(script.out!K:K,results.txt!$M675)</f>
        <v>#N/A</v>
      </c>
      <c r="X675" t="e">
        <f>INDEX(script.out!L:L,results.txt!$M675)</f>
        <v>#N/A</v>
      </c>
      <c r="Y675" t="e">
        <f>INDEX(script.out!M:M,results.txt!$M675)</f>
        <v>#N/A</v>
      </c>
      <c r="Z675" t="e">
        <f>INDEX(script.out!N:N,results.txt!$M675)</f>
        <v>#N/A</v>
      </c>
      <c r="AA675" t="e">
        <f>INDEX(script.out!O:O,results.txt!$M675)</f>
        <v>#N/A</v>
      </c>
      <c r="AB675" t="e">
        <f>INDEX(script.out!P:P,results.txt!$M675)</f>
        <v>#N/A</v>
      </c>
      <c r="AC675" t="e">
        <f>INDEX(script.out!Q:Q,results.txt!$M675)</f>
        <v>#N/A</v>
      </c>
      <c r="AD675">
        <f t="shared" si="10"/>
        <v>0</v>
      </c>
    </row>
    <row r="676" spans="13:30" x14ac:dyDescent="0.25">
      <c r="M676" t="e">
        <f>MATCH(C676,script.out!B:B,0)</f>
        <v>#N/A</v>
      </c>
      <c r="N676" t="e">
        <f>INDEX(script.out!B:B,results.txt!$M676)</f>
        <v>#N/A</v>
      </c>
      <c r="O676" t="e">
        <f>INDEX(script.out!C:C,results.txt!$M676)</f>
        <v>#N/A</v>
      </c>
      <c r="P676" t="e">
        <f>INDEX(script.out!D:D,results.txt!$M676)</f>
        <v>#N/A</v>
      </c>
      <c r="Q676" t="e">
        <f>INDEX(script.out!E:E,results.txt!$M676)</f>
        <v>#N/A</v>
      </c>
      <c r="R676" t="e">
        <f>INDEX(script.out!F:F,results.txt!$M676)</f>
        <v>#N/A</v>
      </c>
      <c r="S676" t="e">
        <f>INDEX(script.out!G:G,results.txt!$M676)</f>
        <v>#N/A</v>
      </c>
      <c r="T676" t="e">
        <f>INDEX(script.out!H:H,results.txt!$M676)</f>
        <v>#N/A</v>
      </c>
      <c r="U676" t="e">
        <f>INDEX(script.out!I:I,results.txt!$M676)</f>
        <v>#N/A</v>
      </c>
      <c r="V676" t="e">
        <f>INDEX(script.out!J:J,results.txt!$M676)</f>
        <v>#N/A</v>
      </c>
      <c r="W676" t="e">
        <f>INDEX(script.out!K:K,results.txt!$M676)</f>
        <v>#N/A</v>
      </c>
      <c r="X676" t="e">
        <f>INDEX(script.out!L:L,results.txt!$M676)</f>
        <v>#N/A</v>
      </c>
      <c r="Y676" t="e">
        <f>INDEX(script.out!M:M,results.txt!$M676)</f>
        <v>#N/A</v>
      </c>
      <c r="Z676" t="e">
        <f>INDEX(script.out!N:N,results.txt!$M676)</f>
        <v>#N/A</v>
      </c>
      <c r="AA676" t="e">
        <f>INDEX(script.out!O:O,results.txt!$M676)</f>
        <v>#N/A</v>
      </c>
      <c r="AB676" t="e">
        <f>INDEX(script.out!P:P,results.txt!$M676)</f>
        <v>#N/A</v>
      </c>
      <c r="AC676" t="e">
        <f>INDEX(script.out!Q:Q,results.txt!$M676)</f>
        <v>#N/A</v>
      </c>
      <c r="AD676">
        <f t="shared" si="10"/>
        <v>0</v>
      </c>
    </row>
    <row r="677" spans="13:30" x14ac:dyDescent="0.25">
      <c r="M677" t="e">
        <f>MATCH(C677,script.out!B:B,0)</f>
        <v>#N/A</v>
      </c>
      <c r="N677" t="e">
        <f>INDEX(script.out!B:B,results.txt!$M677)</f>
        <v>#N/A</v>
      </c>
      <c r="O677" t="e">
        <f>INDEX(script.out!C:C,results.txt!$M677)</f>
        <v>#N/A</v>
      </c>
      <c r="P677" t="e">
        <f>INDEX(script.out!D:D,results.txt!$M677)</f>
        <v>#N/A</v>
      </c>
      <c r="Q677" t="e">
        <f>INDEX(script.out!E:E,results.txt!$M677)</f>
        <v>#N/A</v>
      </c>
      <c r="R677" t="e">
        <f>INDEX(script.out!F:F,results.txt!$M677)</f>
        <v>#N/A</v>
      </c>
      <c r="S677" t="e">
        <f>INDEX(script.out!G:G,results.txt!$M677)</f>
        <v>#N/A</v>
      </c>
      <c r="T677" t="e">
        <f>INDEX(script.out!H:H,results.txt!$M677)</f>
        <v>#N/A</v>
      </c>
      <c r="U677" t="e">
        <f>INDEX(script.out!I:I,results.txt!$M677)</f>
        <v>#N/A</v>
      </c>
      <c r="V677" t="e">
        <f>INDEX(script.out!J:J,results.txt!$M677)</f>
        <v>#N/A</v>
      </c>
      <c r="W677" t="e">
        <f>INDEX(script.out!K:K,results.txt!$M677)</f>
        <v>#N/A</v>
      </c>
      <c r="X677" t="e">
        <f>INDEX(script.out!L:L,results.txt!$M677)</f>
        <v>#N/A</v>
      </c>
      <c r="Y677" t="e">
        <f>INDEX(script.out!M:M,results.txt!$M677)</f>
        <v>#N/A</v>
      </c>
      <c r="Z677" t="e">
        <f>INDEX(script.out!N:N,results.txt!$M677)</f>
        <v>#N/A</v>
      </c>
      <c r="AA677" t="e">
        <f>INDEX(script.out!O:O,results.txt!$M677)</f>
        <v>#N/A</v>
      </c>
      <c r="AB677" t="e">
        <f>INDEX(script.out!P:P,results.txt!$M677)</f>
        <v>#N/A</v>
      </c>
      <c r="AC677" t="e">
        <f>INDEX(script.out!Q:Q,results.txt!$M677)</f>
        <v>#N/A</v>
      </c>
      <c r="AD677">
        <f t="shared" si="10"/>
        <v>0</v>
      </c>
    </row>
    <row r="678" spans="13:30" x14ac:dyDescent="0.25">
      <c r="M678" t="e">
        <f>MATCH(C678,script.out!B:B,0)</f>
        <v>#N/A</v>
      </c>
      <c r="N678" t="e">
        <f>INDEX(script.out!B:B,results.txt!$M678)</f>
        <v>#N/A</v>
      </c>
      <c r="O678" t="e">
        <f>INDEX(script.out!C:C,results.txt!$M678)</f>
        <v>#N/A</v>
      </c>
      <c r="P678" t="e">
        <f>INDEX(script.out!D:D,results.txt!$M678)</f>
        <v>#N/A</v>
      </c>
      <c r="Q678" t="e">
        <f>INDEX(script.out!E:E,results.txt!$M678)</f>
        <v>#N/A</v>
      </c>
      <c r="R678" t="e">
        <f>INDEX(script.out!F:F,results.txt!$M678)</f>
        <v>#N/A</v>
      </c>
      <c r="S678" t="e">
        <f>INDEX(script.out!G:G,results.txt!$M678)</f>
        <v>#N/A</v>
      </c>
      <c r="T678" t="e">
        <f>INDEX(script.out!H:H,results.txt!$M678)</f>
        <v>#N/A</v>
      </c>
      <c r="U678" t="e">
        <f>INDEX(script.out!I:I,results.txt!$M678)</f>
        <v>#N/A</v>
      </c>
      <c r="V678" t="e">
        <f>INDEX(script.out!J:J,results.txt!$M678)</f>
        <v>#N/A</v>
      </c>
      <c r="W678" t="e">
        <f>INDEX(script.out!K:K,results.txt!$M678)</f>
        <v>#N/A</v>
      </c>
      <c r="X678" t="e">
        <f>INDEX(script.out!L:L,results.txt!$M678)</f>
        <v>#N/A</v>
      </c>
      <c r="Y678" t="e">
        <f>INDEX(script.out!M:M,results.txt!$M678)</f>
        <v>#N/A</v>
      </c>
      <c r="Z678" t="e">
        <f>INDEX(script.out!N:N,results.txt!$M678)</f>
        <v>#N/A</v>
      </c>
      <c r="AA678" t="e">
        <f>INDEX(script.out!O:O,results.txt!$M678)</f>
        <v>#N/A</v>
      </c>
      <c r="AB678" t="e">
        <f>INDEX(script.out!P:P,results.txt!$M678)</f>
        <v>#N/A</v>
      </c>
      <c r="AC678" t="e">
        <f>INDEX(script.out!Q:Q,results.txt!$M678)</f>
        <v>#N/A</v>
      </c>
      <c r="AD678">
        <f t="shared" si="10"/>
        <v>0</v>
      </c>
    </row>
    <row r="679" spans="13:30" x14ac:dyDescent="0.25">
      <c r="M679" t="e">
        <f>MATCH(C679,script.out!B:B,0)</f>
        <v>#N/A</v>
      </c>
      <c r="N679" t="e">
        <f>INDEX(script.out!B:B,results.txt!$M679)</f>
        <v>#N/A</v>
      </c>
      <c r="O679" t="e">
        <f>INDEX(script.out!C:C,results.txt!$M679)</f>
        <v>#N/A</v>
      </c>
      <c r="P679" t="e">
        <f>INDEX(script.out!D:D,results.txt!$M679)</f>
        <v>#N/A</v>
      </c>
      <c r="Q679" t="e">
        <f>INDEX(script.out!E:E,results.txt!$M679)</f>
        <v>#N/A</v>
      </c>
      <c r="R679" t="e">
        <f>INDEX(script.out!F:F,results.txt!$M679)</f>
        <v>#N/A</v>
      </c>
      <c r="S679" t="e">
        <f>INDEX(script.out!G:G,results.txt!$M679)</f>
        <v>#N/A</v>
      </c>
      <c r="T679" t="e">
        <f>INDEX(script.out!H:H,results.txt!$M679)</f>
        <v>#N/A</v>
      </c>
      <c r="U679" t="e">
        <f>INDEX(script.out!I:I,results.txt!$M679)</f>
        <v>#N/A</v>
      </c>
      <c r="V679" t="e">
        <f>INDEX(script.out!J:J,results.txt!$M679)</f>
        <v>#N/A</v>
      </c>
      <c r="W679" t="e">
        <f>INDEX(script.out!K:K,results.txt!$M679)</f>
        <v>#N/A</v>
      </c>
      <c r="X679" t="e">
        <f>INDEX(script.out!L:L,results.txt!$M679)</f>
        <v>#N/A</v>
      </c>
      <c r="Y679" t="e">
        <f>INDEX(script.out!M:M,results.txt!$M679)</f>
        <v>#N/A</v>
      </c>
      <c r="Z679" t="e">
        <f>INDEX(script.out!N:N,results.txt!$M679)</f>
        <v>#N/A</v>
      </c>
      <c r="AA679" t="e">
        <f>INDEX(script.out!O:O,results.txt!$M679)</f>
        <v>#N/A</v>
      </c>
      <c r="AB679" t="e">
        <f>INDEX(script.out!P:P,results.txt!$M679)</f>
        <v>#N/A</v>
      </c>
      <c r="AC679" t="e">
        <f>INDEX(script.out!Q:Q,results.txt!$M679)</f>
        <v>#N/A</v>
      </c>
      <c r="AD679">
        <f t="shared" si="10"/>
        <v>0</v>
      </c>
    </row>
    <row r="680" spans="13:30" x14ac:dyDescent="0.25">
      <c r="M680" t="e">
        <f>MATCH(C680,script.out!B:B,0)</f>
        <v>#N/A</v>
      </c>
      <c r="N680" t="e">
        <f>INDEX(script.out!B:B,results.txt!$M680)</f>
        <v>#N/A</v>
      </c>
      <c r="O680" t="e">
        <f>INDEX(script.out!C:C,results.txt!$M680)</f>
        <v>#N/A</v>
      </c>
      <c r="P680" t="e">
        <f>INDEX(script.out!D:D,results.txt!$M680)</f>
        <v>#N/A</v>
      </c>
      <c r="Q680" t="e">
        <f>INDEX(script.out!E:E,results.txt!$M680)</f>
        <v>#N/A</v>
      </c>
      <c r="R680" t="e">
        <f>INDEX(script.out!F:F,results.txt!$M680)</f>
        <v>#N/A</v>
      </c>
      <c r="S680" t="e">
        <f>INDEX(script.out!G:G,results.txt!$M680)</f>
        <v>#N/A</v>
      </c>
      <c r="T680" t="e">
        <f>INDEX(script.out!H:H,results.txt!$M680)</f>
        <v>#N/A</v>
      </c>
      <c r="U680" t="e">
        <f>INDEX(script.out!I:I,results.txt!$M680)</f>
        <v>#N/A</v>
      </c>
      <c r="V680" t="e">
        <f>INDEX(script.out!J:J,results.txt!$M680)</f>
        <v>#N/A</v>
      </c>
      <c r="W680" t="e">
        <f>INDEX(script.out!K:K,results.txt!$M680)</f>
        <v>#N/A</v>
      </c>
      <c r="X680" t="e">
        <f>INDEX(script.out!L:L,results.txt!$M680)</f>
        <v>#N/A</v>
      </c>
      <c r="Y680" t="e">
        <f>INDEX(script.out!M:M,results.txt!$M680)</f>
        <v>#N/A</v>
      </c>
      <c r="Z680" t="e">
        <f>INDEX(script.out!N:N,results.txt!$M680)</f>
        <v>#N/A</v>
      </c>
      <c r="AA680" t="e">
        <f>INDEX(script.out!O:O,results.txt!$M680)</f>
        <v>#N/A</v>
      </c>
      <c r="AB680" t="e">
        <f>INDEX(script.out!P:P,results.txt!$M680)</f>
        <v>#N/A</v>
      </c>
      <c r="AC680" t="e">
        <f>INDEX(script.out!Q:Q,results.txt!$M680)</f>
        <v>#N/A</v>
      </c>
      <c r="AD680">
        <f t="shared" si="10"/>
        <v>0</v>
      </c>
    </row>
    <row r="681" spans="13:30" x14ac:dyDescent="0.25">
      <c r="M681" t="e">
        <f>MATCH(C681,script.out!B:B,0)</f>
        <v>#N/A</v>
      </c>
      <c r="N681" t="e">
        <f>INDEX(script.out!B:B,results.txt!$M681)</f>
        <v>#N/A</v>
      </c>
      <c r="O681" t="e">
        <f>INDEX(script.out!C:C,results.txt!$M681)</f>
        <v>#N/A</v>
      </c>
      <c r="P681" t="e">
        <f>INDEX(script.out!D:D,results.txt!$M681)</f>
        <v>#N/A</v>
      </c>
      <c r="Q681" t="e">
        <f>INDEX(script.out!E:E,results.txt!$M681)</f>
        <v>#N/A</v>
      </c>
      <c r="R681" t="e">
        <f>INDEX(script.out!F:F,results.txt!$M681)</f>
        <v>#N/A</v>
      </c>
      <c r="S681" t="e">
        <f>INDEX(script.out!G:G,results.txt!$M681)</f>
        <v>#N/A</v>
      </c>
      <c r="T681" t="e">
        <f>INDEX(script.out!H:H,results.txt!$M681)</f>
        <v>#N/A</v>
      </c>
      <c r="U681" t="e">
        <f>INDEX(script.out!I:I,results.txt!$M681)</f>
        <v>#N/A</v>
      </c>
      <c r="V681" t="e">
        <f>INDEX(script.out!J:J,results.txt!$M681)</f>
        <v>#N/A</v>
      </c>
      <c r="W681" t="e">
        <f>INDEX(script.out!K:K,results.txt!$M681)</f>
        <v>#N/A</v>
      </c>
      <c r="X681" t="e">
        <f>INDEX(script.out!L:L,results.txt!$M681)</f>
        <v>#N/A</v>
      </c>
      <c r="Y681" t="e">
        <f>INDEX(script.out!M:M,results.txt!$M681)</f>
        <v>#N/A</v>
      </c>
      <c r="Z681" t="e">
        <f>INDEX(script.out!N:N,results.txt!$M681)</f>
        <v>#N/A</v>
      </c>
      <c r="AA681" t="e">
        <f>INDEX(script.out!O:O,results.txt!$M681)</f>
        <v>#N/A</v>
      </c>
      <c r="AB681" t="e">
        <f>INDEX(script.out!P:P,results.txt!$M681)</f>
        <v>#N/A</v>
      </c>
      <c r="AC681" t="e">
        <f>INDEX(script.out!Q:Q,results.txt!$M681)</f>
        <v>#N/A</v>
      </c>
      <c r="AD681">
        <f t="shared" si="10"/>
        <v>0</v>
      </c>
    </row>
    <row r="682" spans="13:30" x14ac:dyDescent="0.25">
      <c r="M682" t="e">
        <f>MATCH(C682,script.out!B:B,0)</f>
        <v>#N/A</v>
      </c>
      <c r="N682" t="e">
        <f>INDEX(script.out!B:B,results.txt!$M682)</f>
        <v>#N/A</v>
      </c>
      <c r="O682" t="e">
        <f>INDEX(script.out!C:C,results.txt!$M682)</f>
        <v>#N/A</v>
      </c>
      <c r="P682" t="e">
        <f>INDEX(script.out!D:D,results.txt!$M682)</f>
        <v>#N/A</v>
      </c>
      <c r="Q682" t="e">
        <f>INDEX(script.out!E:E,results.txt!$M682)</f>
        <v>#N/A</v>
      </c>
      <c r="R682" t="e">
        <f>INDEX(script.out!F:F,results.txt!$M682)</f>
        <v>#N/A</v>
      </c>
      <c r="S682" t="e">
        <f>INDEX(script.out!G:G,results.txt!$M682)</f>
        <v>#N/A</v>
      </c>
      <c r="T682" t="e">
        <f>INDEX(script.out!H:H,results.txt!$M682)</f>
        <v>#N/A</v>
      </c>
      <c r="U682" t="e">
        <f>INDEX(script.out!I:I,results.txt!$M682)</f>
        <v>#N/A</v>
      </c>
      <c r="V682" t="e">
        <f>INDEX(script.out!J:J,results.txt!$M682)</f>
        <v>#N/A</v>
      </c>
      <c r="W682" t="e">
        <f>INDEX(script.out!K:K,results.txt!$M682)</f>
        <v>#N/A</v>
      </c>
      <c r="X682" t="e">
        <f>INDEX(script.out!L:L,results.txt!$M682)</f>
        <v>#N/A</v>
      </c>
      <c r="Y682" t="e">
        <f>INDEX(script.out!M:M,results.txt!$M682)</f>
        <v>#N/A</v>
      </c>
      <c r="Z682" t="e">
        <f>INDEX(script.out!N:N,results.txt!$M682)</f>
        <v>#N/A</v>
      </c>
      <c r="AA682" t="e">
        <f>INDEX(script.out!O:O,results.txt!$M682)</f>
        <v>#N/A</v>
      </c>
      <c r="AB682" t="e">
        <f>INDEX(script.out!P:P,results.txt!$M682)</f>
        <v>#N/A</v>
      </c>
      <c r="AC682" t="e">
        <f>INDEX(script.out!Q:Q,results.txt!$M682)</f>
        <v>#N/A</v>
      </c>
      <c r="AD682">
        <f t="shared" si="10"/>
        <v>0</v>
      </c>
    </row>
    <row r="683" spans="13:30" x14ac:dyDescent="0.25">
      <c r="M683" t="e">
        <f>MATCH(C683,script.out!B:B,0)</f>
        <v>#N/A</v>
      </c>
      <c r="N683" t="e">
        <f>INDEX(script.out!B:B,results.txt!$M683)</f>
        <v>#N/A</v>
      </c>
      <c r="O683" t="e">
        <f>INDEX(script.out!C:C,results.txt!$M683)</f>
        <v>#N/A</v>
      </c>
      <c r="P683" t="e">
        <f>INDEX(script.out!D:D,results.txt!$M683)</f>
        <v>#N/A</v>
      </c>
      <c r="Q683" t="e">
        <f>INDEX(script.out!E:E,results.txt!$M683)</f>
        <v>#N/A</v>
      </c>
      <c r="R683" t="e">
        <f>INDEX(script.out!F:F,results.txt!$M683)</f>
        <v>#N/A</v>
      </c>
      <c r="S683" t="e">
        <f>INDEX(script.out!G:G,results.txt!$M683)</f>
        <v>#N/A</v>
      </c>
      <c r="T683" t="e">
        <f>INDEX(script.out!H:H,results.txt!$M683)</f>
        <v>#N/A</v>
      </c>
      <c r="U683" t="e">
        <f>INDEX(script.out!I:I,results.txt!$M683)</f>
        <v>#N/A</v>
      </c>
      <c r="V683" t="e">
        <f>INDEX(script.out!J:J,results.txt!$M683)</f>
        <v>#N/A</v>
      </c>
      <c r="W683" t="e">
        <f>INDEX(script.out!K:K,results.txt!$M683)</f>
        <v>#N/A</v>
      </c>
      <c r="X683" t="e">
        <f>INDEX(script.out!L:L,results.txt!$M683)</f>
        <v>#N/A</v>
      </c>
      <c r="Y683" t="e">
        <f>INDEX(script.out!M:M,results.txt!$M683)</f>
        <v>#N/A</v>
      </c>
      <c r="Z683" t="e">
        <f>INDEX(script.out!N:N,results.txt!$M683)</f>
        <v>#N/A</v>
      </c>
      <c r="AA683" t="e">
        <f>INDEX(script.out!O:O,results.txt!$M683)</f>
        <v>#N/A</v>
      </c>
      <c r="AB683" t="e">
        <f>INDEX(script.out!P:P,results.txt!$M683)</f>
        <v>#N/A</v>
      </c>
      <c r="AC683" t="e">
        <f>INDEX(script.out!Q:Q,results.txt!$M683)</f>
        <v>#N/A</v>
      </c>
      <c r="AD683">
        <f t="shared" ref="AD683:AD746" si="11">IF(A683="all",1)+IF(A683="nonDominatedFront",2)</f>
        <v>0</v>
      </c>
    </row>
    <row r="684" spans="13:30" x14ac:dyDescent="0.25">
      <c r="M684" t="e">
        <f>MATCH(C684,script.out!B:B,0)</f>
        <v>#N/A</v>
      </c>
      <c r="N684" t="e">
        <f>INDEX(script.out!B:B,results.txt!$M684)</f>
        <v>#N/A</v>
      </c>
      <c r="O684" t="e">
        <f>INDEX(script.out!C:C,results.txt!$M684)</f>
        <v>#N/A</v>
      </c>
      <c r="P684" t="e">
        <f>INDEX(script.out!D:D,results.txt!$M684)</f>
        <v>#N/A</v>
      </c>
      <c r="Q684" t="e">
        <f>INDEX(script.out!E:E,results.txt!$M684)</f>
        <v>#N/A</v>
      </c>
      <c r="R684" t="e">
        <f>INDEX(script.out!F:F,results.txt!$M684)</f>
        <v>#N/A</v>
      </c>
      <c r="S684" t="e">
        <f>INDEX(script.out!G:G,results.txt!$M684)</f>
        <v>#N/A</v>
      </c>
      <c r="T684" t="e">
        <f>INDEX(script.out!H:H,results.txt!$M684)</f>
        <v>#N/A</v>
      </c>
      <c r="U684" t="e">
        <f>INDEX(script.out!I:I,results.txt!$M684)</f>
        <v>#N/A</v>
      </c>
      <c r="V684" t="e">
        <f>INDEX(script.out!J:J,results.txt!$M684)</f>
        <v>#N/A</v>
      </c>
      <c r="W684" t="e">
        <f>INDEX(script.out!K:K,results.txt!$M684)</f>
        <v>#N/A</v>
      </c>
      <c r="X684" t="e">
        <f>INDEX(script.out!L:L,results.txt!$M684)</f>
        <v>#N/A</v>
      </c>
      <c r="Y684" t="e">
        <f>INDEX(script.out!M:M,results.txt!$M684)</f>
        <v>#N/A</v>
      </c>
      <c r="Z684" t="e">
        <f>INDEX(script.out!N:N,results.txt!$M684)</f>
        <v>#N/A</v>
      </c>
      <c r="AA684" t="e">
        <f>INDEX(script.out!O:O,results.txt!$M684)</f>
        <v>#N/A</v>
      </c>
      <c r="AB684" t="e">
        <f>INDEX(script.out!P:P,results.txt!$M684)</f>
        <v>#N/A</v>
      </c>
      <c r="AC684" t="e">
        <f>INDEX(script.out!Q:Q,results.txt!$M684)</f>
        <v>#N/A</v>
      </c>
      <c r="AD684">
        <f t="shared" si="11"/>
        <v>0</v>
      </c>
    </row>
    <row r="685" spans="13:30" x14ac:dyDescent="0.25">
      <c r="M685" t="e">
        <f>MATCH(C685,script.out!B:B,0)</f>
        <v>#N/A</v>
      </c>
      <c r="N685" t="e">
        <f>INDEX(script.out!B:B,results.txt!$M685)</f>
        <v>#N/A</v>
      </c>
      <c r="O685" t="e">
        <f>INDEX(script.out!C:C,results.txt!$M685)</f>
        <v>#N/A</v>
      </c>
      <c r="P685" t="e">
        <f>INDEX(script.out!D:D,results.txt!$M685)</f>
        <v>#N/A</v>
      </c>
      <c r="Q685" t="e">
        <f>INDEX(script.out!E:E,results.txt!$M685)</f>
        <v>#N/A</v>
      </c>
      <c r="R685" t="e">
        <f>INDEX(script.out!F:F,results.txt!$M685)</f>
        <v>#N/A</v>
      </c>
      <c r="S685" t="e">
        <f>INDEX(script.out!G:G,results.txt!$M685)</f>
        <v>#N/A</v>
      </c>
      <c r="T685" t="e">
        <f>INDEX(script.out!H:H,results.txt!$M685)</f>
        <v>#N/A</v>
      </c>
      <c r="U685" t="e">
        <f>INDEX(script.out!I:I,results.txt!$M685)</f>
        <v>#N/A</v>
      </c>
      <c r="V685" t="e">
        <f>INDEX(script.out!J:J,results.txt!$M685)</f>
        <v>#N/A</v>
      </c>
      <c r="W685" t="e">
        <f>INDEX(script.out!K:K,results.txt!$M685)</f>
        <v>#N/A</v>
      </c>
      <c r="X685" t="e">
        <f>INDEX(script.out!L:L,results.txt!$M685)</f>
        <v>#N/A</v>
      </c>
      <c r="Y685" t="e">
        <f>INDEX(script.out!M:M,results.txt!$M685)</f>
        <v>#N/A</v>
      </c>
      <c r="Z685" t="e">
        <f>INDEX(script.out!N:N,results.txt!$M685)</f>
        <v>#N/A</v>
      </c>
      <c r="AA685" t="e">
        <f>INDEX(script.out!O:O,results.txt!$M685)</f>
        <v>#N/A</v>
      </c>
      <c r="AB685" t="e">
        <f>INDEX(script.out!P:P,results.txt!$M685)</f>
        <v>#N/A</v>
      </c>
      <c r="AC685" t="e">
        <f>INDEX(script.out!Q:Q,results.txt!$M685)</f>
        <v>#N/A</v>
      </c>
      <c r="AD685">
        <f t="shared" si="11"/>
        <v>0</v>
      </c>
    </row>
    <row r="686" spans="13:30" x14ac:dyDescent="0.25">
      <c r="M686" t="e">
        <f>MATCH(C686,script.out!B:B,0)</f>
        <v>#N/A</v>
      </c>
      <c r="N686" t="e">
        <f>INDEX(script.out!B:B,results.txt!$M686)</f>
        <v>#N/A</v>
      </c>
      <c r="O686" t="e">
        <f>INDEX(script.out!C:C,results.txt!$M686)</f>
        <v>#N/A</v>
      </c>
      <c r="P686" t="e">
        <f>INDEX(script.out!D:D,results.txt!$M686)</f>
        <v>#N/A</v>
      </c>
      <c r="Q686" t="e">
        <f>INDEX(script.out!E:E,results.txt!$M686)</f>
        <v>#N/A</v>
      </c>
      <c r="R686" t="e">
        <f>INDEX(script.out!F:F,results.txt!$M686)</f>
        <v>#N/A</v>
      </c>
      <c r="S686" t="e">
        <f>INDEX(script.out!G:G,results.txt!$M686)</f>
        <v>#N/A</v>
      </c>
      <c r="T686" t="e">
        <f>INDEX(script.out!H:H,results.txt!$M686)</f>
        <v>#N/A</v>
      </c>
      <c r="U686" t="e">
        <f>INDEX(script.out!I:I,results.txt!$M686)</f>
        <v>#N/A</v>
      </c>
      <c r="V686" t="e">
        <f>INDEX(script.out!J:J,results.txt!$M686)</f>
        <v>#N/A</v>
      </c>
      <c r="W686" t="e">
        <f>INDEX(script.out!K:K,results.txt!$M686)</f>
        <v>#N/A</v>
      </c>
      <c r="X686" t="e">
        <f>INDEX(script.out!L:L,results.txt!$M686)</f>
        <v>#N/A</v>
      </c>
      <c r="Y686" t="e">
        <f>INDEX(script.out!M:M,results.txt!$M686)</f>
        <v>#N/A</v>
      </c>
      <c r="Z686" t="e">
        <f>INDEX(script.out!N:N,results.txt!$M686)</f>
        <v>#N/A</v>
      </c>
      <c r="AA686" t="e">
        <f>INDEX(script.out!O:O,results.txt!$M686)</f>
        <v>#N/A</v>
      </c>
      <c r="AB686" t="e">
        <f>INDEX(script.out!P:P,results.txt!$M686)</f>
        <v>#N/A</v>
      </c>
      <c r="AC686" t="e">
        <f>INDEX(script.out!Q:Q,results.txt!$M686)</f>
        <v>#N/A</v>
      </c>
      <c r="AD686">
        <f t="shared" si="11"/>
        <v>0</v>
      </c>
    </row>
    <row r="687" spans="13:30" x14ac:dyDescent="0.25">
      <c r="M687" t="e">
        <f>MATCH(C687,script.out!B:B,0)</f>
        <v>#N/A</v>
      </c>
      <c r="N687" t="e">
        <f>INDEX(script.out!B:B,results.txt!$M687)</f>
        <v>#N/A</v>
      </c>
      <c r="O687" t="e">
        <f>INDEX(script.out!C:C,results.txt!$M687)</f>
        <v>#N/A</v>
      </c>
      <c r="P687" t="e">
        <f>INDEX(script.out!D:D,results.txt!$M687)</f>
        <v>#N/A</v>
      </c>
      <c r="Q687" t="e">
        <f>INDEX(script.out!E:E,results.txt!$M687)</f>
        <v>#N/A</v>
      </c>
      <c r="R687" t="e">
        <f>INDEX(script.out!F:F,results.txt!$M687)</f>
        <v>#N/A</v>
      </c>
      <c r="S687" t="e">
        <f>INDEX(script.out!G:G,results.txt!$M687)</f>
        <v>#N/A</v>
      </c>
      <c r="T687" t="e">
        <f>INDEX(script.out!H:H,results.txt!$M687)</f>
        <v>#N/A</v>
      </c>
      <c r="U687" t="e">
        <f>INDEX(script.out!I:I,results.txt!$M687)</f>
        <v>#N/A</v>
      </c>
      <c r="V687" t="e">
        <f>INDEX(script.out!J:J,results.txt!$M687)</f>
        <v>#N/A</v>
      </c>
      <c r="W687" t="e">
        <f>INDEX(script.out!K:K,results.txt!$M687)</f>
        <v>#N/A</v>
      </c>
      <c r="X687" t="e">
        <f>INDEX(script.out!L:L,results.txt!$M687)</f>
        <v>#N/A</v>
      </c>
      <c r="Y687" t="e">
        <f>INDEX(script.out!M:M,results.txt!$M687)</f>
        <v>#N/A</v>
      </c>
      <c r="Z687" t="e">
        <f>INDEX(script.out!N:N,results.txt!$M687)</f>
        <v>#N/A</v>
      </c>
      <c r="AA687" t="e">
        <f>INDEX(script.out!O:O,results.txt!$M687)</f>
        <v>#N/A</v>
      </c>
      <c r="AB687" t="e">
        <f>INDEX(script.out!P:P,results.txt!$M687)</f>
        <v>#N/A</v>
      </c>
      <c r="AC687" t="e">
        <f>INDEX(script.out!Q:Q,results.txt!$M687)</f>
        <v>#N/A</v>
      </c>
      <c r="AD687">
        <f t="shared" si="11"/>
        <v>0</v>
      </c>
    </row>
    <row r="688" spans="13:30" x14ac:dyDescent="0.25">
      <c r="M688" t="e">
        <f>MATCH(C688,script.out!B:B,0)</f>
        <v>#N/A</v>
      </c>
      <c r="N688" t="e">
        <f>INDEX(script.out!B:B,results.txt!$M688)</f>
        <v>#N/A</v>
      </c>
      <c r="O688" t="e">
        <f>INDEX(script.out!C:C,results.txt!$M688)</f>
        <v>#N/A</v>
      </c>
      <c r="P688" t="e">
        <f>INDEX(script.out!D:D,results.txt!$M688)</f>
        <v>#N/A</v>
      </c>
      <c r="Q688" t="e">
        <f>INDEX(script.out!E:E,results.txt!$M688)</f>
        <v>#N/A</v>
      </c>
      <c r="R688" t="e">
        <f>INDEX(script.out!F:F,results.txt!$M688)</f>
        <v>#N/A</v>
      </c>
      <c r="S688" t="e">
        <f>INDEX(script.out!G:G,results.txt!$M688)</f>
        <v>#N/A</v>
      </c>
      <c r="T688" t="e">
        <f>INDEX(script.out!H:H,results.txt!$M688)</f>
        <v>#N/A</v>
      </c>
      <c r="U688" t="e">
        <f>INDEX(script.out!I:I,results.txt!$M688)</f>
        <v>#N/A</v>
      </c>
      <c r="V688" t="e">
        <f>INDEX(script.out!J:J,results.txt!$M688)</f>
        <v>#N/A</v>
      </c>
      <c r="W688" t="e">
        <f>INDEX(script.out!K:K,results.txt!$M688)</f>
        <v>#N/A</v>
      </c>
      <c r="X688" t="e">
        <f>INDEX(script.out!L:L,results.txt!$M688)</f>
        <v>#N/A</v>
      </c>
      <c r="Y688" t="e">
        <f>INDEX(script.out!M:M,results.txt!$M688)</f>
        <v>#N/A</v>
      </c>
      <c r="Z688" t="e">
        <f>INDEX(script.out!N:N,results.txt!$M688)</f>
        <v>#N/A</v>
      </c>
      <c r="AA688" t="e">
        <f>INDEX(script.out!O:O,results.txt!$M688)</f>
        <v>#N/A</v>
      </c>
      <c r="AB688" t="e">
        <f>INDEX(script.out!P:P,results.txt!$M688)</f>
        <v>#N/A</v>
      </c>
      <c r="AC688" t="e">
        <f>INDEX(script.out!Q:Q,results.txt!$M688)</f>
        <v>#N/A</v>
      </c>
      <c r="AD688">
        <f t="shared" si="11"/>
        <v>0</v>
      </c>
    </row>
    <row r="689" spans="13:30" x14ac:dyDescent="0.25">
      <c r="M689" t="e">
        <f>MATCH(C689,script.out!B:B,0)</f>
        <v>#N/A</v>
      </c>
      <c r="N689" t="e">
        <f>INDEX(script.out!B:B,results.txt!$M689)</f>
        <v>#N/A</v>
      </c>
      <c r="O689" t="e">
        <f>INDEX(script.out!C:C,results.txt!$M689)</f>
        <v>#N/A</v>
      </c>
      <c r="P689" t="e">
        <f>INDEX(script.out!D:D,results.txt!$M689)</f>
        <v>#N/A</v>
      </c>
      <c r="Q689" t="e">
        <f>INDEX(script.out!E:E,results.txt!$M689)</f>
        <v>#N/A</v>
      </c>
      <c r="R689" t="e">
        <f>INDEX(script.out!F:F,results.txt!$M689)</f>
        <v>#N/A</v>
      </c>
      <c r="S689" t="e">
        <f>INDEX(script.out!G:G,results.txt!$M689)</f>
        <v>#N/A</v>
      </c>
      <c r="T689" t="e">
        <f>INDEX(script.out!H:H,results.txt!$M689)</f>
        <v>#N/A</v>
      </c>
      <c r="U689" t="e">
        <f>INDEX(script.out!I:I,results.txt!$M689)</f>
        <v>#N/A</v>
      </c>
      <c r="V689" t="e">
        <f>INDEX(script.out!J:J,results.txt!$M689)</f>
        <v>#N/A</v>
      </c>
      <c r="W689" t="e">
        <f>INDEX(script.out!K:K,results.txt!$M689)</f>
        <v>#N/A</v>
      </c>
      <c r="X689" t="e">
        <f>INDEX(script.out!L:L,results.txt!$M689)</f>
        <v>#N/A</v>
      </c>
      <c r="Y689" t="e">
        <f>INDEX(script.out!M:M,results.txt!$M689)</f>
        <v>#N/A</v>
      </c>
      <c r="Z689" t="e">
        <f>INDEX(script.out!N:N,results.txt!$M689)</f>
        <v>#N/A</v>
      </c>
      <c r="AA689" t="e">
        <f>INDEX(script.out!O:O,results.txt!$M689)</f>
        <v>#N/A</v>
      </c>
      <c r="AB689" t="e">
        <f>INDEX(script.out!P:P,results.txt!$M689)</f>
        <v>#N/A</v>
      </c>
      <c r="AC689" t="e">
        <f>INDEX(script.out!Q:Q,results.txt!$M689)</f>
        <v>#N/A</v>
      </c>
      <c r="AD689">
        <f t="shared" si="11"/>
        <v>0</v>
      </c>
    </row>
    <row r="690" spans="13:30" x14ac:dyDescent="0.25">
      <c r="M690" t="e">
        <f>MATCH(C690,script.out!B:B,0)</f>
        <v>#N/A</v>
      </c>
      <c r="N690" t="e">
        <f>INDEX(script.out!B:B,results.txt!$M690)</f>
        <v>#N/A</v>
      </c>
      <c r="O690" t="e">
        <f>INDEX(script.out!C:C,results.txt!$M690)</f>
        <v>#N/A</v>
      </c>
      <c r="P690" t="e">
        <f>INDEX(script.out!D:D,results.txt!$M690)</f>
        <v>#N/A</v>
      </c>
      <c r="Q690" t="e">
        <f>INDEX(script.out!E:E,results.txt!$M690)</f>
        <v>#N/A</v>
      </c>
      <c r="R690" t="e">
        <f>INDEX(script.out!F:F,results.txt!$M690)</f>
        <v>#N/A</v>
      </c>
      <c r="S690" t="e">
        <f>INDEX(script.out!G:G,results.txt!$M690)</f>
        <v>#N/A</v>
      </c>
      <c r="T690" t="e">
        <f>INDEX(script.out!H:H,results.txt!$M690)</f>
        <v>#N/A</v>
      </c>
      <c r="U690" t="e">
        <f>INDEX(script.out!I:I,results.txt!$M690)</f>
        <v>#N/A</v>
      </c>
      <c r="V690" t="e">
        <f>INDEX(script.out!J:J,results.txt!$M690)</f>
        <v>#N/A</v>
      </c>
      <c r="W690" t="e">
        <f>INDEX(script.out!K:K,results.txt!$M690)</f>
        <v>#N/A</v>
      </c>
      <c r="X690" t="e">
        <f>INDEX(script.out!L:L,results.txt!$M690)</f>
        <v>#N/A</v>
      </c>
      <c r="Y690" t="e">
        <f>INDEX(script.out!M:M,results.txt!$M690)</f>
        <v>#N/A</v>
      </c>
      <c r="Z690" t="e">
        <f>INDEX(script.out!N:N,results.txt!$M690)</f>
        <v>#N/A</v>
      </c>
      <c r="AA690" t="e">
        <f>INDEX(script.out!O:O,results.txt!$M690)</f>
        <v>#N/A</v>
      </c>
      <c r="AB690" t="e">
        <f>INDEX(script.out!P:P,results.txt!$M690)</f>
        <v>#N/A</v>
      </c>
      <c r="AC690" t="e">
        <f>INDEX(script.out!Q:Q,results.txt!$M690)</f>
        <v>#N/A</v>
      </c>
      <c r="AD690">
        <f t="shared" si="11"/>
        <v>0</v>
      </c>
    </row>
    <row r="691" spans="13:30" x14ac:dyDescent="0.25">
      <c r="M691" t="e">
        <f>MATCH(C691,script.out!B:B,0)</f>
        <v>#N/A</v>
      </c>
      <c r="N691" t="e">
        <f>INDEX(script.out!B:B,results.txt!$M691)</f>
        <v>#N/A</v>
      </c>
      <c r="O691" t="e">
        <f>INDEX(script.out!C:C,results.txt!$M691)</f>
        <v>#N/A</v>
      </c>
      <c r="P691" t="e">
        <f>INDEX(script.out!D:D,results.txt!$M691)</f>
        <v>#N/A</v>
      </c>
      <c r="Q691" t="e">
        <f>INDEX(script.out!E:E,results.txt!$M691)</f>
        <v>#N/A</v>
      </c>
      <c r="R691" t="e">
        <f>INDEX(script.out!F:F,results.txt!$M691)</f>
        <v>#N/A</v>
      </c>
      <c r="S691" t="e">
        <f>INDEX(script.out!G:G,results.txt!$M691)</f>
        <v>#N/A</v>
      </c>
      <c r="T691" t="e">
        <f>INDEX(script.out!H:H,results.txt!$M691)</f>
        <v>#N/A</v>
      </c>
      <c r="U691" t="e">
        <f>INDEX(script.out!I:I,results.txt!$M691)</f>
        <v>#N/A</v>
      </c>
      <c r="V691" t="e">
        <f>INDEX(script.out!J:J,results.txt!$M691)</f>
        <v>#N/A</v>
      </c>
      <c r="W691" t="e">
        <f>INDEX(script.out!K:K,results.txt!$M691)</f>
        <v>#N/A</v>
      </c>
      <c r="X691" t="e">
        <f>INDEX(script.out!L:L,results.txt!$M691)</f>
        <v>#N/A</v>
      </c>
      <c r="Y691" t="e">
        <f>INDEX(script.out!M:M,results.txt!$M691)</f>
        <v>#N/A</v>
      </c>
      <c r="Z691" t="e">
        <f>INDEX(script.out!N:N,results.txt!$M691)</f>
        <v>#N/A</v>
      </c>
      <c r="AA691" t="e">
        <f>INDEX(script.out!O:O,results.txt!$M691)</f>
        <v>#N/A</v>
      </c>
      <c r="AB691" t="e">
        <f>INDEX(script.out!P:P,results.txt!$M691)</f>
        <v>#N/A</v>
      </c>
      <c r="AC691" t="e">
        <f>INDEX(script.out!Q:Q,results.txt!$M691)</f>
        <v>#N/A</v>
      </c>
      <c r="AD691">
        <f t="shared" si="11"/>
        <v>0</v>
      </c>
    </row>
    <row r="692" spans="13:30" x14ac:dyDescent="0.25">
      <c r="M692" t="e">
        <f>MATCH(C692,script.out!B:B,0)</f>
        <v>#N/A</v>
      </c>
      <c r="N692" t="e">
        <f>INDEX(script.out!B:B,results.txt!$M692)</f>
        <v>#N/A</v>
      </c>
      <c r="O692" t="e">
        <f>INDEX(script.out!C:C,results.txt!$M692)</f>
        <v>#N/A</v>
      </c>
      <c r="P692" t="e">
        <f>INDEX(script.out!D:D,results.txt!$M692)</f>
        <v>#N/A</v>
      </c>
      <c r="Q692" t="e">
        <f>INDEX(script.out!E:E,results.txt!$M692)</f>
        <v>#N/A</v>
      </c>
      <c r="R692" t="e">
        <f>INDEX(script.out!F:F,results.txt!$M692)</f>
        <v>#N/A</v>
      </c>
      <c r="S692" t="e">
        <f>INDEX(script.out!G:G,results.txt!$M692)</f>
        <v>#N/A</v>
      </c>
      <c r="T692" t="e">
        <f>INDEX(script.out!H:H,results.txt!$M692)</f>
        <v>#N/A</v>
      </c>
      <c r="U692" t="e">
        <f>INDEX(script.out!I:I,results.txt!$M692)</f>
        <v>#N/A</v>
      </c>
      <c r="V692" t="e">
        <f>INDEX(script.out!J:J,results.txt!$M692)</f>
        <v>#N/A</v>
      </c>
      <c r="W692" t="e">
        <f>INDEX(script.out!K:K,results.txt!$M692)</f>
        <v>#N/A</v>
      </c>
      <c r="X692" t="e">
        <f>INDEX(script.out!L:L,results.txt!$M692)</f>
        <v>#N/A</v>
      </c>
      <c r="Y692" t="e">
        <f>INDEX(script.out!M:M,results.txt!$M692)</f>
        <v>#N/A</v>
      </c>
      <c r="Z692" t="e">
        <f>INDEX(script.out!N:N,results.txt!$M692)</f>
        <v>#N/A</v>
      </c>
      <c r="AA692" t="e">
        <f>INDEX(script.out!O:O,results.txt!$M692)</f>
        <v>#N/A</v>
      </c>
      <c r="AB692" t="e">
        <f>INDEX(script.out!P:P,results.txt!$M692)</f>
        <v>#N/A</v>
      </c>
      <c r="AC692" t="e">
        <f>INDEX(script.out!Q:Q,results.txt!$M692)</f>
        <v>#N/A</v>
      </c>
      <c r="AD692">
        <f t="shared" si="11"/>
        <v>0</v>
      </c>
    </row>
    <row r="693" spans="13:30" x14ac:dyDescent="0.25">
      <c r="M693" t="e">
        <f>MATCH(C693,script.out!B:B,0)</f>
        <v>#N/A</v>
      </c>
      <c r="N693" t="e">
        <f>INDEX(script.out!B:B,results.txt!$M693)</f>
        <v>#N/A</v>
      </c>
      <c r="O693" t="e">
        <f>INDEX(script.out!C:C,results.txt!$M693)</f>
        <v>#N/A</v>
      </c>
      <c r="P693" t="e">
        <f>INDEX(script.out!D:D,results.txt!$M693)</f>
        <v>#N/A</v>
      </c>
      <c r="Q693" t="e">
        <f>INDEX(script.out!E:E,results.txt!$M693)</f>
        <v>#N/A</v>
      </c>
      <c r="R693" t="e">
        <f>INDEX(script.out!F:F,results.txt!$M693)</f>
        <v>#N/A</v>
      </c>
      <c r="S693" t="e">
        <f>INDEX(script.out!G:G,results.txt!$M693)</f>
        <v>#N/A</v>
      </c>
      <c r="T693" t="e">
        <f>INDEX(script.out!H:H,results.txt!$M693)</f>
        <v>#N/A</v>
      </c>
      <c r="U693" t="e">
        <f>INDEX(script.out!I:I,results.txt!$M693)</f>
        <v>#N/A</v>
      </c>
      <c r="V693" t="e">
        <f>INDEX(script.out!J:J,results.txt!$M693)</f>
        <v>#N/A</v>
      </c>
      <c r="W693" t="e">
        <f>INDEX(script.out!K:K,results.txt!$M693)</f>
        <v>#N/A</v>
      </c>
      <c r="X693" t="e">
        <f>INDEX(script.out!L:L,results.txt!$M693)</f>
        <v>#N/A</v>
      </c>
      <c r="Y693" t="e">
        <f>INDEX(script.out!M:M,results.txt!$M693)</f>
        <v>#N/A</v>
      </c>
      <c r="Z693" t="e">
        <f>INDEX(script.out!N:N,results.txt!$M693)</f>
        <v>#N/A</v>
      </c>
      <c r="AA693" t="e">
        <f>INDEX(script.out!O:O,results.txt!$M693)</f>
        <v>#N/A</v>
      </c>
      <c r="AB693" t="e">
        <f>INDEX(script.out!P:P,results.txt!$M693)</f>
        <v>#N/A</v>
      </c>
      <c r="AC693" t="e">
        <f>INDEX(script.out!Q:Q,results.txt!$M693)</f>
        <v>#N/A</v>
      </c>
      <c r="AD693">
        <f t="shared" si="11"/>
        <v>0</v>
      </c>
    </row>
    <row r="694" spans="13:30" x14ac:dyDescent="0.25">
      <c r="M694" t="e">
        <f>MATCH(C694,script.out!B:B,0)</f>
        <v>#N/A</v>
      </c>
      <c r="N694" t="e">
        <f>INDEX(script.out!B:B,results.txt!$M694)</f>
        <v>#N/A</v>
      </c>
      <c r="O694" t="e">
        <f>INDEX(script.out!C:C,results.txt!$M694)</f>
        <v>#N/A</v>
      </c>
      <c r="P694" t="e">
        <f>INDEX(script.out!D:D,results.txt!$M694)</f>
        <v>#N/A</v>
      </c>
      <c r="Q694" t="e">
        <f>INDEX(script.out!E:E,results.txt!$M694)</f>
        <v>#N/A</v>
      </c>
      <c r="R694" t="e">
        <f>INDEX(script.out!F:F,results.txt!$M694)</f>
        <v>#N/A</v>
      </c>
      <c r="S694" t="e">
        <f>INDEX(script.out!G:G,results.txt!$M694)</f>
        <v>#N/A</v>
      </c>
      <c r="T694" t="e">
        <f>INDEX(script.out!H:H,results.txt!$M694)</f>
        <v>#N/A</v>
      </c>
      <c r="U694" t="e">
        <f>INDEX(script.out!I:I,results.txt!$M694)</f>
        <v>#N/A</v>
      </c>
      <c r="V694" t="e">
        <f>INDEX(script.out!J:J,results.txt!$M694)</f>
        <v>#N/A</v>
      </c>
      <c r="W694" t="e">
        <f>INDEX(script.out!K:K,results.txt!$M694)</f>
        <v>#N/A</v>
      </c>
      <c r="X694" t="e">
        <f>INDEX(script.out!L:L,results.txt!$M694)</f>
        <v>#N/A</v>
      </c>
      <c r="Y694" t="e">
        <f>INDEX(script.out!M:M,results.txt!$M694)</f>
        <v>#N/A</v>
      </c>
      <c r="Z694" t="e">
        <f>INDEX(script.out!N:N,results.txt!$M694)</f>
        <v>#N/A</v>
      </c>
      <c r="AA694" t="e">
        <f>INDEX(script.out!O:O,results.txt!$M694)</f>
        <v>#N/A</v>
      </c>
      <c r="AB694" t="e">
        <f>INDEX(script.out!P:P,results.txt!$M694)</f>
        <v>#N/A</v>
      </c>
      <c r="AC694" t="e">
        <f>INDEX(script.out!Q:Q,results.txt!$M694)</f>
        <v>#N/A</v>
      </c>
      <c r="AD694">
        <f t="shared" si="11"/>
        <v>0</v>
      </c>
    </row>
    <row r="695" spans="13:30" x14ac:dyDescent="0.25">
      <c r="M695" t="e">
        <f>MATCH(C695,script.out!B:B,0)</f>
        <v>#N/A</v>
      </c>
      <c r="N695" t="e">
        <f>INDEX(script.out!B:B,results.txt!$M695)</f>
        <v>#N/A</v>
      </c>
      <c r="O695" t="e">
        <f>INDEX(script.out!C:C,results.txt!$M695)</f>
        <v>#N/A</v>
      </c>
      <c r="P695" t="e">
        <f>INDEX(script.out!D:D,results.txt!$M695)</f>
        <v>#N/A</v>
      </c>
      <c r="Q695" t="e">
        <f>INDEX(script.out!E:E,results.txt!$M695)</f>
        <v>#N/A</v>
      </c>
      <c r="R695" t="e">
        <f>INDEX(script.out!F:F,results.txt!$M695)</f>
        <v>#N/A</v>
      </c>
      <c r="S695" t="e">
        <f>INDEX(script.out!G:G,results.txt!$M695)</f>
        <v>#N/A</v>
      </c>
      <c r="T695" t="e">
        <f>INDEX(script.out!H:H,results.txt!$M695)</f>
        <v>#N/A</v>
      </c>
      <c r="U695" t="e">
        <f>INDEX(script.out!I:I,results.txt!$M695)</f>
        <v>#N/A</v>
      </c>
      <c r="V695" t="e">
        <f>INDEX(script.out!J:J,results.txt!$M695)</f>
        <v>#N/A</v>
      </c>
      <c r="W695" t="e">
        <f>INDEX(script.out!K:K,results.txt!$M695)</f>
        <v>#N/A</v>
      </c>
      <c r="X695" t="e">
        <f>INDEX(script.out!L:L,results.txt!$M695)</f>
        <v>#N/A</v>
      </c>
      <c r="Y695" t="e">
        <f>INDEX(script.out!M:M,results.txt!$M695)</f>
        <v>#N/A</v>
      </c>
      <c r="Z695" t="e">
        <f>INDEX(script.out!N:N,results.txt!$M695)</f>
        <v>#N/A</v>
      </c>
      <c r="AA695" t="e">
        <f>INDEX(script.out!O:O,results.txt!$M695)</f>
        <v>#N/A</v>
      </c>
      <c r="AB695" t="e">
        <f>INDEX(script.out!P:P,results.txt!$M695)</f>
        <v>#N/A</v>
      </c>
      <c r="AC695" t="e">
        <f>INDEX(script.out!Q:Q,results.txt!$M695)</f>
        <v>#N/A</v>
      </c>
      <c r="AD695">
        <f t="shared" si="11"/>
        <v>0</v>
      </c>
    </row>
    <row r="696" spans="13:30" x14ac:dyDescent="0.25">
      <c r="M696" t="e">
        <f>MATCH(C696,script.out!B:B,0)</f>
        <v>#N/A</v>
      </c>
      <c r="N696" t="e">
        <f>INDEX(script.out!B:B,results.txt!$M696)</f>
        <v>#N/A</v>
      </c>
      <c r="O696" t="e">
        <f>INDEX(script.out!C:C,results.txt!$M696)</f>
        <v>#N/A</v>
      </c>
      <c r="P696" t="e">
        <f>INDEX(script.out!D:D,results.txt!$M696)</f>
        <v>#N/A</v>
      </c>
      <c r="Q696" t="e">
        <f>INDEX(script.out!E:E,results.txt!$M696)</f>
        <v>#N/A</v>
      </c>
      <c r="R696" t="e">
        <f>INDEX(script.out!F:F,results.txt!$M696)</f>
        <v>#N/A</v>
      </c>
      <c r="S696" t="e">
        <f>INDEX(script.out!G:G,results.txt!$M696)</f>
        <v>#N/A</v>
      </c>
      <c r="T696" t="e">
        <f>INDEX(script.out!H:H,results.txt!$M696)</f>
        <v>#N/A</v>
      </c>
      <c r="U696" t="e">
        <f>INDEX(script.out!I:I,results.txt!$M696)</f>
        <v>#N/A</v>
      </c>
      <c r="V696" t="e">
        <f>INDEX(script.out!J:J,results.txt!$M696)</f>
        <v>#N/A</v>
      </c>
      <c r="W696" t="e">
        <f>INDEX(script.out!K:K,results.txt!$M696)</f>
        <v>#N/A</v>
      </c>
      <c r="X696" t="e">
        <f>INDEX(script.out!L:L,results.txt!$M696)</f>
        <v>#N/A</v>
      </c>
      <c r="Y696" t="e">
        <f>INDEX(script.out!M:M,results.txt!$M696)</f>
        <v>#N/A</v>
      </c>
      <c r="Z696" t="e">
        <f>INDEX(script.out!N:N,results.txt!$M696)</f>
        <v>#N/A</v>
      </c>
      <c r="AA696" t="e">
        <f>INDEX(script.out!O:O,results.txt!$M696)</f>
        <v>#N/A</v>
      </c>
      <c r="AB696" t="e">
        <f>INDEX(script.out!P:P,results.txt!$M696)</f>
        <v>#N/A</v>
      </c>
      <c r="AC696" t="e">
        <f>INDEX(script.out!Q:Q,results.txt!$M696)</f>
        <v>#N/A</v>
      </c>
      <c r="AD696">
        <f t="shared" si="11"/>
        <v>0</v>
      </c>
    </row>
    <row r="697" spans="13:30" x14ac:dyDescent="0.25">
      <c r="M697" t="e">
        <f>MATCH(C697,script.out!B:B,0)</f>
        <v>#N/A</v>
      </c>
      <c r="N697" t="e">
        <f>INDEX(script.out!B:B,results.txt!$M697)</f>
        <v>#N/A</v>
      </c>
      <c r="O697" t="e">
        <f>INDEX(script.out!C:C,results.txt!$M697)</f>
        <v>#N/A</v>
      </c>
      <c r="P697" t="e">
        <f>INDEX(script.out!D:D,results.txt!$M697)</f>
        <v>#N/A</v>
      </c>
      <c r="Q697" t="e">
        <f>INDEX(script.out!E:E,results.txt!$M697)</f>
        <v>#N/A</v>
      </c>
      <c r="R697" t="e">
        <f>INDEX(script.out!F:F,results.txt!$M697)</f>
        <v>#N/A</v>
      </c>
      <c r="S697" t="e">
        <f>INDEX(script.out!G:G,results.txt!$M697)</f>
        <v>#N/A</v>
      </c>
      <c r="T697" t="e">
        <f>INDEX(script.out!H:H,results.txt!$M697)</f>
        <v>#N/A</v>
      </c>
      <c r="U697" t="e">
        <f>INDEX(script.out!I:I,results.txt!$M697)</f>
        <v>#N/A</v>
      </c>
      <c r="V697" t="e">
        <f>INDEX(script.out!J:J,results.txt!$M697)</f>
        <v>#N/A</v>
      </c>
      <c r="W697" t="e">
        <f>INDEX(script.out!K:K,results.txt!$M697)</f>
        <v>#N/A</v>
      </c>
      <c r="X697" t="e">
        <f>INDEX(script.out!L:L,results.txt!$M697)</f>
        <v>#N/A</v>
      </c>
      <c r="Y697" t="e">
        <f>INDEX(script.out!M:M,results.txt!$M697)</f>
        <v>#N/A</v>
      </c>
      <c r="Z697" t="e">
        <f>INDEX(script.out!N:N,results.txt!$M697)</f>
        <v>#N/A</v>
      </c>
      <c r="AA697" t="e">
        <f>INDEX(script.out!O:O,results.txt!$M697)</f>
        <v>#N/A</v>
      </c>
      <c r="AB697" t="e">
        <f>INDEX(script.out!P:P,results.txt!$M697)</f>
        <v>#N/A</v>
      </c>
      <c r="AC697" t="e">
        <f>INDEX(script.out!Q:Q,results.txt!$M697)</f>
        <v>#N/A</v>
      </c>
      <c r="AD697">
        <f t="shared" si="11"/>
        <v>0</v>
      </c>
    </row>
    <row r="698" spans="13:30" x14ac:dyDescent="0.25">
      <c r="M698" t="e">
        <f>MATCH(C698,script.out!B:B,0)</f>
        <v>#N/A</v>
      </c>
      <c r="N698" t="e">
        <f>INDEX(script.out!B:B,results.txt!$M698)</f>
        <v>#N/A</v>
      </c>
      <c r="O698" t="e">
        <f>INDEX(script.out!C:C,results.txt!$M698)</f>
        <v>#N/A</v>
      </c>
      <c r="P698" t="e">
        <f>INDEX(script.out!D:D,results.txt!$M698)</f>
        <v>#N/A</v>
      </c>
      <c r="Q698" t="e">
        <f>INDEX(script.out!E:E,results.txt!$M698)</f>
        <v>#N/A</v>
      </c>
      <c r="R698" t="e">
        <f>INDEX(script.out!F:F,results.txt!$M698)</f>
        <v>#N/A</v>
      </c>
      <c r="S698" t="e">
        <f>INDEX(script.out!G:G,results.txt!$M698)</f>
        <v>#N/A</v>
      </c>
      <c r="T698" t="e">
        <f>INDEX(script.out!H:H,results.txt!$M698)</f>
        <v>#N/A</v>
      </c>
      <c r="U698" t="e">
        <f>INDEX(script.out!I:I,results.txt!$M698)</f>
        <v>#N/A</v>
      </c>
      <c r="V698" t="e">
        <f>INDEX(script.out!J:J,results.txt!$M698)</f>
        <v>#N/A</v>
      </c>
      <c r="W698" t="e">
        <f>INDEX(script.out!K:K,results.txt!$M698)</f>
        <v>#N/A</v>
      </c>
      <c r="X698" t="e">
        <f>INDEX(script.out!L:L,results.txt!$M698)</f>
        <v>#N/A</v>
      </c>
      <c r="Y698" t="e">
        <f>INDEX(script.out!M:M,results.txt!$M698)</f>
        <v>#N/A</v>
      </c>
      <c r="Z698" t="e">
        <f>INDEX(script.out!N:N,results.txt!$M698)</f>
        <v>#N/A</v>
      </c>
      <c r="AA698" t="e">
        <f>INDEX(script.out!O:O,results.txt!$M698)</f>
        <v>#N/A</v>
      </c>
      <c r="AB698" t="e">
        <f>INDEX(script.out!P:P,results.txt!$M698)</f>
        <v>#N/A</v>
      </c>
      <c r="AC698" t="e">
        <f>INDEX(script.out!Q:Q,results.txt!$M698)</f>
        <v>#N/A</v>
      </c>
      <c r="AD698">
        <f t="shared" si="11"/>
        <v>0</v>
      </c>
    </row>
    <row r="699" spans="13:30" x14ac:dyDescent="0.25">
      <c r="M699" t="e">
        <f>MATCH(C699,script.out!B:B,0)</f>
        <v>#N/A</v>
      </c>
      <c r="N699" t="e">
        <f>INDEX(script.out!B:B,results.txt!$M699)</f>
        <v>#N/A</v>
      </c>
      <c r="O699" t="e">
        <f>INDEX(script.out!C:C,results.txt!$M699)</f>
        <v>#N/A</v>
      </c>
      <c r="P699" t="e">
        <f>INDEX(script.out!D:D,results.txt!$M699)</f>
        <v>#N/A</v>
      </c>
      <c r="Q699" t="e">
        <f>INDEX(script.out!E:E,results.txt!$M699)</f>
        <v>#N/A</v>
      </c>
      <c r="R699" t="e">
        <f>INDEX(script.out!F:F,results.txt!$M699)</f>
        <v>#N/A</v>
      </c>
      <c r="S699" t="e">
        <f>INDEX(script.out!G:G,results.txt!$M699)</f>
        <v>#N/A</v>
      </c>
      <c r="T699" t="e">
        <f>INDEX(script.out!H:H,results.txt!$M699)</f>
        <v>#N/A</v>
      </c>
      <c r="U699" t="e">
        <f>INDEX(script.out!I:I,results.txt!$M699)</f>
        <v>#N/A</v>
      </c>
      <c r="V699" t="e">
        <f>INDEX(script.out!J:J,results.txt!$M699)</f>
        <v>#N/A</v>
      </c>
      <c r="W699" t="e">
        <f>INDEX(script.out!K:K,results.txt!$M699)</f>
        <v>#N/A</v>
      </c>
      <c r="X699" t="e">
        <f>INDEX(script.out!L:L,results.txt!$M699)</f>
        <v>#N/A</v>
      </c>
      <c r="Y699" t="e">
        <f>INDEX(script.out!M:M,results.txt!$M699)</f>
        <v>#N/A</v>
      </c>
      <c r="Z699" t="e">
        <f>INDEX(script.out!N:N,results.txt!$M699)</f>
        <v>#N/A</v>
      </c>
      <c r="AA699" t="e">
        <f>INDEX(script.out!O:O,results.txt!$M699)</f>
        <v>#N/A</v>
      </c>
      <c r="AB699" t="e">
        <f>INDEX(script.out!P:P,results.txt!$M699)</f>
        <v>#N/A</v>
      </c>
      <c r="AC699" t="e">
        <f>INDEX(script.out!Q:Q,results.txt!$M699)</f>
        <v>#N/A</v>
      </c>
      <c r="AD699">
        <f t="shared" si="11"/>
        <v>0</v>
      </c>
    </row>
    <row r="700" spans="13:30" x14ac:dyDescent="0.25">
      <c r="M700" t="e">
        <f>MATCH(C700,script.out!B:B,0)</f>
        <v>#N/A</v>
      </c>
      <c r="N700" t="e">
        <f>INDEX(script.out!B:B,results.txt!$M700)</f>
        <v>#N/A</v>
      </c>
      <c r="O700" t="e">
        <f>INDEX(script.out!C:C,results.txt!$M700)</f>
        <v>#N/A</v>
      </c>
      <c r="P700" t="e">
        <f>INDEX(script.out!D:D,results.txt!$M700)</f>
        <v>#N/A</v>
      </c>
      <c r="Q700" t="e">
        <f>INDEX(script.out!E:E,results.txt!$M700)</f>
        <v>#N/A</v>
      </c>
      <c r="R700" t="e">
        <f>INDEX(script.out!F:F,results.txt!$M700)</f>
        <v>#N/A</v>
      </c>
      <c r="S700" t="e">
        <f>INDEX(script.out!G:G,results.txt!$M700)</f>
        <v>#N/A</v>
      </c>
      <c r="T700" t="e">
        <f>INDEX(script.out!H:H,results.txt!$M700)</f>
        <v>#N/A</v>
      </c>
      <c r="U700" t="e">
        <f>INDEX(script.out!I:I,results.txt!$M700)</f>
        <v>#N/A</v>
      </c>
      <c r="V700" t="e">
        <f>INDEX(script.out!J:J,results.txt!$M700)</f>
        <v>#N/A</v>
      </c>
      <c r="W700" t="e">
        <f>INDEX(script.out!K:K,results.txt!$M700)</f>
        <v>#N/A</v>
      </c>
      <c r="X700" t="e">
        <f>INDEX(script.out!L:L,results.txt!$M700)</f>
        <v>#N/A</v>
      </c>
      <c r="Y700" t="e">
        <f>INDEX(script.out!M:M,results.txt!$M700)</f>
        <v>#N/A</v>
      </c>
      <c r="Z700" t="e">
        <f>INDEX(script.out!N:N,results.txt!$M700)</f>
        <v>#N/A</v>
      </c>
      <c r="AA700" t="e">
        <f>INDEX(script.out!O:O,results.txt!$M700)</f>
        <v>#N/A</v>
      </c>
      <c r="AB700" t="e">
        <f>INDEX(script.out!P:P,results.txt!$M700)</f>
        <v>#N/A</v>
      </c>
      <c r="AC700" t="e">
        <f>INDEX(script.out!Q:Q,results.txt!$M700)</f>
        <v>#N/A</v>
      </c>
      <c r="AD700">
        <f t="shared" si="11"/>
        <v>0</v>
      </c>
    </row>
    <row r="701" spans="13:30" x14ac:dyDescent="0.25">
      <c r="M701" t="e">
        <f>MATCH(C701,script.out!B:B,0)</f>
        <v>#N/A</v>
      </c>
      <c r="N701" t="e">
        <f>INDEX(script.out!B:B,results.txt!$M701)</f>
        <v>#N/A</v>
      </c>
      <c r="O701" t="e">
        <f>INDEX(script.out!C:C,results.txt!$M701)</f>
        <v>#N/A</v>
      </c>
      <c r="P701" t="e">
        <f>INDEX(script.out!D:D,results.txt!$M701)</f>
        <v>#N/A</v>
      </c>
      <c r="Q701" t="e">
        <f>INDEX(script.out!E:E,results.txt!$M701)</f>
        <v>#N/A</v>
      </c>
      <c r="R701" t="e">
        <f>INDEX(script.out!F:F,results.txt!$M701)</f>
        <v>#N/A</v>
      </c>
      <c r="S701" t="e">
        <f>INDEX(script.out!G:G,results.txt!$M701)</f>
        <v>#N/A</v>
      </c>
      <c r="T701" t="e">
        <f>INDEX(script.out!H:H,results.txt!$M701)</f>
        <v>#N/A</v>
      </c>
      <c r="U701" t="e">
        <f>INDEX(script.out!I:I,results.txt!$M701)</f>
        <v>#N/A</v>
      </c>
      <c r="V701" t="e">
        <f>INDEX(script.out!J:J,results.txt!$M701)</f>
        <v>#N/A</v>
      </c>
      <c r="W701" t="e">
        <f>INDEX(script.out!K:K,results.txt!$M701)</f>
        <v>#N/A</v>
      </c>
      <c r="X701" t="e">
        <f>INDEX(script.out!L:L,results.txt!$M701)</f>
        <v>#N/A</v>
      </c>
      <c r="Y701" t="e">
        <f>INDEX(script.out!M:M,results.txt!$M701)</f>
        <v>#N/A</v>
      </c>
      <c r="Z701" t="e">
        <f>INDEX(script.out!N:N,results.txt!$M701)</f>
        <v>#N/A</v>
      </c>
      <c r="AA701" t="e">
        <f>INDEX(script.out!O:O,results.txt!$M701)</f>
        <v>#N/A</v>
      </c>
      <c r="AB701" t="e">
        <f>INDEX(script.out!P:P,results.txt!$M701)</f>
        <v>#N/A</v>
      </c>
      <c r="AC701" t="e">
        <f>INDEX(script.out!Q:Q,results.txt!$M701)</f>
        <v>#N/A</v>
      </c>
      <c r="AD701">
        <f t="shared" si="11"/>
        <v>0</v>
      </c>
    </row>
    <row r="702" spans="13:30" x14ac:dyDescent="0.25">
      <c r="M702" t="e">
        <f>MATCH(C702,script.out!B:B,0)</f>
        <v>#N/A</v>
      </c>
      <c r="N702" t="e">
        <f>INDEX(script.out!B:B,results.txt!$M702)</f>
        <v>#N/A</v>
      </c>
      <c r="O702" t="e">
        <f>INDEX(script.out!C:C,results.txt!$M702)</f>
        <v>#N/A</v>
      </c>
      <c r="P702" t="e">
        <f>INDEX(script.out!D:D,results.txt!$M702)</f>
        <v>#N/A</v>
      </c>
      <c r="Q702" t="e">
        <f>INDEX(script.out!E:E,results.txt!$M702)</f>
        <v>#N/A</v>
      </c>
      <c r="R702" t="e">
        <f>INDEX(script.out!F:F,results.txt!$M702)</f>
        <v>#N/A</v>
      </c>
      <c r="S702" t="e">
        <f>INDEX(script.out!G:G,results.txt!$M702)</f>
        <v>#N/A</v>
      </c>
      <c r="T702" t="e">
        <f>INDEX(script.out!H:H,results.txt!$M702)</f>
        <v>#N/A</v>
      </c>
      <c r="U702" t="e">
        <f>INDEX(script.out!I:I,results.txt!$M702)</f>
        <v>#N/A</v>
      </c>
      <c r="V702" t="e">
        <f>INDEX(script.out!J:J,results.txt!$M702)</f>
        <v>#N/A</v>
      </c>
      <c r="W702" t="e">
        <f>INDEX(script.out!K:K,results.txt!$M702)</f>
        <v>#N/A</v>
      </c>
      <c r="X702" t="e">
        <f>INDEX(script.out!L:L,results.txt!$M702)</f>
        <v>#N/A</v>
      </c>
      <c r="Y702" t="e">
        <f>INDEX(script.out!M:M,results.txt!$M702)</f>
        <v>#N/A</v>
      </c>
      <c r="Z702" t="e">
        <f>INDEX(script.out!N:N,results.txt!$M702)</f>
        <v>#N/A</v>
      </c>
      <c r="AA702" t="e">
        <f>INDEX(script.out!O:O,results.txt!$M702)</f>
        <v>#N/A</v>
      </c>
      <c r="AB702" t="e">
        <f>INDEX(script.out!P:P,results.txt!$M702)</f>
        <v>#N/A</v>
      </c>
      <c r="AC702" t="e">
        <f>INDEX(script.out!Q:Q,results.txt!$M702)</f>
        <v>#N/A</v>
      </c>
      <c r="AD702">
        <f t="shared" si="11"/>
        <v>0</v>
      </c>
    </row>
    <row r="703" spans="13:30" x14ac:dyDescent="0.25">
      <c r="M703" t="e">
        <f>MATCH(C703,script.out!B:B,0)</f>
        <v>#N/A</v>
      </c>
      <c r="N703" t="e">
        <f>INDEX(script.out!B:B,results.txt!$M703)</f>
        <v>#N/A</v>
      </c>
      <c r="O703" t="e">
        <f>INDEX(script.out!C:C,results.txt!$M703)</f>
        <v>#N/A</v>
      </c>
      <c r="P703" t="e">
        <f>INDEX(script.out!D:D,results.txt!$M703)</f>
        <v>#N/A</v>
      </c>
      <c r="Q703" t="e">
        <f>INDEX(script.out!E:E,results.txt!$M703)</f>
        <v>#N/A</v>
      </c>
      <c r="R703" t="e">
        <f>INDEX(script.out!F:F,results.txt!$M703)</f>
        <v>#N/A</v>
      </c>
      <c r="S703" t="e">
        <f>INDEX(script.out!G:G,results.txt!$M703)</f>
        <v>#N/A</v>
      </c>
      <c r="T703" t="e">
        <f>INDEX(script.out!H:H,results.txt!$M703)</f>
        <v>#N/A</v>
      </c>
      <c r="U703" t="e">
        <f>INDEX(script.out!I:I,results.txt!$M703)</f>
        <v>#N/A</v>
      </c>
      <c r="V703" t="e">
        <f>INDEX(script.out!J:J,results.txt!$M703)</f>
        <v>#N/A</v>
      </c>
      <c r="W703" t="e">
        <f>INDEX(script.out!K:K,results.txt!$M703)</f>
        <v>#N/A</v>
      </c>
      <c r="X703" t="e">
        <f>INDEX(script.out!L:L,results.txt!$M703)</f>
        <v>#N/A</v>
      </c>
      <c r="Y703" t="e">
        <f>INDEX(script.out!M:M,results.txt!$M703)</f>
        <v>#N/A</v>
      </c>
      <c r="Z703" t="e">
        <f>INDEX(script.out!N:N,results.txt!$M703)</f>
        <v>#N/A</v>
      </c>
      <c r="AA703" t="e">
        <f>INDEX(script.out!O:O,results.txt!$M703)</f>
        <v>#N/A</v>
      </c>
      <c r="AB703" t="e">
        <f>INDEX(script.out!P:P,results.txt!$M703)</f>
        <v>#N/A</v>
      </c>
      <c r="AC703" t="e">
        <f>INDEX(script.out!Q:Q,results.txt!$M703)</f>
        <v>#N/A</v>
      </c>
      <c r="AD703">
        <f t="shared" si="11"/>
        <v>0</v>
      </c>
    </row>
    <row r="704" spans="13:30" x14ac:dyDescent="0.25">
      <c r="M704" t="e">
        <f>MATCH(C704,script.out!B:B,0)</f>
        <v>#N/A</v>
      </c>
      <c r="N704" t="e">
        <f>INDEX(script.out!B:B,results.txt!$M704)</f>
        <v>#N/A</v>
      </c>
      <c r="O704" t="e">
        <f>INDEX(script.out!C:C,results.txt!$M704)</f>
        <v>#N/A</v>
      </c>
      <c r="P704" t="e">
        <f>INDEX(script.out!D:D,results.txt!$M704)</f>
        <v>#N/A</v>
      </c>
      <c r="Q704" t="e">
        <f>INDEX(script.out!E:E,results.txt!$M704)</f>
        <v>#N/A</v>
      </c>
      <c r="R704" t="e">
        <f>INDEX(script.out!F:F,results.txt!$M704)</f>
        <v>#N/A</v>
      </c>
      <c r="S704" t="e">
        <f>INDEX(script.out!G:G,results.txt!$M704)</f>
        <v>#N/A</v>
      </c>
      <c r="T704" t="e">
        <f>INDEX(script.out!H:H,results.txt!$M704)</f>
        <v>#N/A</v>
      </c>
      <c r="U704" t="e">
        <f>INDEX(script.out!I:I,results.txt!$M704)</f>
        <v>#N/A</v>
      </c>
      <c r="V704" t="e">
        <f>INDEX(script.out!J:J,results.txt!$M704)</f>
        <v>#N/A</v>
      </c>
      <c r="W704" t="e">
        <f>INDEX(script.out!K:K,results.txt!$M704)</f>
        <v>#N/A</v>
      </c>
      <c r="X704" t="e">
        <f>INDEX(script.out!L:L,results.txt!$M704)</f>
        <v>#N/A</v>
      </c>
      <c r="Y704" t="e">
        <f>INDEX(script.out!M:M,results.txt!$M704)</f>
        <v>#N/A</v>
      </c>
      <c r="Z704" t="e">
        <f>INDEX(script.out!N:N,results.txt!$M704)</f>
        <v>#N/A</v>
      </c>
      <c r="AA704" t="e">
        <f>INDEX(script.out!O:O,results.txt!$M704)</f>
        <v>#N/A</v>
      </c>
      <c r="AB704" t="e">
        <f>INDEX(script.out!P:P,results.txt!$M704)</f>
        <v>#N/A</v>
      </c>
      <c r="AC704" t="e">
        <f>INDEX(script.out!Q:Q,results.txt!$M704)</f>
        <v>#N/A</v>
      </c>
      <c r="AD704">
        <f t="shared" si="11"/>
        <v>0</v>
      </c>
    </row>
    <row r="705" spans="13:30" x14ac:dyDescent="0.25">
      <c r="M705" t="e">
        <f>MATCH(C705,script.out!B:B,0)</f>
        <v>#N/A</v>
      </c>
      <c r="N705" t="e">
        <f>INDEX(script.out!B:B,results.txt!$M705)</f>
        <v>#N/A</v>
      </c>
      <c r="O705" t="e">
        <f>INDEX(script.out!C:C,results.txt!$M705)</f>
        <v>#N/A</v>
      </c>
      <c r="P705" t="e">
        <f>INDEX(script.out!D:D,results.txt!$M705)</f>
        <v>#N/A</v>
      </c>
      <c r="Q705" t="e">
        <f>INDEX(script.out!E:E,results.txt!$M705)</f>
        <v>#N/A</v>
      </c>
      <c r="R705" t="e">
        <f>INDEX(script.out!F:F,results.txt!$M705)</f>
        <v>#N/A</v>
      </c>
      <c r="S705" t="e">
        <f>INDEX(script.out!G:G,results.txt!$M705)</f>
        <v>#N/A</v>
      </c>
      <c r="T705" t="e">
        <f>INDEX(script.out!H:H,results.txt!$M705)</f>
        <v>#N/A</v>
      </c>
      <c r="U705" t="e">
        <f>INDEX(script.out!I:I,results.txt!$M705)</f>
        <v>#N/A</v>
      </c>
      <c r="V705" t="e">
        <f>INDEX(script.out!J:J,results.txt!$M705)</f>
        <v>#N/A</v>
      </c>
      <c r="W705" t="e">
        <f>INDEX(script.out!K:K,results.txt!$M705)</f>
        <v>#N/A</v>
      </c>
      <c r="X705" t="e">
        <f>INDEX(script.out!L:L,results.txt!$M705)</f>
        <v>#N/A</v>
      </c>
      <c r="Y705" t="e">
        <f>INDEX(script.out!M:M,results.txt!$M705)</f>
        <v>#N/A</v>
      </c>
      <c r="Z705" t="e">
        <f>INDEX(script.out!N:N,results.txt!$M705)</f>
        <v>#N/A</v>
      </c>
      <c r="AA705" t="e">
        <f>INDEX(script.out!O:O,results.txt!$M705)</f>
        <v>#N/A</v>
      </c>
      <c r="AB705" t="e">
        <f>INDEX(script.out!P:P,results.txt!$M705)</f>
        <v>#N/A</v>
      </c>
      <c r="AC705" t="e">
        <f>INDEX(script.out!Q:Q,results.txt!$M705)</f>
        <v>#N/A</v>
      </c>
      <c r="AD705">
        <f t="shared" si="11"/>
        <v>0</v>
      </c>
    </row>
    <row r="706" spans="13:30" x14ac:dyDescent="0.25">
      <c r="M706" t="e">
        <f>MATCH(C706,script.out!B:B,0)</f>
        <v>#N/A</v>
      </c>
      <c r="N706" t="e">
        <f>INDEX(script.out!B:B,results.txt!$M706)</f>
        <v>#N/A</v>
      </c>
      <c r="O706" t="e">
        <f>INDEX(script.out!C:C,results.txt!$M706)</f>
        <v>#N/A</v>
      </c>
      <c r="P706" t="e">
        <f>INDEX(script.out!D:D,results.txt!$M706)</f>
        <v>#N/A</v>
      </c>
      <c r="Q706" t="e">
        <f>INDEX(script.out!E:E,results.txt!$M706)</f>
        <v>#N/A</v>
      </c>
      <c r="R706" t="e">
        <f>INDEX(script.out!F:F,results.txt!$M706)</f>
        <v>#N/A</v>
      </c>
      <c r="S706" t="e">
        <f>INDEX(script.out!G:G,results.txt!$M706)</f>
        <v>#N/A</v>
      </c>
      <c r="T706" t="e">
        <f>INDEX(script.out!H:H,results.txt!$M706)</f>
        <v>#N/A</v>
      </c>
      <c r="U706" t="e">
        <f>INDEX(script.out!I:I,results.txt!$M706)</f>
        <v>#N/A</v>
      </c>
      <c r="V706" t="e">
        <f>INDEX(script.out!J:J,results.txt!$M706)</f>
        <v>#N/A</v>
      </c>
      <c r="W706" t="e">
        <f>INDEX(script.out!K:K,results.txt!$M706)</f>
        <v>#N/A</v>
      </c>
      <c r="X706" t="e">
        <f>INDEX(script.out!L:L,results.txt!$M706)</f>
        <v>#N/A</v>
      </c>
      <c r="Y706" t="e">
        <f>INDEX(script.out!M:M,results.txt!$M706)</f>
        <v>#N/A</v>
      </c>
      <c r="Z706" t="e">
        <f>INDEX(script.out!N:N,results.txt!$M706)</f>
        <v>#N/A</v>
      </c>
      <c r="AA706" t="e">
        <f>INDEX(script.out!O:O,results.txt!$M706)</f>
        <v>#N/A</v>
      </c>
      <c r="AB706" t="e">
        <f>INDEX(script.out!P:P,results.txt!$M706)</f>
        <v>#N/A</v>
      </c>
      <c r="AC706" t="e">
        <f>INDEX(script.out!Q:Q,results.txt!$M706)</f>
        <v>#N/A</v>
      </c>
      <c r="AD706">
        <f t="shared" si="11"/>
        <v>0</v>
      </c>
    </row>
    <row r="707" spans="13:30" x14ac:dyDescent="0.25">
      <c r="M707" t="e">
        <f>MATCH(C707,script.out!B:B,0)</f>
        <v>#N/A</v>
      </c>
      <c r="N707" t="e">
        <f>INDEX(script.out!B:B,results.txt!$M707)</f>
        <v>#N/A</v>
      </c>
      <c r="O707" t="e">
        <f>INDEX(script.out!C:C,results.txt!$M707)</f>
        <v>#N/A</v>
      </c>
      <c r="P707" t="e">
        <f>INDEX(script.out!D:D,results.txt!$M707)</f>
        <v>#N/A</v>
      </c>
      <c r="Q707" t="e">
        <f>INDEX(script.out!E:E,results.txt!$M707)</f>
        <v>#N/A</v>
      </c>
      <c r="R707" t="e">
        <f>INDEX(script.out!F:F,results.txt!$M707)</f>
        <v>#N/A</v>
      </c>
      <c r="S707" t="e">
        <f>INDEX(script.out!G:G,results.txt!$M707)</f>
        <v>#N/A</v>
      </c>
      <c r="T707" t="e">
        <f>INDEX(script.out!H:H,results.txt!$M707)</f>
        <v>#N/A</v>
      </c>
      <c r="U707" t="e">
        <f>INDEX(script.out!I:I,results.txt!$M707)</f>
        <v>#N/A</v>
      </c>
      <c r="V707" t="e">
        <f>INDEX(script.out!J:J,results.txt!$M707)</f>
        <v>#N/A</v>
      </c>
      <c r="W707" t="e">
        <f>INDEX(script.out!K:K,results.txt!$M707)</f>
        <v>#N/A</v>
      </c>
      <c r="X707" t="e">
        <f>INDEX(script.out!L:L,results.txt!$M707)</f>
        <v>#N/A</v>
      </c>
      <c r="Y707" t="e">
        <f>INDEX(script.out!M:M,results.txt!$M707)</f>
        <v>#N/A</v>
      </c>
      <c r="Z707" t="e">
        <f>INDEX(script.out!N:N,results.txt!$M707)</f>
        <v>#N/A</v>
      </c>
      <c r="AA707" t="e">
        <f>INDEX(script.out!O:O,results.txt!$M707)</f>
        <v>#N/A</v>
      </c>
      <c r="AB707" t="e">
        <f>INDEX(script.out!P:P,results.txt!$M707)</f>
        <v>#N/A</v>
      </c>
      <c r="AC707" t="e">
        <f>INDEX(script.out!Q:Q,results.txt!$M707)</f>
        <v>#N/A</v>
      </c>
      <c r="AD707">
        <f t="shared" si="11"/>
        <v>0</v>
      </c>
    </row>
    <row r="708" spans="13:30" x14ac:dyDescent="0.25">
      <c r="M708" t="e">
        <f>MATCH(C708,script.out!B:B,0)</f>
        <v>#N/A</v>
      </c>
      <c r="N708" t="e">
        <f>INDEX(script.out!B:B,results.txt!$M708)</f>
        <v>#N/A</v>
      </c>
      <c r="O708" t="e">
        <f>INDEX(script.out!C:C,results.txt!$M708)</f>
        <v>#N/A</v>
      </c>
      <c r="P708" t="e">
        <f>INDEX(script.out!D:D,results.txt!$M708)</f>
        <v>#N/A</v>
      </c>
      <c r="Q708" t="e">
        <f>INDEX(script.out!E:E,results.txt!$M708)</f>
        <v>#N/A</v>
      </c>
      <c r="R708" t="e">
        <f>INDEX(script.out!F:F,results.txt!$M708)</f>
        <v>#N/A</v>
      </c>
      <c r="S708" t="e">
        <f>INDEX(script.out!G:G,results.txt!$M708)</f>
        <v>#N/A</v>
      </c>
      <c r="T708" t="e">
        <f>INDEX(script.out!H:H,results.txt!$M708)</f>
        <v>#N/A</v>
      </c>
      <c r="U708" t="e">
        <f>INDEX(script.out!I:I,results.txt!$M708)</f>
        <v>#N/A</v>
      </c>
      <c r="V708" t="e">
        <f>INDEX(script.out!J:J,results.txt!$M708)</f>
        <v>#N/A</v>
      </c>
      <c r="W708" t="e">
        <f>INDEX(script.out!K:K,results.txt!$M708)</f>
        <v>#N/A</v>
      </c>
      <c r="X708" t="e">
        <f>INDEX(script.out!L:L,results.txt!$M708)</f>
        <v>#N/A</v>
      </c>
      <c r="Y708" t="e">
        <f>INDEX(script.out!M:M,results.txt!$M708)</f>
        <v>#N/A</v>
      </c>
      <c r="Z708" t="e">
        <f>INDEX(script.out!N:N,results.txt!$M708)</f>
        <v>#N/A</v>
      </c>
      <c r="AA708" t="e">
        <f>INDEX(script.out!O:O,results.txt!$M708)</f>
        <v>#N/A</v>
      </c>
      <c r="AB708" t="e">
        <f>INDEX(script.out!P:P,results.txt!$M708)</f>
        <v>#N/A</v>
      </c>
      <c r="AC708" t="e">
        <f>INDEX(script.out!Q:Q,results.txt!$M708)</f>
        <v>#N/A</v>
      </c>
      <c r="AD708">
        <f t="shared" si="11"/>
        <v>0</v>
      </c>
    </row>
    <row r="709" spans="13:30" x14ac:dyDescent="0.25">
      <c r="M709" t="e">
        <f>MATCH(C709,script.out!B:B,0)</f>
        <v>#N/A</v>
      </c>
      <c r="N709" t="e">
        <f>INDEX(script.out!B:B,results.txt!$M709)</f>
        <v>#N/A</v>
      </c>
      <c r="O709" t="e">
        <f>INDEX(script.out!C:C,results.txt!$M709)</f>
        <v>#N/A</v>
      </c>
      <c r="P709" t="e">
        <f>INDEX(script.out!D:D,results.txt!$M709)</f>
        <v>#N/A</v>
      </c>
      <c r="Q709" t="e">
        <f>INDEX(script.out!E:E,results.txt!$M709)</f>
        <v>#N/A</v>
      </c>
      <c r="R709" t="e">
        <f>INDEX(script.out!F:F,results.txt!$M709)</f>
        <v>#N/A</v>
      </c>
      <c r="S709" t="e">
        <f>INDEX(script.out!G:G,results.txt!$M709)</f>
        <v>#N/A</v>
      </c>
      <c r="T709" t="e">
        <f>INDEX(script.out!H:H,results.txt!$M709)</f>
        <v>#N/A</v>
      </c>
      <c r="U709" t="e">
        <f>INDEX(script.out!I:I,results.txt!$M709)</f>
        <v>#N/A</v>
      </c>
      <c r="V709" t="e">
        <f>INDEX(script.out!J:J,results.txt!$M709)</f>
        <v>#N/A</v>
      </c>
      <c r="W709" t="e">
        <f>INDEX(script.out!K:K,results.txt!$M709)</f>
        <v>#N/A</v>
      </c>
      <c r="X709" t="e">
        <f>INDEX(script.out!L:L,results.txt!$M709)</f>
        <v>#N/A</v>
      </c>
      <c r="Y709" t="e">
        <f>INDEX(script.out!M:M,results.txt!$M709)</f>
        <v>#N/A</v>
      </c>
      <c r="Z709" t="e">
        <f>INDEX(script.out!N:N,results.txt!$M709)</f>
        <v>#N/A</v>
      </c>
      <c r="AA709" t="e">
        <f>INDEX(script.out!O:O,results.txt!$M709)</f>
        <v>#N/A</v>
      </c>
      <c r="AB709" t="e">
        <f>INDEX(script.out!P:P,results.txt!$M709)</f>
        <v>#N/A</v>
      </c>
      <c r="AC709" t="e">
        <f>INDEX(script.out!Q:Q,results.txt!$M709)</f>
        <v>#N/A</v>
      </c>
      <c r="AD709">
        <f t="shared" si="11"/>
        <v>0</v>
      </c>
    </row>
    <row r="710" spans="13:30" x14ac:dyDescent="0.25">
      <c r="M710" t="e">
        <f>MATCH(C710,script.out!B:B,0)</f>
        <v>#N/A</v>
      </c>
      <c r="N710" t="e">
        <f>INDEX(script.out!B:B,results.txt!$M710)</f>
        <v>#N/A</v>
      </c>
      <c r="O710" t="e">
        <f>INDEX(script.out!C:C,results.txt!$M710)</f>
        <v>#N/A</v>
      </c>
      <c r="P710" t="e">
        <f>INDEX(script.out!D:D,results.txt!$M710)</f>
        <v>#N/A</v>
      </c>
      <c r="Q710" t="e">
        <f>INDEX(script.out!E:E,results.txt!$M710)</f>
        <v>#N/A</v>
      </c>
      <c r="R710" t="e">
        <f>INDEX(script.out!F:F,results.txt!$M710)</f>
        <v>#N/A</v>
      </c>
      <c r="S710" t="e">
        <f>INDEX(script.out!G:G,results.txt!$M710)</f>
        <v>#N/A</v>
      </c>
      <c r="T710" t="e">
        <f>INDEX(script.out!H:H,results.txt!$M710)</f>
        <v>#N/A</v>
      </c>
      <c r="U710" t="e">
        <f>INDEX(script.out!I:I,results.txt!$M710)</f>
        <v>#N/A</v>
      </c>
      <c r="V710" t="e">
        <f>INDEX(script.out!J:J,results.txt!$M710)</f>
        <v>#N/A</v>
      </c>
      <c r="W710" t="e">
        <f>INDEX(script.out!K:K,results.txt!$M710)</f>
        <v>#N/A</v>
      </c>
      <c r="X710" t="e">
        <f>INDEX(script.out!L:L,results.txt!$M710)</f>
        <v>#N/A</v>
      </c>
      <c r="Y710" t="e">
        <f>INDEX(script.out!M:M,results.txt!$M710)</f>
        <v>#N/A</v>
      </c>
      <c r="Z710" t="e">
        <f>INDEX(script.out!N:N,results.txt!$M710)</f>
        <v>#N/A</v>
      </c>
      <c r="AA710" t="e">
        <f>INDEX(script.out!O:O,results.txt!$M710)</f>
        <v>#N/A</v>
      </c>
      <c r="AB710" t="e">
        <f>INDEX(script.out!P:P,results.txt!$M710)</f>
        <v>#N/A</v>
      </c>
      <c r="AC710" t="e">
        <f>INDEX(script.out!Q:Q,results.txt!$M710)</f>
        <v>#N/A</v>
      </c>
      <c r="AD710">
        <f t="shared" si="11"/>
        <v>0</v>
      </c>
    </row>
    <row r="711" spans="13:30" x14ac:dyDescent="0.25">
      <c r="M711" t="e">
        <f>MATCH(C711,script.out!B:B,0)</f>
        <v>#N/A</v>
      </c>
      <c r="N711" t="e">
        <f>INDEX(script.out!B:B,results.txt!$M711)</f>
        <v>#N/A</v>
      </c>
      <c r="O711" t="e">
        <f>INDEX(script.out!C:C,results.txt!$M711)</f>
        <v>#N/A</v>
      </c>
      <c r="P711" t="e">
        <f>INDEX(script.out!D:D,results.txt!$M711)</f>
        <v>#N/A</v>
      </c>
      <c r="Q711" t="e">
        <f>INDEX(script.out!E:E,results.txt!$M711)</f>
        <v>#N/A</v>
      </c>
      <c r="R711" t="e">
        <f>INDEX(script.out!F:F,results.txt!$M711)</f>
        <v>#N/A</v>
      </c>
      <c r="S711" t="e">
        <f>INDEX(script.out!G:G,results.txt!$M711)</f>
        <v>#N/A</v>
      </c>
      <c r="T711" t="e">
        <f>INDEX(script.out!H:H,results.txt!$M711)</f>
        <v>#N/A</v>
      </c>
      <c r="U711" t="e">
        <f>INDEX(script.out!I:I,results.txt!$M711)</f>
        <v>#N/A</v>
      </c>
      <c r="V711" t="e">
        <f>INDEX(script.out!J:J,results.txt!$M711)</f>
        <v>#N/A</v>
      </c>
      <c r="W711" t="e">
        <f>INDEX(script.out!K:K,results.txt!$M711)</f>
        <v>#N/A</v>
      </c>
      <c r="X711" t="e">
        <f>INDEX(script.out!L:L,results.txt!$M711)</f>
        <v>#N/A</v>
      </c>
      <c r="Y711" t="e">
        <f>INDEX(script.out!M:M,results.txt!$M711)</f>
        <v>#N/A</v>
      </c>
      <c r="Z711" t="e">
        <f>INDEX(script.out!N:N,results.txt!$M711)</f>
        <v>#N/A</v>
      </c>
      <c r="AA711" t="e">
        <f>INDEX(script.out!O:O,results.txt!$M711)</f>
        <v>#N/A</v>
      </c>
      <c r="AB711" t="e">
        <f>INDEX(script.out!P:P,results.txt!$M711)</f>
        <v>#N/A</v>
      </c>
      <c r="AC711" t="e">
        <f>INDEX(script.out!Q:Q,results.txt!$M711)</f>
        <v>#N/A</v>
      </c>
      <c r="AD711">
        <f t="shared" si="11"/>
        <v>0</v>
      </c>
    </row>
    <row r="712" spans="13:30" x14ac:dyDescent="0.25">
      <c r="M712" t="e">
        <f>MATCH(C712,script.out!B:B,0)</f>
        <v>#N/A</v>
      </c>
      <c r="N712" t="e">
        <f>INDEX(script.out!B:B,results.txt!$M712)</f>
        <v>#N/A</v>
      </c>
      <c r="O712" t="e">
        <f>INDEX(script.out!C:C,results.txt!$M712)</f>
        <v>#N/A</v>
      </c>
      <c r="P712" t="e">
        <f>INDEX(script.out!D:D,results.txt!$M712)</f>
        <v>#N/A</v>
      </c>
      <c r="Q712" t="e">
        <f>INDEX(script.out!E:E,results.txt!$M712)</f>
        <v>#N/A</v>
      </c>
      <c r="R712" t="e">
        <f>INDEX(script.out!F:F,results.txt!$M712)</f>
        <v>#N/A</v>
      </c>
      <c r="S712" t="e">
        <f>INDEX(script.out!G:G,results.txt!$M712)</f>
        <v>#N/A</v>
      </c>
      <c r="T712" t="e">
        <f>INDEX(script.out!H:H,results.txt!$M712)</f>
        <v>#N/A</v>
      </c>
      <c r="U712" t="e">
        <f>INDEX(script.out!I:I,results.txt!$M712)</f>
        <v>#N/A</v>
      </c>
      <c r="V712" t="e">
        <f>INDEX(script.out!J:J,results.txt!$M712)</f>
        <v>#N/A</v>
      </c>
      <c r="W712" t="e">
        <f>INDEX(script.out!K:K,results.txt!$M712)</f>
        <v>#N/A</v>
      </c>
      <c r="X712" t="e">
        <f>INDEX(script.out!L:L,results.txt!$M712)</f>
        <v>#N/A</v>
      </c>
      <c r="Y712" t="e">
        <f>INDEX(script.out!M:M,results.txt!$M712)</f>
        <v>#N/A</v>
      </c>
      <c r="Z712" t="e">
        <f>INDEX(script.out!N:N,results.txt!$M712)</f>
        <v>#N/A</v>
      </c>
      <c r="AA712" t="e">
        <f>INDEX(script.out!O:O,results.txt!$M712)</f>
        <v>#N/A</v>
      </c>
      <c r="AB712" t="e">
        <f>INDEX(script.out!P:P,results.txt!$M712)</f>
        <v>#N/A</v>
      </c>
      <c r="AC712" t="e">
        <f>INDEX(script.out!Q:Q,results.txt!$M712)</f>
        <v>#N/A</v>
      </c>
      <c r="AD712">
        <f t="shared" si="11"/>
        <v>0</v>
      </c>
    </row>
    <row r="713" spans="13:30" x14ac:dyDescent="0.25">
      <c r="M713" t="e">
        <f>MATCH(C713,script.out!B:B,0)</f>
        <v>#N/A</v>
      </c>
      <c r="N713" t="e">
        <f>INDEX(script.out!B:B,results.txt!$M713)</f>
        <v>#N/A</v>
      </c>
      <c r="O713" t="e">
        <f>INDEX(script.out!C:C,results.txt!$M713)</f>
        <v>#N/A</v>
      </c>
      <c r="P713" t="e">
        <f>INDEX(script.out!D:D,results.txt!$M713)</f>
        <v>#N/A</v>
      </c>
      <c r="Q713" t="e">
        <f>INDEX(script.out!E:E,results.txt!$M713)</f>
        <v>#N/A</v>
      </c>
      <c r="R713" t="e">
        <f>INDEX(script.out!F:F,results.txt!$M713)</f>
        <v>#N/A</v>
      </c>
      <c r="S713" t="e">
        <f>INDEX(script.out!G:G,results.txt!$M713)</f>
        <v>#N/A</v>
      </c>
      <c r="T713" t="e">
        <f>INDEX(script.out!H:H,results.txt!$M713)</f>
        <v>#N/A</v>
      </c>
      <c r="U713" t="e">
        <f>INDEX(script.out!I:I,results.txt!$M713)</f>
        <v>#N/A</v>
      </c>
      <c r="V713" t="e">
        <f>INDEX(script.out!J:J,results.txt!$M713)</f>
        <v>#N/A</v>
      </c>
      <c r="W713" t="e">
        <f>INDEX(script.out!K:K,results.txt!$M713)</f>
        <v>#N/A</v>
      </c>
      <c r="X713" t="e">
        <f>INDEX(script.out!L:L,results.txt!$M713)</f>
        <v>#N/A</v>
      </c>
      <c r="Y713" t="e">
        <f>INDEX(script.out!M:M,results.txt!$M713)</f>
        <v>#N/A</v>
      </c>
      <c r="Z713" t="e">
        <f>INDEX(script.out!N:N,results.txt!$M713)</f>
        <v>#N/A</v>
      </c>
      <c r="AA713" t="e">
        <f>INDEX(script.out!O:O,results.txt!$M713)</f>
        <v>#N/A</v>
      </c>
      <c r="AB713" t="e">
        <f>INDEX(script.out!P:P,results.txt!$M713)</f>
        <v>#N/A</v>
      </c>
      <c r="AC713" t="e">
        <f>INDEX(script.out!Q:Q,results.txt!$M713)</f>
        <v>#N/A</v>
      </c>
      <c r="AD713">
        <f t="shared" si="11"/>
        <v>0</v>
      </c>
    </row>
    <row r="714" spans="13:30" x14ac:dyDescent="0.25">
      <c r="M714" t="e">
        <f>MATCH(C714,script.out!B:B,0)</f>
        <v>#N/A</v>
      </c>
      <c r="N714" t="e">
        <f>INDEX(script.out!B:B,results.txt!$M714)</f>
        <v>#N/A</v>
      </c>
      <c r="O714" t="e">
        <f>INDEX(script.out!C:C,results.txt!$M714)</f>
        <v>#N/A</v>
      </c>
      <c r="P714" t="e">
        <f>INDEX(script.out!D:D,results.txt!$M714)</f>
        <v>#N/A</v>
      </c>
      <c r="Q714" t="e">
        <f>INDEX(script.out!E:E,results.txt!$M714)</f>
        <v>#N/A</v>
      </c>
      <c r="R714" t="e">
        <f>INDEX(script.out!F:F,results.txt!$M714)</f>
        <v>#N/A</v>
      </c>
      <c r="S714" t="e">
        <f>INDEX(script.out!G:G,results.txt!$M714)</f>
        <v>#N/A</v>
      </c>
      <c r="T714" t="e">
        <f>INDEX(script.out!H:H,results.txt!$M714)</f>
        <v>#N/A</v>
      </c>
      <c r="U714" t="e">
        <f>INDEX(script.out!I:I,results.txt!$M714)</f>
        <v>#N/A</v>
      </c>
      <c r="V714" t="e">
        <f>INDEX(script.out!J:J,results.txt!$M714)</f>
        <v>#N/A</v>
      </c>
      <c r="W714" t="e">
        <f>INDEX(script.out!K:K,results.txt!$M714)</f>
        <v>#N/A</v>
      </c>
      <c r="X714" t="e">
        <f>INDEX(script.out!L:L,results.txt!$M714)</f>
        <v>#N/A</v>
      </c>
      <c r="Y714" t="e">
        <f>INDEX(script.out!M:M,results.txt!$M714)</f>
        <v>#N/A</v>
      </c>
      <c r="Z714" t="e">
        <f>INDEX(script.out!N:N,results.txt!$M714)</f>
        <v>#N/A</v>
      </c>
      <c r="AA714" t="e">
        <f>INDEX(script.out!O:O,results.txt!$M714)</f>
        <v>#N/A</v>
      </c>
      <c r="AB714" t="e">
        <f>INDEX(script.out!P:P,results.txt!$M714)</f>
        <v>#N/A</v>
      </c>
      <c r="AC714" t="e">
        <f>INDEX(script.out!Q:Q,results.txt!$M714)</f>
        <v>#N/A</v>
      </c>
      <c r="AD714">
        <f t="shared" si="11"/>
        <v>0</v>
      </c>
    </row>
    <row r="715" spans="13:30" x14ac:dyDescent="0.25">
      <c r="M715" t="e">
        <f>MATCH(C715,script.out!B:B,0)</f>
        <v>#N/A</v>
      </c>
      <c r="N715" t="e">
        <f>INDEX(script.out!B:B,results.txt!$M715)</f>
        <v>#N/A</v>
      </c>
      <c r="O715" t="e">
        <f>INDEX(script.out!C:C,results.txt!$M715)</f>
        <v>#N/A</v>
      </c>
      <c r="P715" t="e">
        <f>INDEX(script.out!D:D,results.txt!$M715)</f>
        <v>#N/A</v>
      </c>
      <c r="Q715" t="e">
        <f>INDEX(script.out!E:E,results.txt!$M715)</f>
        <v>#N/A</v>
      </c>
      <c r="R715" t="e">
        <f>INDEX(script.out!F:F,results.txt!$M715)</f>
        <v>#N/A</v>
      </c>
      <c r="S715" t="e">
        <f>INDEX(script.out!G:G,results.txt!$M715)</f>
        <v>#N/A</v>
      </c>
      <c r="T715" t="e">
        <f>INDEX(script.out!H:H,results.txt!$M715)</f>
        <v>#N/A</v>
      </c>
      <c r="U715" t="e">
        <f>INDEX(script.out!I:I,results.txt!$M715)</f>
        <v>#N/A</v>
      </c>
      <c r="V715" t="e">
        <f>INDEX(script.out!J:J,results.txt!$M715)</f>
        <v>#N/A</v>
      </c>
      <c r="W715" t="e">
        <f>INDEX(script.out!K:K,results.txt!$M715)</f>
        <v>#N/A</v>
      </c>
      <c r="X715" t="e">
        <f>INDEX(script.out!L:L,results.txt!$M715)</f>
        <v>#N/A</v>
      </c>
      <c r="Y715" t="e">
        <f>INDEX(script.out!M:M,results.txt!$M715)</f>
        <v>#N/A</v>
      </c>
      <c r="Z715" t="e">
        <f>INDEX(script.out!N:N,results.txt!$M715)</f>
        <v>#N/A</v>
      </c>
      <c r="AA715" t="e">
        <f>INDEX(script.out!O:O,results.txt!$M715)</f>
        <v>#N/A</v>
      </c>
      <c r="AB715" t="e">
        <f>INDEX(script.out!P:P,results.txt!$M715)</f>
        <v>#N/A</v>
      </c>
      <c r="AC715" t="e">
        <f>INDEX(script.out!Q:Q,results.txt!$M715)</f>
        <v>#N/A</v>
      </c>
      <c r="AD715">
        <f t="shared" si="11"/>
        <v>0</v>
      </c>
    </row>
    <row r="716" spans="13:30" x14ac:dyDescent="0.25">
      <c r="M716" t="e">
        <f>MATCH(C716,script.out!B:B,0)</f>
        <v>#N/A</v>
      </c>
      <c r="N716" t="e">
        <f>INDEX(script.out!B:B,results.txt!$M716)</f>
        <v>#N/A</v>
      </c>
      <c r="O716" t="e">
        <f>INDEX(script.out!C:C,results.txt!$M716)</f>
        <v>#N/A</v>
      </c>
      <c r="P716" t="e">
        <f>INDEX(script.out!D:D,results.txt!$M716)</f>
        <v>#N/A</v>
      </c>
      <c r="Q716" t="e">
        <f>INDEX(script.out!E:E,results.txt!$M716)</f>
        <v>#N/A</v>
      </c>
      <c r="R716" t="e">
        <f>INDEX(script.out!F:F,results.txt!$M716)</f>
        <v>#N/A</v>
      </c>
      <c r="S716" t="e">
        <f>INDEX(script.out!G:G,results.txt!$M716)</f>
        <v>#N/A</v>
      </c>
      <c r="T716" t="e">
        <f>INDEX(script.out!H:H,results.txt!$M716)</f>
        <v>#N/A</v>
      </c>
      <c r="U716" t="e">
        <f>INDEX(script.out!I:I,results.txt!$M716)</f>
        <v>#N/A</v>
      </c>
      <c r="V716" t="e">
        <f>INDEX(script.out!J:J,results.txt!$M716)</f>
        <v>#N/A</v>
      </c>
      <c r="W716" t="e">
        <f>INDEX(script.out!K:K,results.txt!$M716)</f>
        <v>#N/A</v>
      </c>
      <c r="X716" t="e">
        <f>INDEX(script.out!L:L,results.txt!$M716)</f>
        <v>#N/A</v>
      </c>
      <c r="Y716" t="e">
        <f>INDEX(script.out!M:M,results.txt!$M716)</f>
        <v>#N/A</v>
      </c>
      <c r="Z716" t="e">
        <f>INDEX(script.out!N:N,results.txt!$M716)</f>
        <v>#N/A</v>
      </c>
      <c r="AA716" t="e">
        <f>INDEX(script.out!O:O,results.txt!$M716)</f>
        <v>#N/A</v>
      </c>
      <c r="AB716" t="e">
        <f>INDEX(script.out!P:P,results.txt!$M716)</f>
        <v>#N/A</v>
      </c>
      <c r="AC716" t="e">
        <f>INDEX(script.out!Q:Q,results.txt!$M716)</f>
        <v>#N/A</v>
      </c>
      <c r="AD716">
        <f t="shared" si="11"/>
        <v>0</v>
      </c>
    </row>
    <row r="717" spans="13:30" x14ac:dyDescent="0.25">
      <c r="M717" t="e">
        <f>MATCH(C717,script.out!B:B,0)</f>
        <v>#N/A</v>
      </c>
      <c r="N717" t="e">
        <f>INDEX(script.out!B:B,results.txt!$M717)</f>
        <v>#N/A</v>
      </c>
      <c r="O717" t="e">
        <f>INDEX(script.out!C:C,results.txt!$M717)</f>
        <v>#N/A</v>
      </c>
      <c r="P717" t="e">
        <f>INDEX(script.out!D:D,results.txt!$M717)</f>
        <v>#N/A</v>
      </c>
      <c r="Q717" t="e">
        <f>INDEX(script.out!E:E,results.txt!$M717)</f>
        <v>#N/A</v>
      </c>
      <c r="R717" t="e">
        <f>INDEX(script.out!F:F,results.txt!$M717)</f>
        <v>#N/A</v>
      </c>
      <c r="S717" t="e">
        <f>INDEX(script.out!G:G,results.txt!$M717)</f>
        <v>#N/A</v>
      </c>
      <c r="T717" t="e">
        <f>INDEX(script.out!H:H,results.txt!$M717)</f>
        <v>#N/A</v>
      </c>
      <c r="U717" t="e">
        <f>INDEX(script.out!I:I,results.txt!$M717)</f>
        <v>#N/A</v>
      </c>
      <c r="V717" t="e">
        <f>INDEX(script.out!J:J,results.txt!$M717)</f>
        <v>#N/A</v>
      </c>
      <c r="W717" t="e">
        <f>INDEX(script.out!K:K,results.txt!$M717)</f>
        <v>#N/A</v>
      </c>
      <c r="X717" t="e">
        <f>INDEX(script.out!L:L,results.txt!$M717)</f>
        <v>#N/A</v>
      </c>
      <c r="Y717" t="e">
        <f>INDEX(script.out!M:M,results.txt!$M717)</f>
        <v>#N/A</v>
      </c>
      <c r="Z717" t="e">
        <f>INDEX(script.out!N:N,results.txt!$M717)</f>
        <v>#N/A</v>
      </c>
      <c r="AA717" t="e">
        <f>INDEX(script.out!O:O,results.txt!$M717)</f>
        <v>#N/A</v>
      </c>
      <c r="AB717" t="e">
        <f>INDEX(script.out!P:P,results.txt!$M717)</f>
        <v>#N/A</v>
      </c>
      <c r="AC717" t="e">
        <f>INDEX(script.out!Q:Q,results.txt!$M717)</f>
        <v>#N/A</v>
      </c>
      <c r="AD717">
        <f t="shared" si="11"/>
        <v>0</v>
      </c>
    </row>
    <row r="718" spans="13:30" x14ac:dyDescent="0.25">
      <c r="M718" t="e">
        <f>MATCH(C718,script.out!B:B,0)</f>
        <v>#N/A</v>
      </c>
      <c r="N718" t="e">
        <f>INDEX(script.out!B:B,results.txt!$M718)</f>
        <v>#N/A</v>
      </c>
      <c r="O718" t="e">
        <f>INDEX(script.out!C:C,results.txt!$M718)</f>
        <v>#N/A</v>
      </c>
      <c r="P718" t="e">
        <f>INDEX(script.out!D:D,results.txt!$M718)</f>
        <v>#N/A</v>
      </c>
      <c r="Q718" t="e">
        <f>INDEX(script.out!E:E,results.txt!$M718)</f>
        <v>#N/A</v>
      </c>
      <c r="R718" t="e">
        <f>INDEX(script.out!F:F,results.txt!$M718)</f>
        <v>#N/A</v>
      </c>
      <c r="S718" t="e">
        <f>INDEX(script.out!G:G,results.txt!$M718)</f>
        <v>#N/A</v>
      </c>
      <c r="T718" t="e">
        <f>INDEX(script.out!H:H,results.txt!$M718)</f>
        <v>#N/A</v>
      </c>
      <c r="U718" t="e">
        <f>INDEX(script.out!I:I,results.txt!$M718)</f>
        <v>#N/A</v>
      </c>
      <c r="V718" t="e">
        <f>INDEX(script.out!J:J,results.txt!$M718)</f>
        <v>#N/A</v>
      </c>
      <c r="W718" t="e">
        <f>INDEX(script.out!K:K,results.txt!$M718)</f>
        <v>#N/A</v>
      </c>
      <c r="X718" t="e">
        <f>INDEX(script.out!L:L,results.txt!$M718)</f>
        <v>#N/A</v>
      </c>
      <c r="Y718" t="e">
        <f>INDEX(script.out!M:M,results.txt!$M718)</f>
        <v>#N/A</v>
      </c>
      <c r="Z718" t="e">
        <f>INDEX(script.out!N:N,results.txt!$M718)</f>
        <v>#N/A</v>
      </c>
      <c r="AA718" t="e">
        <f>INDEX(script.out!O:O,results.txt!$M718)</f>
        <v>#N/A</v>
      </c>
      <c r="AB718" t="e">
        <f>INDEX(script.out!P:P,results.txt!$M718)</f>
        <v>#N/A</v>
      </c>
      <c r="AC718" t="e">
        <f>INDEX(script.out!Q:Q,results.txt!$M718)</f>
        <v>#N/A</v>
      </c>
      <c r="AD718">
        <f t="shared" si="11"/>
        <v>0</v>
      </c>
    </row>
    <row r="719" spans="13:30" x14ac:dyDescent="0.25">
      <c r="M719" t="e">
        <f>MATCH(C719,script.out!B:B,0)</f>
        <v>#N/A</v>
      </c>
      <c r="N719" t="e">
        <f>INDEX(script.out!B:B,results.txt!$M719)</f>
        <v>#N/A</v>
      </c>
      <c r="O719" t="e">
        <f>INDEX(script.out!C:C,results.txt!$M719)</f>
        <v>#N/A</v>
      </c>
      <c r="P719" t="e">
        <f>INDEX(script.out!D:D,results.txt!$M719)</f>
        <v>#N/A</v>
      </c>
      <c r="Q719" t="e">
        <f>INDEX(script.out!E:E,results.txt!$M719)</f>
        <v>#N/A</v>
      </c>
      <c r="R719" t="e">
        <f>INDEX(script.out!F:F,results.txt!$M719)</f>
        <v>#N/A</v>
      </c>
      <c r="S719" t="e">
        <f>INDEX(script.out!G:G,results.txt!$M719)</f>
        <v>#N/A</v>
      </c>
      <c r="T719" t="e">
        <f>INDEX(script.out!H:H,results.txt!$M719)</f>
        <v>#N/A</v>
      </c>
      <c r="U719" t="e">
        <f>INDEX(script.out!I:I,results.txt!$M719)</f>
        <v>#N/A</v>
      </c>
      <c r="V719" t="e">
        <f>INDEX(script.out!J:J,results.txt!$M719)</f>
        <v>#N/A</v>
      </c>
      <c r="W719" t="e">
        <f>INDEX(script.out!K:K,results.txt!$M719)</f>
        <v>#N/A</v>
      </c>
      <c r="X719" t="e">
        <f>INDEX(script.out!L:L,results.txt!$M719)</f>
        <v>#N/A</v>
      </c>
      <c r="Y719" t="e">
        <f>INDEX(script.out!M:M,results.txt!$M719)</f>
        <v>#N/A</v>
      </c>
      <c r="Z719" t="e">
        <f>INDEX(script.out!N:N,results.txt!$M719)</f>
        <v>#N/A</v>
      </c>
      <c r="AA719" t="e">
        <f>INDEX(script.out!O:O,results.txt!$M719)</f>
        <v>#N/A</v>
      </c>
      <c r="AB719" t="e">
        <f>INDEX(script.out!P:P,results.txt!$M719)</f>
        <v>#N/A</v>
      </c>
      <c r="AC719" t="e">
        <f>INDEX(script.out!Q:Q,results.txt!$M719)</f>
        <v>#N/A</v>
      </c>
      <c r="AD719">
        <f t="shared" si="11"/>
        <v>0</v>
      </c>
    </row>
    <row r="720" spans="13:30" x14ac:dyDescent="0.25">
      <c r="M720" t="e">
        <f>MATCH(C720,script.out!B:B,0)</f>
        <v>#N/A</v>
      </c>
      <c r="N720" t="e">
        <f>INDEX(script.out!B:B,results.txt!$M720)</f>
        <v>#N/A</v>
      </c>
      <c r="O720" t="e">
        <f>INDEX(script.out!C:C,results.txt!$M720)</f>
        <v>#N/A</v>
      </c>
      <c r="P720" t="e">
        <f>INDEX(script.out!D:D,results.txt!$M720)</f>
        <v>#N/A</v>
      </c>
      <c r="Q720" t="e">
        <f>INDEX(script.out!E:E,results.txt!$M720)</f>
        <v>#N/A</v>
      </c>
      <c r="R720" t="e">
        <f>INDEX(script.out!F:F,results.txt!$M720)</f>
        <v>#N/A</v>
      </c>
      <c r="S720" t="e">
        <f>INDEX(script.out!G:G,results.txt!$M720)</f>
        <v>#N/A</v>
      </c>
      <c r="T720" t="e">
        <f>INDEX(script.out!H:H,results.txt!$M720)</f>
        <v>#N/A</v>
      </c>
      <c r="U720" t="e">
        <f>INDEX(script.out!I:I,results.txt!$M720)</f>
        <v>#N/A</v>
      </c>
      <c r="V720" t="e">
        <f>INDEX(script.out!J:J,results.txt!$M720)</f>
        <v>#N/A</v>
      </c>
      <c r="W720" t="e">
        <f>INDEX(script.out!K:K,results.txt!$M720)</f>
        <v>#N/A</v>
      </c>
      <c r="X720" t="e">
        <f>INDEX(script.out!L:L,results.txt!$M720)</f>
        <v>#N/A</v>
      </c>
      <c r="Y720" t="e">
        <f>INDEX(script.out!M:M,results.txt!$M720)</f>
        <v>#N/A</v>
      </c>
      <c r="Z720" t="e">
        <f>INDEX(script.out!N:N,results.txt!$M720)</f>
        <v>#N/A</v>
      </c>
      <c r="AA720" t="e">
        <f>INDEX(script.out!O:O,results.txt!$M720)</f>
        <v>#N/A</v>
      </c>
      <c r="AB720" t="e">
        <f>INDEX(script.out!P:P,results.txt!$M720)</f>
        <v>#N/A</v>
      </c>
      <c r="AC720" t="e">
        <f>INDEX(script.out!Q:Q,results.txt!$M720)</f>
        <v>#N/A</v>
      </c>
      <c r="AD720">
        <f t="shared" si="11"/>
        <v>0</v>
      </c>
    </row>
    <row r="721" spans="13:30" x14ac:dyDescent="0.25">
      <c r="M721" t="e">
        <f>MATCH(C721,script.out!B:B,0)</f>
        <v>#N/A</v>
      </c>
      <c r="N721" t="e">
        <f>INDEX(script.out!B:B,results.txt!$M721)</f>
        <v>#N/A</v>
      </c>
      <c r="O721" t="e">
        <f>INDEX(script.out!C:C,results.txt!$M721)</f>
        <v>#N/A</v>
      </c>
      <c r="P721" t="e">
        <f>INDEX(script.out!D:D,results.txt!$M721)</f>
        <v>#N/A</v>
      </c>
      <c r="Q721" t="e">
        <f>INDEX(script.out!E:E,results.txt!$M721)</f>
        <v>#N/A</v>
      </c>
      <c r="R721" t="e">
        <f>INDEX(script.out!F:F,results.txt!$M721)</f>
        <v>#N/A</v>
      </c>
      <c r="S721" t="e">
        <f>INDEX(script.out!G:G,results.txt!$M721)</f>
        <v>#N/A</v>
      </c>
      <c r="T721" t="e">
        <f>INDEX(script.out!H:H,results.txt!$M721)</f>
        <v>#N/A</v>
      </c>
      <c r="U721" t="e">
        <f>INDEX(script.out!I:I,results.txt!$M721)</f>
        <v>#N/A</v>
      </c>
      <c r="V721" t="e">
        <f>INDEX(script.out!J:J,results.txt!$M721)</f>
        <v>#N/A</v>
      </c>
      <c r="W721" t="e">
        <f>INDEX(script.out!K:K,results.txt!$M721)</f>
        <v>#N/A</v>
      </c>
      <c r="X721" t="e">
        <f>INDEX(script.out!L:L,results.txt!$M721)</f>
        <v>#N/A</v>
      </c>
      <c r="Y721" t="e">
        <f>INDEX(script.out!M:M,results.txt!$M721)</f>
        <v>#N/A</v>
      </c>
      <c r="Z721" t="e">
        <f>INDEX(script.out!N:N,results.txt!$M721)</f>
        <v>#N/A</v>
      </c>
      <c r="AA721" t="e">
        <f>INDEX(script.out!O:O,results.txt!$M721)</f>
        <v>#N/A</v>
      </c>
      <c r="AB721" t="e">
        <f>INDEX(script.out!P:P,results.txt!$M721)</f>
        <v>#N/A</v>
      </c>
      <c r="AC721" t="e">
        <f>INDEX(script.out!Q:Q,results.txt!$M721)</f>
        <v>#N/A</v>
      </c>
      <c r="AD721">
        <f t="shared" si="11"/>
        <v>0</v>
      </c>
    </row>
    <row r="722" spans="13:30" x14ac:dyDescent="0.25">
      <c r="M722" t="e">
        <f>MATCH(C722,script.out!B:B,0)</f>
        <v>#N/A</v>
      </c>
      <c r="N722" t="e">
        <f>INDEX(script.out!B:B,results.txt!$M722)</f>
        <v>#N/A</v>
      </c>
      <c r="O722" t="e">
        <f>INDEX(script.out!C:C,results.txt!$M722)</f>
        <v>#N/A</v>
      </c>
      <c r="P722" t="e">
        <f>INDEX(script.out!D:D,results.txt!$M722)</f>
        <v>#N/A</v>
      </c>
      <c r="Q722" t="e">
        <f>INDEX(script.out!E:E,results.txt!$M722)</f>
        <v>#N/A</v>
      </c>
      <c r="R722" t="e">
        <f>INDEX(script.out!F:F,results.txt!$M722)</f>
        <v>#N/A</v>
      </c>
      <c r="S722" t="e">
        <f>INDEX(script.out!G:G,results.txt!$M722)</f>
        <v>#N/A</v>
      </c>
      <c r="T722" t="e">
        <f>INDEX(script.out!H:H,results.txt!$M722)</f>
        <v>#N/A</v>
      </c>
      <c r="U722" t="e">
        <f>INDEX(script.out!I:I,results.txt!$M722)</f>
        <v>#N/A</v>
      </c>
      <c r="V722" t="e">
        <f>INDEX(script.out!J:J,results.txt!$M722)</f>
        <v>#N/A</v>
      </c>
      <c r="W722" t="e">
        <f>INDEX(script.out!K:K,results.txt!$M722)</f>
        <v>#N/A</v>
      </c>
      <c r="X722" t="e">
        <f>INDEX(script.out!L:L,results.txt!$M722)</f>
        <v>#N/A</v>
      </c>
      <c r="Y722" t="e">
        <f>INDEX(script.out!M:M,results.txt!$M722)</f>
        <v>#N/A</v>
      </c>
      <c r="Z722" t="e">
        <f>INDEX(script.out!N:N,results.txt!$M722)</f>
        <v>#N/A</v>
      </c>
      <c r="AA722" t="e">
        <f>INDEX(script.out!O:O,results.txt!$M722)</f>
        <v>#N/A</v>
      </c>
      <c r="AB722" t="e">
        <f>INDEX(script.out!P:P,results.txt!$M722)</f>
        <v>#N/A</v>
      </c>
      <c r="AC722" t="e">
        <f>INDEX(script.out!Q:Q,results.txt!$M722)</f>
        <v>#N/A</v>
      </c>
      <c r="AD722">
        <f t="shared" si="11"/>
        <v>0</v>
      </c>
    </row>
    <row r="723" spans="13:30" x14ac:dyDescent="0.25">
      <c r="M723" t="e">
        <f>MATCH(C723,script.out!B:B,0)</f>
        <v>#N/A</v>
      </c>
      <c r="N723" t="e">
        <f>INDEX(script.out!B:B,results.txt!$M723)</f>
        <v>#N/A</v>
      </c>
      <c r="O723" t="e">
        <f>INDEX(script.out!C:C,results.txt!$M723)</f>
        <v>#N/A</v>
      </c>
      <c r="P723" t="e">
        <f>INDEX(script.out!D:D,results.txt!$M723)</f>
        <v>#N/A</v>
      </c>
      <c r="Q723" t="e">
        <f>INDEX(script.out!E:E,results.txt!$M723)</f>
        <v>#N/A</v>
      </c>
      <c r="R723" t="e">
        <f>INDEX(script.out!F:F,results.txt!$M723)</f>
        <v>#N/A</v>
      </c>
      <c r="S723" t="e">
        <f>INDEX(script.out!G:G,results.txt!$M723)</f>
        <v>#N/A</v>
      </c>
      <c r="T723" t="e">
        <f>INDEX(script.out!H:H,results.txt!$M723)</f>
        <v>#N/A</v>
      </c>
      <c r="U723" t="e">
        <f>INDEX(script.out!I:I,results.txt!$M723)</f>
        <v>#N/A</v>
      </c>
      <c r="V723" t="e">
        <f>INDEX(script.out!J:J,results.txt!$M723)</f>
        <v>#N/A</v>
      </c>
      <c r="W723" t="e">
        <f>INDEX(script.out!K:K,results.txt!$M723)</f>
        <v>#N/A</v>
      </c>
      <c r="X723" t="e">
        <f>INDEX(script.out!L:L,results.txt!$M723)</f>
        <v>#N/A</v>
      </c>
      <c r="Y723" t="e">
        <f>INDEX(script.out!M:M,results.txt!$M723)</f>
        <v>#N/A</v>
      </c>
      <c r="Z723" t="e">
        <f>INDEX(script.out!N:N,results.txt!$M723)</f>
        <v>#N/A</v>
      </c>
      <c r="AA723" t="e">
        <f>INDEX(script.out!O:O,results.txt!$M723)</f>
        <v>#N/A</v>
      </c>
      <c r="AB723" t="e">
        <f>INDEX(script.out!P:P,results.txt!$M723)</f>
        <v>#N/A</v>
      </c>
      <c r="AC723" t="e">
        <f>INDEX(script.out!Q:Q,results.txt!$M723)</f>
        <v>#N/A</v>
      </c>
      <c r="AD723">
        <f t="shared" si="11"/>
        <v>0</v>
      </c>
    </row>
    <row r="724" spans="13:30" x14ac:dyDescent="0.25">
      <c r="M724" t="e">
        <f>MATCH(C724,script.out!B:B,0)</f>
        <v>#N/A</v>
      </c>
      <c r="N724" t="e">
        <f>INDEX(script.out!B:B,results.txt!$M724)</f>
        <v>#N/A</v>
      </c>
      <c r="O724" t="e">
        <f>INDEX(script.out!C:C,results.txt!$M724)</f>
        <v>#N/A</v>
      </c>
      <c r="P724" t="e">
        <f>INDEX(script.out!D:D,results.txt!$M724)</f>
        <v>#N/A</v>
      </c>
      <c r="Q724" t="e">
        <f>INDEX(script.out!E:E,results.txt!$M724)</f>
        <v>#N/A</v>
      </c>
      <c r="R724" t="e">
        <f>INDEX(script.out!F:F,results.txt!$M724)</f>
        <v>#N/A</v>
      </c>
      <c r="S724" t="e">
        <f>INDEX(script.out!G:G,results.txt!$M724)</f>
        <v>#N/A</v>
      </c>
      <c r="T724" t="e">
        <f>INDEX(script.out!H:H,results.txt!$M724)</f>
        <v>#N/A</v>
      </c>
      <c r="U724" t="e">
        <f>INDEX(script.out!I:I,results.txt!$M724)</f>
        <v>#N/A</v>
      </c>
      <c r="V724" t="e">
        <f>INDEX(script.out!J:J,results.txt!$M724)</f>
        <v>#N/A</v>
      </c>
      <c r="W724" t="e">
        <f>INDEX(script.out!K:K,results.txt!$M724)</f>
        <v>#N/A</v>
      </c>
      <c r="X724" t="e">
        <f>INDEX(script.out!L:L,results.txt!$M724)</f>
        <v>#N/A</v>
      </c>
      <c r="Y724" t="e">
        <f>INDEX(script.out!M:M,results.txt!$M724)</f>
        <v>#N/A</v>
      </c>
      <c r="Z724" t="e">
        <f>INDEX(script.out!N:N,results.txt!$M724)</f>
        <v>#N/A</v>
      </c>
      <c r="AA724" t="e">
        <f>INDEX(script.out!O:O,results.txt!$M724)</f>
        <v>#N/A</v>
      </c>
      <c r="AB724" t="e">
        <f>INDEX(script.out!P:P,results.txt!$M724)</f>
        <v>#N/A</v>
      </c>
      <c r="AC724" t="e">
        <f>INDEX(script.out!Q:Q,results.txt!$M724)</f>
        <v>#N/A</v>
      </c>
      <c r="AD724">
        <f t="shared" si="11"/>
        <v>0</v>
      </c>
    </row>
    <row r="725" spans="13:30" x14ac:dyDescent="0.25">
      <c r="M725" t="e">
        <f>MATCH(C725,script.out!B:B,0)</f>
        <v>#N/A</v>
      </c>
      <c r="N725" t="e">
        <f>INDEX(script.out!B:B,results.txt!$M725)</f>
        <v>#N/A</v>
      </c>
      <c r="O725" t="e">
        <f>INDEX(script.out!C:C,results.txt!$M725)</f>
        <v>#N/A</v>
      </c>
      <c r="P725" t="e">
        <f>INDEX(script.out!D:D,results.txt!$M725)</f>
        <v>#N/A</v>
      </c>
      <c r="Q725" t="e">
        <f>INDEX(script.out!E:E,results.txt!$M725)</f>
        <v>#N/A</v>
      </c>
      <c r="R725" t="e">
        <f>INDEX(script.out!F:F,results.txt!$M725)</f>
        <v>#N/A</v>
      </c>
      <c r="S725" t="e">
        <f>INDEX(script.out!G:G,results.txt!$M725)</f>
        <v>#N/A</v>
      </c>
      <c r="T725" t="e">
        <f>INDEX(script.out!H:H,results.txt!$M725)</f>
        <v>#N/A</v>
      </c>
      <c r="U725" t="e">
        <f>INDEX(script.out!I:I,results.txt!$M725)</f>
        <v>#N/A</v>
      </c>
      <c r="V725" t="e">
        <f>INDEX(script.out!J:J,results.txt!$M725)</f>
        <v>#N/A</v>
      </c>
      <c r="W725" t="e">
        <f>INDEX(script.out!K:K,results.txt!$M725)</f>
        <v>#N/A</v>
      </c>
      <c r="X725" t="e">
        <f>INDEX(script.out!L:L,results.txt!$M725)</f>
        <v>#N/A</v>
      </c>
      <c r="Y725" t="e">
        <f>INDEX(script.out!M:M,results.txt!$M725)</f>
        <v>#N/A</v>
      </c>
      <c r="Z725" t="e">
        <f>INDEX(script.out!N:N,results.txt!$M725)</f>
        <v>#N/A</v>
      </c>
      <c r="AA725" t="e">
        <f>INDEX(script.out!O:O,results.txt!$M725)</f>
        <v>#N/A</v>
      </c>
      <c r="AB725" t="e">
        <f>INDEX(script.out!P:P,results.txt!$M725)</f>
        <v>#N/A</v>
      </c>
      <c r="AC725" t="e">
        <f>INDEX(script.out!Q:Q,results.txt!$M725)</f>
        <v>#N/A</v>
      </c>
      <c r="AD725">
        <f t="shared" si="11"/>
        <v>0</v>
      </c>
    </row>
    <row r="726" spans="13:30" x14ac:dyDescent="0.25">
      <c r="M726" t="e">
        <f>MATCH(C726,script.out!B:B,0)</f>
        <v>#N/A</v>
      </c>
      <c r="N726" t="e">
        <f>INDEX(script.out!B:B,results.txt!$M726)</f>
        <v>#N/A</v>
      </c>
      <c r="O726" t="e">
        <f>INDEX(script.out!C:C,results.txt!$M726)</f>
        <v>#N/A</v>
      </c>
      <c r="P726" t="e">
        <f>INDEX(script.out!D:D,results.txt!$M726)</f>
        <v>#N/A</v>
      </c>
      <c r="Q726" t="e">
        <f>INDEX(script.out!E:E,results.txt!$M726)</f>
        <v>#N/A</v>
      </c>
      <c r="R726" t="e">
        <f>INDEX(script.out!F:F,results.txt!$M726)</f>
        <v>#N/A</v>
      </c>
      <c r="S726" t="e">
        <f>INDEX(script.out!G:G,results.txt!$M726)</f>
        <v>#N/A</v>
      </c>
      <c r="T726" t="e">
        <f>INDEX(script.out!H:H,results.txt!$M726)</f>
        <v>#N/A</v>
      </c>
      <c r="U726" t="e">
        <f>INDEX(script.out!I:I,results.txt!$M726)</f>
        <v>#N/A</v>
      </c>
      <c r="V726" t="e">
        <f>INDEX(script.out!J:J,results.txt!$M726)</f>
        <v>#N/A</v>
      </c>
      <c r="W726" t="e">
        <f>INDEX(script.out!K:K,results.txt!$M726)</f>
        <v>#N/A</v>
      </c>
      <c r="X726" t="e">
        <f>INDEX(script.out!L:L,results.txt!$M726)</f>
        <v>#N/A</v>
      </c>
      <c r="Y726" t="e">
        <f>INDEX(script.out!M:M,results.txt!$M726)</f>
        <v>#N/A</v>
      </c>
      <c r="Z726" t="e">
        <f>INDEX(script.out!N:N,results.txt!$M726)</f>
        <v>#N/A</v>
      </c>
      <c r="AA726" t="e">
        <f>INDEX(script.out!O:O,results.txt!$M726)</f>
        <v>#N/A</v>
      </c>
      <c r="AB726" t="e">
        <f>INDEX(script.out!P:P,results.txt!$M726)</f>
        <v>#N/A</v>
      </c>
      <c r="AC726" t="e">
        <f>INDEX(script.out!Q:Q,results.txt!$M726)</f>
        <v>#N/A</v>
      </c>
      <c r="AD726">
        <f t="shared" si="11"/>
        <v>0</v>
      </c>
    </row>
    <row r="727" spans="13:30" x14ac:dyDescent="0.25">
      <c r="M727" t="e">
        <f>MATCH(C727,script.out!B:B,0)</f>
        <v>#N/A</v>
      </c>
      <c r="N727" t="e">
        <f>INDEX(script.out!B:B,results.txt!$M727)</f>
        <v>#N/A</v>
      </c>
      <c r="O727" t="e">
        <f>INDEX(script.out!C:C,results.txt!$M727)</f>
        <v>#N/A</v>
      </c>
      <c r="P727" t="e">
        <f>INDEX(script.out!D:D,results.txt!$M727)</f>
        <v>#N/A</v>
      </c>
      <c r="Q727" t="e">
        <f>INDEX(script.out!E:E,results.txt!$M727)</f>
        <v>#N/A</v>
      </c>
      <c r="R727" t="e">
        <f>INDEX(script.out!F:F,results.txt!$M727)</f>
        <v>#N/A</v>
      </c>
      <c r="S727" t="e">
        <f>INDEX(script.out!G:G,results.txt!$M727)</f>
        <v>#N/A</v>
      </c>
      <c r="T727" t="e">
        <f>INDEX(script.out!H:H,results.txt!$M727)</f>
        <v>#N/A</v>
      </c>
      <c r="U727" t="e">
        <f>INDEX(script.out!I:I,results.txt!$M727)</f>
        <v>#N/A</v>
      </c>
      <c r="V727" t="e">
        <f>INDEX(script.out!J:J,results.txt!$M727)</f>
        <v>#N/A</v>
      </c>
      <c r="W727" t="e">
        <f>INDEX(script.out!K:K,results.txt!$M727)</f>
        <v>#N/A</v>
      </c>
      <c r="X727" t="e">
        <f>INDEX(script.out!L:L,results.txt!$M727)</f>
        <v>#N/A</v>
      </c>
      <c r="Y727" t="e">
        <f>INDEX(script.out!M:M,results.txt!$M727)</f>
        <v>#N/A</v>
      </c>
      <c r="Z727" t="e">
        <f>INDEX(script.out!N:N,results.txt!$M727)</f>
        <v>#N/A</v>
      </c>
      <c r="AA727" t="e">
        <f>INDEX(script.out!O:O,results.txt!$M727)</f>
        <v>#N/A</v>
      </c>
      <c r="AB727" t="e">
        <f>INDEX(script.out!P:P,results.txt!$M727)</f>
        <v>#N/A</v>
      </c>
      <c r="AC727" t="e">
        <f>INDEX(script.out!Q:Q,results.txt!$M727)</f>
        <v>#N/A</v>
      </c>
      <c r="AD727">
        <f t="shared" si="11"/>
        <v>0</v>
      </c>
    </row>
    <row r="728" spans="13:30" x14ac:dyDescent="0.25">
      <c r="M728" t="e">
        <f>MATCH(C728,script.out!B:B,0)</f>
        <v>#N/A</v>
      </c>
      <c r="N728" t="e">
        <f>INDEX(script.out!B:B,results.txt!$M728)</f>
        <v>#N/A</v>
      </c>
      <c r="O728" t="e">
        <f>INDEX(script.out!C:C,results.txt!$M728)</f>
        <v>#N/A</v>
      </c>
      <c r="P728" t="e">
        <f>INDEX(script.out!D:D,results.txt!$M728)</f>
        <v>#N/A</v>
      </c>
      <c r="Q728" t="e">
        <f>INDEX(script.out!E:E,results.txt!$M728)</f>
        <v>#N/A</v>
      </c>
      <c r="R728" t="e">
        <f>INDEX(script.out!F:F,results.txt!$M728)</f>
        <v>#N/A</v>
      </c>
      <c r="S728" t="e">
        <f>INDEX(script.out!G:G,results.txt!$M728)</f>
        <v>#N/A</v>
      </c>
      <c r="T728" t="e">
        <f>INDEX(script.out!H:H,results.txt!$M728)</f>
        <v>#N/A</v>
      </c>
      <c r="U728" t="e">
        <f>INDEX(script.out!I:I,results.txt!$M728)</f>
        <v>#N/A</v>
      </c>
      <c r="V728" t="e">
        <f>INDEX(script.out!J:J,results.txt!$M728)</f>
        <v>#N/A</v>
      </c>
      <c r="W728" t="e">
        <f>INDEX(script.out!K:K,results.txt!$M728)</f>
        <v>#N/A</v>
      </c>
      <c r="X728" t="e">
        <f>INDEX(script.out!L:L,results.txt!$M728)</f>
        <v>#N/A</v>
      </c>
      <c r="Y728" t="e">
        <f>INDEX(script.out!M:M,results.txt!$M728)</f>
        <v>#N/A</v>
      </c>
      <c r="Z728" t="e">
        <f>INDEX(script.out!N:N,results.txt!$M728)</f>
        <v>#N/A</v>
      </c>
      <c r="AA728" t="e">
        <f>INDEX(script.out!O:O,results.txt!$M728)</f>
        <v>#N/A</v>
      </c>
      <c r="AB728" t="e">
        <f>INDEX(script.out!P:P,results.txt!$M728)</f>
        <v>#N/A</v>
      </c>
      <c r="AC728" t="e">
        <f>INDEX(script.out!Q:Q,results.txt!$M728)</f>
        <v>#N/A</v>
      </c>
      <c r="AD728">
        <f t="shared" si="11"/>
        <v>0</v>
      </c>
    </row>
    <row r="729" spans="13:30" x14ac:dyDescent="0.25">
      <c r="M729" t="e">
        <f>MATCH(C729,script.out!B:B,0)</f>
        <v>#N/A</v>
      </c>
      <c r="N729" t="e">
        <f>INDEX(script.out!B:B,results.txt!$M729)</f>
        <v>#N/A</v>
      </c>
      <c r="O729" t="e">
        <f>INDEX(script.out!C:C,results.txt!$M729)</f>
        <v>#N/A</v>
      </c>
      <c r="P729" t="e">
        <f>INDEX(script.out!D:D,results.txt!$M729)</f>
        <v>#N/A</v>
      </c>
      <c r="Q729" t="e">
        <f>INDEX(script.out!E:E,results.txt!$M729)</f>
        <v>#N/A</v>
      </c>
      <c r="R729" t="e">
        <f>INDEX(script.out!F:F,results.txt!$M729)</f>
        <v>#N/A</v>
      </c>
      <c r="S729" t="e">
        <f>INDEX(script.out!G:G,results.txt!$M729)</f>
        <v>#N/A</v>
      </c>
      <c r="T729" t="e">
        <f>INDEX(script.out!H:H,results.txt!$M729)</f>
        <v>#N/A</v>
      </c>
      <c r="U729" t="e">
        <f>INDEX(script.out!I:I,results.txt!$M729)</f>
        <v>#N/A</v>
      </c>
      <c r="V729" t="e">
        <f>INDEX(script.out!J:J,results.txt!$M729)</f>
        <v>#N/A</v>
      </c>
      <c r="W729" t="e">
        <f>INDEX(script.out!K:K,results.txt!$M729)</f>
        <v>#N/A</v>
      </c>
      <c r="X729" t="e">
        <f>INDEX(script.out!L:L,results.txt!$M729)</f>
        <v>#N/A</v>
      </c>
      <c r="Y729" t="e">
        <f>INDEX(script.out!M:M,results.txt!$M729)</f>
        <v>#N/A</v>
      </c>
      <c r="Z729" t="e">
        <f>INDEX(script.out!N:N,results.txt!$M729)</f>
        <v>#N/A</v>
      </c>
      <c r="AA729" t="e">
        <f>INDEX(script.out!O:O,results.txt!$M729)</f>
        <v>#N/A</v>
      </c>
      <c r="AB729" t="e">
        <f>INDEX(script.out!P:P,results.txt!$M729)</f>
        <v>#N/A</v>
      </c>
      <c r="AC729" t="e">
        <f>INDEX(script.out!Q:Q,results.txt!$M729)</f>
        <v>#N/A</v>
      </c>
      <c r="AD729">
        <f t="shared" si="11"/>
        <v>0</v>
      </c>
    </row>
    <row r="730" spans="13:30" x14ac:dyDescent="0.25">
      <c r="M730" t="e">
        <f>MATCH(C730,script.out!B:B,0)</f>
        <v>#N/A</v>
      </c>
      <c r="N730" t="e">
        <f>INDEX(script.out!B:B,results.txt!$M730)</f>
        <v>#N/A</v>
      </c>
      <c r="O730" t="e">
        <f>INDEX(script.out!C:C,results.txt!$M730)</f>
        <v>#N/A</v>
      </c>
      <c r="P730" t="e">
        <f>INDEX(script.out!D:D,results.txt!$M730)</f>
        <v>#N/A</v>
      </c>
      <c r="Q730" t="e">
        <f>INDEX(script.out!E:E,results.txt!$M730)</f>
        <v>#N/A</v>
      </c>
      <c r="R730" t="e">
        <f>INDEX(script.out!F:F,results.txt!$M730)</f>
        <v>#N/A</v>
      </c>
      <c r="S730" t="e">
        <f>INDEX(script.out!G:G,results.txt!$M730)</f>
        <v>#N/A</v>
      </c>
      <c r="T730" t="e">
        <f>INDEX(script.out!H:H,results.txt!$M730)</f>
        <v>#N/A</v>
      </c>
      <c r="U730" t="e">
        <f>INDEX(script.out!I:I,results.txt!$M730)</f>
        <v>#N/A</v>
      </c>
      <c r="V730" t="e">
        <f>INDEX(script.out!J:J,results.txt!$M730)</f>
        <v>#N/A</v>
      </c>
      <c r="W730" t="e">
        <f>INDEX(script.out!K:K,results.txt!$M730)</f>
        <v>#N/A</v>
      </c>
      <c r="X730" t="e">
        <f>INDEX(script.out!L:L,results.txt!$M730)</f>
        <v>#N/A</v>
      </c>
      <c r="Y730" t="e">
        <f>INDEX(script.out!M:M,results.txt!$M730)</f>
        <v>#N/A</v>
      </c>
      <c r="Z730" t="e">
        <f>INDEX(script.out!N:N,results.txt!$M730)</f>
        <v>#N/A</v>
      </c>
      <c r="AA730" t="e">
        <f>INDEX(script.out!O:O,results.txt!$M730)</f>
        <v>#N/A</v>
      </c>
      <c r="AB730" t="e">
        <f>INDEX(script.out!P:P,results.txt!$M730)</f>
        <v>#N/A</v>
      </c>
      <c r="AC730" t="e">
        <f>INDEX(script.out!Q:Q,results.txt!$M730)</f>
        <v>#N/A</v>
      </c>
      <c r="AD730">
        <f t="shared" si="11"/>
        <v>0</v>
      </c>
    </row>
    <row r="731" spans="13:30" x14ac:dyDescent="0.25">
      <c r="M731" t="e">
        <f>MATCH(C731,script.out!B:B,0)</f>
        <v>#N/A</v>
      </c>
      <c r="N731" t="e">
        <f>INDEX(script.out!B:B,results.txt!$M731)</f>
        <v>#N/A</v>
      </c>
      <c r="O731" t="e">
        <f>INDEX(script.out!C:C,results.txt!$M731)</f>
        <v>#N/A</v>
      </c>
      <c r="P731" t="e">
        <f>INDEX(script.out!D:D,results.txt!$M731)</f>
        <v>#N/A</v>
      </c>
      <c r="Q731" t="e">
        <f>INDEX(script.out!E:E,results.txt!$M731)</f>
        <v>#N/A</v>
      </c>
      <c r="R731" t="e">
        <f>INDEX(script.out!F:F,results.txt!$M731)</f>
        <v>#N/A</v>
      </c>
      <c r="S731" t="e">
        <f>INDEX(script.out!G:G,results.txt!$M731)</f>
        <v>#N/A</v>
      </c>
      <c r="T731" t="e">
        <f>INDEX(script.out!H:H,results.txt!$M731)</f>
        <v>#N/A</v>
      </c>
      <c r="U731" t="e">
        <f>INDEX(script.out!I:I,results.txt!$M731)</f>
        <v>#N/A</v>
      </c>
      <c r="V731" t="e">
        <f>INDEX(script.out!J:J,results.txt!$M731)</f>
        <v>#N/A</v>
      </c>
      <c r="W731" t="e">
        <f>INDEX(script.out!K:K,results.txt!$M731)</f>
        <v>#N/A</v>
      </c>
      <c r="X731" t="e">
        <f>INDEX(script.out!L:L,results.txt!$M731)</f>
        <v>#N/A</v>
      </c>
      <c r="Y731" t="e">
        <f>INDEX(script.out!M:M,results.txt!$M731)</f>
        <v>#N/A</v>
      </c>
      <c r="Z731" t="e">
        <f>INDEX(script.out!N:N,results.txt!$M731)</f>
        <v>#N/A</v>
      </c>
      <c r="AA731" t="e">
        <f>INDEX(script.out!O:O,results.txt!$M731)</f>
        <v>#N/A</v>
      </c>
      <c r="AB731" t="e">
        <f>INDEX(script.out!P:P,results.txt!$M731)</f>
        <v>#N/A</v>
      </c>
      <c r="AC731" t="e">
        <f>INDEX(script.out!Q:Q,results.txt!$M731)</f>
        <v>#N/A</v>
      </c>
      <c r="AD731">
        <f t="shared" si="11"/>
        <v>0</v>
      </c>
    </row>
    <row r="732" spans="13:30" x14ac:dyDescent="0.25">
      <c r="M732" t="e">
        <f>MATCH(C732,script.out!B:B,0)</f>
        <v>#N/A</v>
      </c>
      <c r="N732" t="e">
        <f>INDEX(script.out!B:B,results.txt!$M732)</f>
        <v>#N/A</v>
      </c>
      <c r="O732" t="e">
        <f>INDEX(script.out!C:C,results.txt!$M732)</f>
        <v>#N/A</v>
      </c>
      <c r="P732" t="e">
        <f>INDEX(script.out!D:D,results.txt!$M732)</f>
        <v>#N/A</v>
      </c>
      <c r="Q732" t="e">
        <f>INDEX(script.out!E:E,results.txt!$M732)</f>
        <v>#N/A</v>
      </c>
      <c r="R732" t="e">
        <f>INDEX(script.out!F:F,results.txt!$M732)</f>
        <v>#N/A</v>
      </c>
      <c r="S732" t="e">
        <f>INDEX(script.out!G:G,results.txt!$M732)</f>
        <v>#N/A</v>
      </c>
      <c r="T732" t="e">
        <f>INDEX(script.out!H:H,results.txt!$M732)</f>
        <v>#N/A</v>
      </c>
      <c r="U732" t="e">
        <f>INDEX(script.out!I:I,results.txt!$M732)</f>
        <v>#N/A</v>
      </c>
      <c r="V732" t="e">
        <f>INDEX(script.out!J:J,results.txt!$M732)</f>
        <v>#N/A</v>
      </c>
      <c r="W732" t="e">
        <f>INDEX(script.out!K:K,results.txt!$M732)</f>
        <v>#N/A</v>
      </c>
      <c r="X732" t="e">
        <f>INDEX(script.out!L:L,results.txt!$M732)</f>
        <v>#N/A</v>
      </c>
      <c r="Y732" t="e">
        <f>INDEX(script.out!M:M,results.txt!$M732)</f>
        <v>#N/A</v>
      </c>
      <c r="Z732" t="e">
        <f>INDEX(script.out!N:N,results.txt!$M732)</f>
        <v>#N/A</v>
      </c>
      <c r="AA732" t="e">
        <f>INDEX(script.out!O:O,results.txt!$M732)</f>
        <v>#N/A</v>
      </c>
      <c r="AB732" t="e">
        <f>INDEX(script.out!P:P,results.txt!$M732)</f>
        <v>#N/A</v>
      </c>
      <c r="AC732" t="e">
        <f>INDEX(script.out!Q:Q,results.txt!$M732)</f>
        <v>#N/A</v>
      </c>
      <c r="AD732">
        <f t="shared" si="11"/>
        <v>0</v>
      </c>
    </row>
    <row r="733" spans="13:30" x14ac:dyDescent="0.25">
      <c r="M733" t="e">
        <f>MATCH(C733,script.out!B:B,0)</f>
        <v>#N/A</v>
      </c>
      <c r="N733" t="e">
        <f>INDEX(script.out!B:B,results.txt!$M733)</f>
        <v>#N/A</v>
      </c>
      <c r="O733" t="e">
        <f>INDEX(script.out!C:C,results.txt!$M733)</f>
        <v>#N/A</v>
      </c>
      <c r="P733" t="e">
        <f>INDEX(script.out!D:D,results.txt!$M733)</f>
        <v>#N/A</v>
      </c>
      <c r="Q733" t="e">
        <f>INDEX(script.out!E:E,results.txt!$M733)</f>
        <v>#N/A</v>
      </c>
      <c r="R733" t="e">
        <f>INDEX(script.out!F:F,results.txt!$M733)</f>
        <v>#N/A</v>
      </c>
      <c r="S733" t="e">
        <f>INDEX(script.out!G:G,results.txt!$M733)</f>
        <v>#N/A</v>
      </c>
      <c r="T733" t="e">
        <f>INDEX(script.out!H:H,results.txt!$M733)</f>
        <v>#N/A</v>
      </c>
      <c r="U733" t="e">
        <f>INDEX(script.out!I:I,results.txt!$M733)</f>
        <v>#N/A</v>
      </c>
      <c r="V733" t="e">
        <f>INDEX(script.out!J:J,results.txt!$M733)</f>
        <v>#N/A</v>
      </c>
      <c r="W733" t="e">
        <f>INDEX(script.out!K:K,results.txt!$M733)</f>
        <v>#N/A</v>
      </c>
      <c r="X733" t="e">
        <f>INDEX(script.out!L:L,results.txt!$M733)</f>
        <v>#N/A</v>
      </c>
      <c r="Y733" t="e">
        <f>INDEX(script.out!M:M,results.txt!$M733)</f>
        <v>#N/A</v>
      </c>
      <c r="Z733" t="e">
        <f>INDEX(script.out!N:N,results.txt!$M733)</f>
        <v>#N/A</v>
      </c>
      <c r="AA733" t="e">
        <f>INDEX(script.out!O:O,results.txt!$M733)</f>
        <v>#N/A</v>
      </c>
      <c r="AB733" t="e">
        <f>INDEX(script.out!P:P,results.txt!$M733)</f>
        <v>#N/A</v>
      </c>
      <c r="AC733" t="e">
        <f>INDEX(script.out!Q:Q,results.txt!$M733)</f>
        <v>#N/A</v>
      </c>
      <c r="AD733">
        <f t="shared" si="11"/>
        <v>0</v>
      </c>
    </row>
    <row r="734" spans="13:30" x14ac:dyDescent="0.25">
      <c r="M734" t="e">
        <f>MATCH(C734,script.out!B:B,0)</f>
        <v>#N/A</v>
      </c>
      <c r="N734" t="e">
        <f>INDEX(script.out!B:B,results.txt!$M734)</f>
        <v>#N/A</v>
      </c>
      <c r="O734" t="e">
        <f>INDEX(script.out!C:C,results.txt!$M734)</f>
        <v>#N/A</v>
      </c>
      <c r="P734" t="e">
        <f>INDEX(script.out!D:D,results.txt!$M734)</f>
        <v>#N/A</v>
      </c>
      <c r="Q734" t="e">
        <f>INDEX(script.out!E:E,results.txt!$M734)</f>
        <v>#N/A</v>
      </c>
      <c r="R734" t="e">
        <f>INDEX(script.out!F:F,results.txt!$M734)</f>
        <v>#N/A</v>
      </c>
      <c r="S734" t="e">
        <f>INDEX(script.out!G:G,results.txt!$M734)</f>
        <v>#N/A</v>
      </c>
      <c r="T734" t="e">
        <f>INDEX(script.out!H:H,results.txt!$M734)</f>
        <v>#N/A</v>
      </c>
      <c r="U734" t="e">
        <f>INDEX(script.out!I:I,results.txt!$M734)</f>
        <v>#N/A</v>
      </c>
      <c r="V734" t="e">
        <f>INDEX(script.out!J:J,results.txt!$M734)</f>
        <v>#N/A</v>
      </c>
      <c r="W734" t="e">
        <f>INDEX(script.out!K:K,results.txt!$M734)</f>
        <v>#N/A</v>
      </c>
      <c r="X734" t="e">
        <f>INDEX(script.out!L:L,results.txt!$M734)</f>
        <v>#N/A</v>
      </c>
      <c r="Y734" t="e">
        <f>INDEX(script.out!M:M,results.txt!$M734)</f>
        <v>#N/A</v>
      </c>
      <c r="Z734" t="e">
        <f>INDEX(script.out!N:N,results.txt!$M734)</f>
        <v>#N/A</v>
      </c>
      <c r="AA734" t="e">
        <f>INDEX(script.out!O:O,results.txt!$M734)</f>
        <v>#N/A</v>
      </c>
      <c r="AB734" t="e">
        <f>INDEX(script.out!P:P,results.txt!$M734)</f>
        <v>#N/A</v>
      </c>
      <c r="AC734" t="e">
        <f>INDEX(script.out!Q:Q,results.txt!$M734)</f>
        <v>#N/A</v>
      </c>
      <c r="AD734">
        <f t="shared" si="11"/>
        <v>0</v>
      </c>
    </row>
    <row r="735" spans="13:30" x14ac:dyDescent="0.25">
      <c r="M735" t="e">
        <f>MATCH(C735,script.out!B:B,0)</f>
        <v>#N/A</v>
      </c>
      <c r="N735" t="e">
        <f>INDEX(script.out!B:B,results.txt!$M735)</f>
        <v>#N/A</v>
      </c>
      <c r="O735" t="e">
        <f>INDEX(script.out!C:C,results.txt!$M735)</f>
        <v>#N/A</v>
      </c>
      <c r="P735" t="e">
        <f>INDEX(script.out!D:D,results.txt!$M735)</f>
        <v>#N/A</v>
      </c>
      <c r="Q735" t="e">
        <f>INDEX(script.out!E:E,results.txt!$M735)</f>
        <v>#N/A</v>
      </c>
      <c r="R735" t="e">
        <f>INDEX(script.out!F:F,results.txt!$M735)</f>
        <v>#N/A</v>
      </c>
      <c r="S735" t="e">
        <f>INDEX(script.out!G:G,results.txt!$M735)</f>
        <v>#N/A</v>
      </c>
      <c r="T735" t="e">
        <f>INDEX(script.out!H:H,results.txt!$M735)</f>
        <v>#N/A</v>
      </c>
      <c r="U735" t="e">
        <f>INDEX(script.out!I:I,results.txt!$M735)</f>
        <v>#N/A</v>
      </c>
      <c r="V735" t="e">
        <f>INDEX(script.out!J:J,results.txt!$M735)</f>
        <v>#N/A</v>
      </c>
      <c r="W735" t="e">
        <f>INDEX(script.out!K:K,results.txt!$M735)</f>
        <v>#N/A</v>
      </c>
      <c r="X735" t="e">
        <f>INDEX(script.out!L:L,results.txt!$M735)</f>
        <v>#N/A</v>
      </c>
      <c r="Y735" t="e">
        <f>INDEX(script.out!M:M,results.txt!$M735)</f>
        <v>#N/A</v>
      </c>
      <c r="Z735" t="e">
        <f>INDEX(script.out!N:N,results.txt!$M735)</f>
        <v>#N/A</v>
      </c>
      <c r="AA735" t="e">
        <f>INDEX(script.out!O:O,results.txt!$M735)</f>
        <v>#N/A</v>
      </c>
      <c r="AB735" t="e">
        <f>INDEX(script.out!P:P,results.txt!$M735)</f>
        <v>#N/A</v>
      </c>
      <c r="AC735" t="e">
        <f>INDEX(script.out!Q:Q,results.txt!$M735)</f>
        <v>#N/A</v>
      </c>
      <c r="AD735">
        <f t="shared" si="11"/>
        <v>0</v>
      </c>
    </row>
    <row r="736" spans="13:30" x14ac:dyDescent="0.25">
      <c r="M736" t="e">
        <f>MATCH(C736,script.out!B:B,0)</f>
        <v>#N/A</v>
      </c>
      <c r="N736" t="e">
        <f>INDEX(script.out!B:B,results.txt!$M736)</f>
        <v>#N/A</v>
      </c>
      <c r="O736" t="e">
        <f>INDEX(script.out!C:C,results.txt!$M736)</f>
        <v>#N/A</v>
      </c>
      <c r="P736" t="e">
        <f>INDEX(script.out!D:D,results.txt!$M736)</f>
        <v>#N/A</v>
      </c>
      <c r="Q736" t="e">
        <f>INDEX(script.out!E:E,results.txt!$M736)</f>
        <v>#N/A</v>
      </c>
      <c r="R736" t="e">
        <f>INDEX(script.out!F:F,results.txt!$M736)</f>
        <v>#N/A</v>
      </c>
      <c r="S736" t="e">
        <f>INDEX(script.out!G:G,results.txt!$M736)</f>
        <v>#N/A</v>
      </c>
      <c r="T736" t="e">
        <f>INDEX(script.out!H:H,results.txt!$M736)</f>
        <v>#N/A</v>
      </c>
      <c r="U736" t="e">
        <f>INDEX(script.out!I:I,results.txt!$M736)</f>
        <v>#N/A</v>
      </c>
      <c r="V736" t="e">
        <f>INDEX(script.out!J:J,results.txt!$M736)</f>
        <v>#N/A</v>
      </c>
      <c r="W736" t="e">
        <f>INDEX(script.out!K:K,results.txt!$M736)</f>
        <v>#N/A</v>
      </c>
      <c r="X736" t="e">
        <f>INDEX(script.out!L:L,results.txt!$M736)</f>
        <v>#N/A</v>
      </c>
      <c r="Y736" t="e">
        <f>INDEX(script.out!M:M,results.txt!$M736)</f>
        <v>#N/A</v>
      </c>
      <c r="Z736" t="e">
        <f>INDEX(script.out!N:N,results.txt!$M736)</f>
        <v>#N/A</v>
      </c>
      <c r="AA736" t="e">
        <f>INDEX(script.out!O:O,results.txt!$M736)</f>
        <v>#N/A</v>
      </c>
      <c r="AB736" t="e">
        <f>INDEX(script.out!P:P,results.txt!$M736)</f>
        <v>#N/A</v>
      </c>
      <c r="AC736" t="e">
        <f>INDEX(script.out!Q:Q,results.txt!$M736)</f>
        <v>#N/A</v>
      </c>
      <c r="AD736">
        <f t="shared" si="11"/>
        <v>0</v>
      </c>
    </row>
    <row r="737" spans="13:30" x14ac:dyDescent="0.25">
      <c r="M737" t="e">
        <f>MATCH(C737,script.out!B:B,0)</f>
        <v>#N/A</v>
      </c>
      <c r="N737" t="e">
        <f>INDEX(script.out!B:B,results.txt!$M737)</f>
        <v>#N/A</v>
      </c>
      <c r="O737" t="e">
        <f>INDEX(script.out!C:C,results.txt!$M737)</f>
        <v>#N/A</v>
      </c>
      <c r="P737" t="e">
        <f>INDEX(script.out!D:D,results.txt!$M737)</f>
        <v>#N/A</v>
      </c>
      <c r="Q737" t="e">
        <f>INDEX(script.out!E:E,results.txt!$M737)</f>
        <v>#N/A</v>
      </c>
      <c r="R737" t="e">
        <f>INDEX(script.out!F:F,results.txt!$M737)</f>
        <v>#N/A</v>
      </c>
      <c r="S737" t="e">
        <f>INDEX(script.out!G:G,results.txt!$M737)</f>
        <v>#N/A</v>
      </c>
      <c r="T737" t="e">
        <f>INDEX(script.out!H:H,results.txt!$M737)</f>
        <v>#N/A</v>
      </c>
      <c r="U737" t="e">
        <f>INDEX(script.out!I:I,results.txt!$M737)</f>
        <v>#N/A</v>
      </c>
      <c r="V737" t="e">
        <f>INDEX(script.out!J:J,results.txt!$M737)</f>
        <v>#N/A</v>
      </c>
      <c r="W737" t="e">
        <f>INDEX(script.out!K:K,results.txt!$M737)</f>
        <v>#N/A</v>
      </c>
      <c r="X737" t="e">
        <f>INDEX(script.out!L:L,results.txt!$M737)</f>
        <v>#N/A</v>
      </c>
      <c r="Y737" t="e">
        <f>INDEX(script.out!M:M,results.txt!$M737)</f>
        <v>#N/A</v>
      </c>
      <c r="Z737" t="e">
        <f>INDEX(script.out!N:N,results.txt!$M737)</f>
        <v>#N/A</v>
      </c>
      <c r="AA737" t="e">
        <f>INDEX(script.out!O:O,results.txt!$M737)</f>
        <v>#N/A</v>
      </c>
      <c r="AB737" t="e">
        <f>INDEX(script.out!P:P,results.txt!$M737)</f>
        <v>#N/A</v>
      </c>
      <c r="AC737" t="e">
        <f>INDEX(script.out!Q:Q,results.txt!$M737)</f>
        <v>#N/A</v>
      </c>
      <c r="AD737">
        <f t="shared" si="11"/>
        <v>0</v>
      </c>
    </row>
    <row r="738" spans="13:30" x14ac:dyDescent="0.25">
      <c r="M738" t="e">
        <f>MATCH(C738,script.out!B:B,0)</f>
        <v>#N/A</v>
      </c>
      <c r="N738" t="e">
        <f>INDEX(script.out!B:B,results.txt!$M738)</f>
        <v>#N/A</v>
      </c>
      <c r="O738" t="e">
        <f>INDEX(script.out!C:C,results.txt!$M738)</f>
        <v>#N/A</v>
      </c>
      <c r="P738" t="e">
        <f>INDEX(script.out!D:D,results.txt!$M738)</f>
        <v>#N/A</v>
      </c>
      <c r="Q738" t="e">
        <f>INDEX(script.out!E:E,results.txt!$M738)</f>
        <v>#N/A</v>
      </c>
      <c r="R738" t="e">
        <f>INDEX(script.out!F:F,results.txt!$M738)</f>
        <v>#N/A</v>
      </c>
      <c r="S738" t="e">
        <f>INDEX(script.out!G:G,results.txt!$M738)</f>
        <v>#N/A</v>
      </c>
      <c r="T738" t="e">
        <f>INDEX(script.out!H:H,results.txt!$M738)</f>
        <v>#N/A</v>
      </c>
      <c r="U738" t="e">
        <f>INDEX(script.out!I:I,results.txt!$M738)</f>
        <v>#N/A</v>
      </c>
      <c r="V738" t="e">
        <f>INDEX(script.out!J:J,results.txt!$M738)</f>
        <v>#N/A</v>
      </c>
      <c r="W738" t="e">
        <f>INDEX(script.out!K:K,results.txt!$M738)</f>
        <v>#N/A</v>
      </c>
      <c r="X738" t="e">
        <f>INDEX(script.out!L:L,results.txt!$M738)</f>
        <v>#N/A</v>
      </c>
      <c r="Y738" t="e">
        <f>INDEX(script.out!M:M,results.txt!$M738)</f>
        <v>#N/A</v>
      </c>
      <c r="Z738" t="e">
        <f>INDEX(script.out!N:N,results.txt!$M738)</f>
        <v>#N/A</v>
      </c>
      <c r="AA738" t="e">
        <f>INDEX(script.out!O:O,results.txt!$M738)</f>
        <v>#N/A</v>
      </c>
      <c r="AB738" t="e">
        <f>INDEX(script.out!P:P,results.txt!$M738)</f>
        <v>#N/A</v>
      </c>
      <c r="AC738" t="e">
        <f>INDEX(script.out!Q:Q,results.txt!$M738)</f>
        <v>#N/A</v>
      </c>
      <c r="AD738">
        <f t="shared" si="11"/>
        <v>0</v>
      </c>
    </row>
    <row r="739" spans="13:30" x14ac:dyDescent="0.25">
      <c r="M739" t="e">
        <f>MATCH(C739,script.out!B:B,0)</f>
        <v>#N/A</v>
      </c>
      <c r="N739" t="e">
        <f>INDEX(script.out!B:B,results.txt!$M739)</f>
        <v>#N/A</v>
      </c>
      <c r="O739" t="e">
        <f>INDEX(script.out!C:C,results.txt!$M739)</f>
        <v>#N/A</v>
      </c>
      <c r="P739" t="e">
        <f>INDEX(script.out!D:D,results.txt!$M739)</f>
        <v>#N/A</v>
      </c>
      <c r="Q739" t="e">
        <f>INDEX(script.out!E:E,results.txt!$M739)</f>
        <v>#N/A</v>
      </c>
      <c r="R739" t="e">
        <f>INDEX(script.out!F:F,results.txt!$M739)</f>
        <v>#N/A</v>
      </c>
      <c r="S739" t="e">
        <f>INDEX(script.out!G:G,results.txt!$M739)</f>
        <v>#N/A</v>
      </c>
      <c r="T739" t="e">
        <f>INDEX(script.out!H:H,results.txt!$M739)</f>
        <v>#N/A</v>
      </c>
      <c r="U739" t="e">
        <f>INDEX(script.out!I:I,results.txt!$M739)</f>
        <v>#N/A</v>
      </c>
      <c r="V739" t="e">
        <f>INDEX(script.out!J:J,results.txt!$M739)</f>
        <v>#N/A</v>
      </c>
      <c r="W739" t="e">
        <f>INDEX(script.out!K:K,results.txt!$M739)</f>
        <v>#N/A</v>
      </c>
      <c r="X739" t="e">
        <f>INDEX(script.out!L:L,results.txt!$M739)</f>
        <v>#N/A</v>
      </c>
      <c r="Y739" t="e">
        <f>INDEX(script.out!M:M,results.txt!$M739)</f>
        <v>#N/A</v>
      </c>
      <c r="Z739" t="e">
        <f>INDEX(script.out!N:N,results.txt!$M739)</f>
        <v>#N/A</v>
      </c>
      <c r="AA739" t="e">
        <f>INDEX(script.out!O:O,results.txt!$M739)</f>
        <v>#N/A</v>
      </c>
      <c r="AB739" t="e">
        <f>INDEX(script.out!P:P,results.txt!$M739)</f>
        <v>#N/A</v>
      </c>
      <c r="AC739" t="e">
        <f>INDEX(script.out!Q:Q,results.txt!$M739)</f>
        <v>#N/A</v>
      </c>
      <c r="AD739">
        <f t="shared" si="11"/>
        <v>0</v>
      </c>
    </row>
    <row r="740" spans="13:30" x14ac:dyDescent="0.25">
      <c r="M740" t="e">
        <f>MATCH(C740,script.out!B:B,0)</f>
        <v>#N/A</v>
      </c>
      <c r="N740" t="e">
        <f>INDEX(script.out!B:B,results.txt!$M740)</f>
        <v>#N/A</v>
      </c>
      <c r="O740" t="e">
        <f>INDEX(script.out!C:C,results.txt!$M740)</f>
        <v>#N/A</v>
      </c>
      <c r="P740" t="e">
        <f>INDEX(script.out!D:D,results.txt!$M740)</f>
        <v>#N/A</v>
      </c>
      <c r="Q740" t="e">
        <f>INDEX(script.out!E:E,results.txt!$M740)</f>
        <v>#N/A</v>
      </c>
      <c r="R740" t="e">
        <f>INDEX(script.out!F:F,results.txt!$M740)</f>
        <v>#N/A</v>
      </c>
      <c r="S740" t="e">
        <f>INDEX(script.out!G:G,results.txt!$M740)</f>
        <v>#N/A</v>
      </c>
      <c r="T740" t="e">
        <f>INDEX(script.out!H:H,results.txt!$M740)</f>
        <v>#N/A</v>
      </c>
      <c r="U740" t="e">
        <f>INDEX(script.out!I:I,results.txt!$M740)</f>
        <v>#N/A</v>
      </c>
      <c r="V740" t="e">
        <f>INDEX(script.out!J:J,results.txt!$M740)</f>
        <v>#N/A</v>
      </c>
      <c r="W740" t="e">
        <f>INDEX(script.out!K:K,results.txt!$M740)</f>
        <v>#N/A</v>
      </c>
      <c r="X740" t="e">
        <f>INDEX(script.out!L:L,results.txt!$M740)</f>
        <v>#N/A</v>
      </c>
      <c r="Y740" t="e">
        <f>INDEX(script.out!M:M,results.txt!$M740)</f>
        <v>#N/A</v>
      </c>
      <c r="Z740" t="e">
        <f>INDEX(script.out!N:N,results.txt!$M740)</f>
        <v>#N/A</v>
      </c>
      <c r="AA740" t="e">
        <f>INDEX(script.out!O:O,results.txt!$M740)</f>
        <v>#N/A</v>
      </c>
      <c r="AB740" t="e">
        <f>INDEX(script.out!P:P,results.txt!$M740)</f>
        <v>#N/A</v>
      </c>
      <c r="AC740" t="e">
        <f>INDEX(script.out!Q:Q,results.txt!$M740)</f>
        <v>#N/A</v>
      </c>
      <c r="AD740">
        <f t="shared" si="11"/>
        <v>0</v>
      </c>
    </row>
    <row r="741" spans="13:30" x14ac:dyDescent="0.25">
      <c r="M741" t="e">
        <f>MATCH(C741,script.out!B:B,0)</f>
        <v>#N/A</v>
      </c>
      <c r="N741" t="e">
        <f>INDEX(script.out!B:B,results.txt!$M741)</f>
        <v>#N/A</v>
      </c>
      <c r="O741" t="e">
        <f>INDEX(script.out!C:C,results.txt!$M741)</f>
        <v>#N/A</v>
      </c>
      <c r="P741" t="e">
        <f>INDEX(script.out!D:D,results.txt!$M741)</f>
        <v>#N/A</v>
      </c>
      <c r="Q741" t="e">
        <f>INDEX(script.out!E:E,results.txt!$M741)</f>
        <v>#N/A</v>
      </c>
      <c r="R741" t="e">
        <f>INDEX(script.out!F:F,results.txt!$M741)</f>
        <v>#N/A</v>
      </c>
      <c r="S741" t="e">
        <f>INDEX(script.out!G:G,results.txt!$M741)</f>
        <v>#N/A</v>
      </c>
      <c r="T741" t="e">
        <f>INDEX(script.out!H:H,results.txt!$M741)</f>
        <v>#N/A</v>
      </c>
      <c r="U741" t="e">
        <f>INDEX(script.out!I:I,results.txt!$M741)</f>
        <v>#N/A</v>
      </c>
      <c r="V741" t="e">
        <f>INDEX(script.out!J:J,results.txt!$M741)</f>
        <v>#N/A</v>
      </c>
      <c r="W741" t="e">
        <f>INDEX(script.out!K:K,results.txt!$M741)</f>
        <v>#N/A</v>
      </c>
      <c r="X741" t="e">
        <f>INDEX(script.out!L:L,results.txt!$M741)</f>
        <v>#N/A</v>
      </c>
      <c r="Y741" t="e">
        <f>INDEX(script.out!M:M,results.txt!$M741)</f>
        <v>#N/A</v>
      </c>
      <c r="Z741" t="e">
        <f>INDEX(script.out!N:N,results.txt!$M741)</f>
        <v>#N/A</v>
      </c>
      <c r="AA741" t="e">
        <f>INDEX(script.out!O:O,results.txt!$M741)</f>
        <v>#N/A</v>
      </c>
      <c r="AB741" t="e">
        <f>INDEX(script.out!P:P,results.txt!$M741)</f>
        <v>#N/A</v>
      </c>
      <c r="AC741" t="e">
        <f>INDEX(script.out!Q:Q,results.txt!$M741)</f>
        <v>#N/A</v>
      </c>
      <c r="AD741">
        <f t="shared" si="11"/>
        <v>0</v>
      </c>
    </row>
    <row r="742" spans="13:30" x14ac:dyDescent="0.25">
      <c r="M742" t="e">
        <f>MATCH(C742,script.out!B:B,0)</f>
        <v>#N/A</v>
      </c>
      <c r="N742" t="e">
        <f>INDEX(script.out!B:B,results.txt!$M742)</f>
        <v>#N/A</v>
      </c>
      <c r="O742" t="e">
        <f>INDEX(script.out!C:C,results.txt!$M742)</f>
        <v>#N/A</v>
      </c>
      <c r="P742" t="e">
        <f>INDEX(script.out!D:D,results.txt!$M742)</f>
        <v>#N/A</v>
      </c>
      <c r="Q742" t="e">
        <f>INDEX(script.out!E:E,results.txt!$M742)</f>
        <v>#N/A</v>
      </c>
      <c r="R742" t="e">
        <f>INDEX(script.out!F:F,results.txt!$M742)</f>
        <v>#N/A</v>
      </c>
      <c r="S742" t="e">
        <f>INDEX(script.out!G:G,results.txt!$M742)</f>
        <v>#N/A</v>
      </c>
      <c r="T742" t="e">
        <f>INDEX(script.out!H:H,results.txt!$M742)</f>
        <v>#N/A</v>
      </c>
      <c r="U742" t="e">
        <f>INDEX(script.out!I:I,results.txt!$M742)</f>
        <v>#N/A</v>
      </c>
      <c r="V742" t="e">
        <f>INDEX(script.out!J:J,results.txt!$M742)</f>
        <v>#N/A</v>
      </c>
      <c r="W742" t="e">
        <f>INDEX(script.out!K:K,results.txt!$M742)</f>
        <v>#N/A</v>
      </c>
      <c r="X742" t="e">
        <f>INDEX(script.out!L:L,results.txt!$M742)</f>
        <v>#N/A</v>
      </c>
      <c r="Y742" t="e">
        <f>INDEX(script.out!M:M,results.txt!$M742)</f>
        <v>#N/A</v>
      </c>
      <c r="Z742" t="e">
        <f>INDEX(script.out!N:N,results.txt!$M742)</f>
        <v>#N/A</v>
      </c>
      <c r="AA742" t="e">
        <f>INDEX(script.out!O:O,results.txt!$M742)</f>
        <v>#N/A</v>
      </c>
      <c r="AB742" t="e">
        <f>INDEX(script.out!P:P,results.txt!$M742)</f>
        <v>#N/A</v>
      </c>
      <c r="AC742" t="e">
        <f>INDEX(script.out!Q:Q,results.txt!$M742)</f>
        <v>#N/A</v>
      </c>
      <c r="AD742">
        <f t="shared" si="11"/>
        <v>0</v>
      </c>
    </row>
    <row r="743" spans="13:30" x14ac:dyDescent="0.25">
      <c r="M743" t="e">
        <f>MATCH(C743,script.out!B:B,0)</f>
        <v>#N/A</v>
      </c>
      <c r="N743" t="e">
        <f>INDEX(script.out!B:B,results.txt!$M743)</f>
        <v>#N/A</v>
      </c>
      <c r="O743" t="e">
        <f>INDEX(script.out!C:C,results.txt!$M743)</f>
        <v>#N/A</v>
      </c>
      <c r="P743" t="e">
        <f>INDEX(script.out!D:D,results.txt!$M743)</f>
        <v>#N/A</v>
      </c>
      <c r="Q743" t="e">
        <f>INDEX(script.out!E:E,results.txt!$M743)</f>
        <v>#N/A</v>
      </c>
      <c r="R743" t="e">
        <f>INDEX(script.out!F:F,results.txt!$M743)</f>
        <v>#N/A</v>
      </c>
      <c r="S743" t="e">
        <f>INDEX(script.out!G:G,results.txt!$M743)</f>
        <v>#N/A</v>
      </c>
      <c r="T743" t="e">
        <f>INDEX(script.out!H:H,results.txt!$M743)</f>
        <v>#N/A</v>
      </c>
      <c r="U743" t="e">
        <f>INDEX(script.out!I:I,results.txt!$M743)</f>
        <v>#N/A</v>
      </c>
      <c r="V743" t="e">
        <f>INDEX(script.out!J:J,results.txt!$M743)</f>
        <v>#N/A</v>
      </c>
      <c r="W743" t="e">
        <f>INDEX(script.out!K:K,results.txt!$M743)</f>
        <v>#N/A</v>
      </c>
      <c r="X743" t="e">
        <f>INDEX(script.out!L:L,results.txt!$M743)</f>
        <v>#N/A</v>
      </c>
      <c r="Y743" t="e">
        <f>INDEX(script.out!M:M,results.txt!$M743)</f>
        <v>#N/A</v>
      </c>
      <c r="Z743" t="e">
        <f>INDEX(script.out!N:N,results.txt!$M743)</f>
        <v>#N/A</v>
      </c>
      <c r="AA743" t="e">
        <f>INDEX(script.out!O:O,results.txt!$M743)</f>
        <v>#N/A</v>
      </c>
      <c r="AB743" t="e">
        <f>INDEX(script.out!P:P,results.txt!$M743)</f>
        <v>#N/A</v>
      </c>
      <c r="AC743" t="e">
        <f>INDEX(script.out!Q:Q,results.txt!$M743)</f>
        <v>#N/A</v>
      </c>
      <c r="AD743">
        <f t="shared" si="11"/>
        <v>0</v>
      </c>
    </row>
    <row r="744" spans="13:30" x14ac:dyDescent="0.25">
      <c r="M744" t="e">
        <f>MATCH(C744,script.out!B:B,0)</f>
        <v>#N/A</v>
      </c>
      <c r="N744" t="e">
        <f>INDEX(script.out!B:B,results.txt!$M744)</f>
        <v>#N/A</v>
      </c>
      <c r="O744" t="e">
        <f>INDEX(script.out!C:C,results.txt!$M744)</f>
        <v>#N/A</v>
      </c>
      <c r="P744" t="e">
        <f>INDEX(script.out!D:D,results.txt!$M744)</f>
        <v>#N/A</v>
      </c>
      <c r="Q744" t="e">
        <f>INDEX(script.out!E:E,results.txt!$M744)</f>
        <v>#N/A</v>
      </c>
      <c r="R744" t="e">
        <f>INDEX(script.out!F:F,results.txt!$M744)</f>
        <v>#N/A</v>
      </c>
      <c r="S744" t="e">
        <f>INDEX(script.out!G:G,results.txt!$M744)</f>
        <v>#N/A</v>
      </c>
      <c r="T744" t="e">
        <f>INDEX(script.out!H:H,results.txt!$M744)</f>
        <v>#N/A</v>
      </c>
      <c r="U744" t="e">
        <f>INDEX(script.out!I:I,results.txt!$M744)</f>
        <v>#N/A</v>
      </c>
      <c r="V744" t="e">
        <f>INDEX(script.out!J:J,results.txt!$M744)</f>
        <v>#N/A</v>
      </c>
      <c r="W744" t="e">
        <f>INDEX(script.out!K:K,results.txt!$M744)</f>
        <v>#N/A</v>
      </c>
      <c r="X744" t="e">
        <f>INDEX(script.out!L:L,results.txt!$M744)</f>
        <v>#N/A</v>
      </c>
      <c r="Y744" t="e">
        <f>INDEX(script.out!M:M,results.txt!$M744)</f>
        <v>#N/A</v>
      </c>
      <c r="Z744" t="e">
        <f>INDEX(script.out!N:N,results.txt!$M744)</f>
        <v>#N/A</v>
      </c>
      <c r="AA744" t="e">
        <f>INDEX(script.out!O:O,results.txt!$M744)</f>
        <v>#N/A</v>
      </c>
      <c r="AB744" t="e">
        <f>INDEX(script.out!P:P,results.txt!$M744)</f>
        <v>#N/A</v>
      </c>
      <c r="AC744" t="e">
        <f>INDEX(script.out!Q:Q,results.txt!$M744)</f>
        <v>#N/A</v>
      </c>
      <c r="AD744">
        <f t="shared" si="11"/>
        <v>0</v>
      </c>
    </row>
    <row r="745" spans="13:30" x14ac:dyDescent="0.25">
      <c r="M745" t="e">
        <f>MATCH(C745,script.out!B:B,0)</f>
        <v>#N/A</v>
      </c>
      <c r="N745" t="e">
        <f>INDEX(script.out!B:B,results.txt!$M745)</f>
        <v>#N/A</v>
      </c>
      <c r="O745" t="e">
        <f>INDEX(script.out!C:C,results.txt!$M745)</f>
        <v>#N/A</v>
      </c>
      <c r="P745" t="e">
        <f>INDEX(script.out!D:D,results.txt!$M745)</f>
        <v>#N/A</v>
      </c>
      <c r="Q745" t="e">
        <f>INDEX(script.out!E:E,results.txt!$M745)</f>
        <v>#N/A</v>
      </c>
      <c r="R745" t="e">
        <f>INDEX(script.out!F:F,results.txt!$M745)</f>
        <v>#N/A</v>
      </c>
      <c r="S745" t="e">
        <f>INDEX(script.out!G:G,results.txt!$M745)</f>
        <v>#N/A</v>
      </c>
      <c r="T745" t="e">
        <f>INDEX(script.out!H:H,results.txt!$M745)</f>
        <v>#N/A</v>
      </c>
      <c r="U745" t="e">
        <f>INDEX(script.out!I:I,results.txt!$M745)</f>
        <v>#N/A</v>
      </c>
      <c r="V745" t="e">
        <f>INDEX(script.out!J:J,results.txt!$M745)</f>
        <v>#N/A</v>
      </c>
      <c r="W745" t="e">
        <f>INDEX(script.out!K:K,results.txt!$M745)</f>
        <v>#N/A</v>
      </c>
      <c r="X745" t="e">
        <f>INDEX(script.out!L:L,results.txt!$M745)</f>
        <v>#N/A</v>
      </c>
      <c r="Y745" t="e">
        <f>INDEX(script.out!M:M,results.txt!$M745)</f>
        <v>#N/A</v>
      </c>
      <c r="Z745" t="e">
        <f>INDEX(script.out!N:N,results.txt!$M745)</f>
        <v>#N/A</v>
      </c>
      <c r="AA745" t="e">
        <f>INDEX(script.out!O:O,results.txt!$M745)</f>
        <v>#N/A</v>
      </c>
      <c r="AB745" t="e">
        <f>INDEX(script.out!P:P,results.txt!$M745)</f>
        <v>#N/A</v>
      </c>
      <c r="AC745" t="e">
        <f>INDEX(script.out!Q:Q,results.txt!$M745)</f>
        <v>#N/A</v>
      </c>
      <c r="AD745">
        <f t="shared" si="11"/>
        <v>0</v>
      </c>
    </row>
    <row r="746" spans="13:30" x14ac:dyDescent="0.25">
      <c r="M746" t="e">
        <f>MATCH(C746,script.out!B:B,0)</f>
        <v>#N/A</v>
      </c>
      <c r="N746" t="e">
        <f>INDEX(script.out!B:B,results.txt!$M746)</f>
        <v>#N/A</v>
      </c>
      <c r="O746" t="e">
        <f>INDEX(script.out!C:C,results.txt!$M746)</f>
        <v>#N/A</v>
      </c>
      <c r="P746" t="e">
        <f>INDEX(script.out!D:D,results.txt!$M746)</f>
        <v>#N/A</v>
      </c>
      <c r="Q746" t="e">
        <f>INDEX(script.out!E:E,results.txt!$M746)</f>
        <v>#N/A</v>
      </c>
      <c r="R746" t="e">
        <f>INDEX(script.out!F:F,results.txt!$M746)</f>
        <v>#N/A</v>
      </c>
      <c r="S746" t="e">
        <f>INDEX(script.out!G:G,results.txt!$M746)</f>
        <v>#N/A</v>
      </c>
      <c r="T746" t="e">
        <f>INDEX(script.out!H:H,results.txt!$M746)</f>
        <v>#N/A</v>
      </c>
      <c r="U746" t="e">
        <f>INDEX(script.out!I:I,results.txt!$M746)</f>
        <v>#N/A</v>
      </c>
      <c r="V746" t="e">
        <f>INDEX(script.out!J:J,results.txt!$M746)</f>
        <v>#N/A</v>
      </c>
      <c r="W746" t="e">
        <f>INDEX(script.out!K:K,results.txt!$M746)</f>
        <v>#N/A</v>
      </c>
      <c r="X746" t="e">
        <f>INDEX(script.out!L:L,results.txt!$M746)</f>
        <v>#N/A</v>
      </c>
      <c r="Y746" t="e">
        <f>INDEX(script.out!M:M,results.txt!$M746)</f>
        <v>#N/A</v>
      </c>
      <c r="Z746" t="e">
        <f>INDEX(script.out!N:N,results.txt!$M746)</f>
        <v>#N/A</v>
      </c>
      <c r="AA746" t="e">
        <f>INDEX(script.out!O:O,results.txt!$M746)</f>
        <v>#N/A</v>
      </c>
      <c r="AB746" t="e">
        <f>INDEX(script.out!P:P,results.txt!$M746)</f>
        <v>#N/A</v>
      </c>
      <c r="AC746" t="e">
        <f>INDEX(script.out!Q:Q,results.txt!$M746)</f>
        <v>#N/A</v>
      </c>
      <c r="AD746">
        <f t="shared" si="11"/>
        <v>0</v>
      </c>
    </row>
    <row r="747" spans="13:30" x14ac:dyDescent="0.25">
      <c r="M747" t="e">
        <f>MATCH(C747,script.out!B:B,0)</f>
        <v>#N/A</v>
      </c>
      <c r="N747" t="e">
        <f>INDEX(script.out!B:B,results.txt!$M747)</f>
        <v>#N/A</v>
      </c>
      <c r="O747" t="e">
        <f>INDEX(script.out!C:C,results.txt!$M747)</f>
        <v>#N/A</v>
      </c>
      <c r="P747" t="e">
        <f>INDEX(script.out!D:D,results.txt!$M747)</f>
        <v>#N/A</v>
      </c>
      <c r="Q747" t="e">
        <f>INDEX(script.out!E:E,results.txt!$M747)</f>
        <v>#N/A</v>
      </c>
      <c r="R747" t="e">
        <f>INDEX(script.out!F:F,results.txt!$M747)</f>
        <v>#N/A</v>
      </c>
      <c r="S747" t="e">
        <f>INDEX(script.out!G:G,results.txt!$M747)</f>
        <v>#N/A</v>
      </c>
      <c r="T747" t="e">
        <f>INDEX(script.out!H:H,results.txt!$M747)</f>
        <v>#N/A</v>
      </c>
      <c r="U747" t="e">
        <f>INDEX(script.out!I:I,results.txt!$M747)</f>
        <v>#N/A</v>
      </c>
      <c r="V747" t="e">
        <f>INDEX(script.out!J:J,results.txt!$M747)</f>
        <v>#N/A</v>
      </c>
      <c r="W747" t="e">
        <f>INDEX(script.out!K:K,results.txt!$M747)</f>
        <v>#N/A</v>
      </c>
      <c r="X747" t="e">
        <f>INDEX(script.out!L:L,results.txt!$M747)</f>
        <v>#N/A</v>
      </c>
      <c r="Y747" t="e">
        <f>INDEX(script.out!M:M,results.txt!$M747)</f>
        <v>#N/A</v>
      </c>
      <c r="Z747" t="e">
        <f>INDEX(script.out!N:N,results.txt!$M747)</f>
        <v>#N/A</v>
      </c>
      <c r="AA747" t="e">
        <f>INDEX(script.out!O:O,results.txt!$M747)</f>
        <v>#N/A</v>
      </c>
      <c r="AB747" t="e">
        <f>INDEX(script.out!P:P,results.txt!$M747)</f>
        <v>#N/A</v>
      </c>
      <c r="AC747" t="e">
        <f>INDEX(script.out!Q:Q,results.txt!$M747)</f>
        <v>#N/A</v>
      </c>
      <c r="AD747">
        <f t="shared" ref="AD747:AD810" si="12">IF(A747="all",1)+IF(A747="nonDominatedFront",2)</f>
        <v>0</v>
      </c>
    </row>
    <row r="748" spans="13:30" x14ac:dyDescent="0.25">
      <c r="M748" t="e">
        <f>MATCH(C748,script.out!B:B,0)</f>
        <v>#N/A</v>
      </c>
      <c r="N748" t="e">
        <f>INDEX(script.out!B:B,results.txt!$M748)</f>
        <v>#N/A</v>
      </c>
      <c r="O748" t="e">
        <f>INDEX(script.out!C:C,results.txt!$M748)</f>
        <v>#N/A</v>
      </c>
      <c r="P748" t="e">
        <f>INDEX(script.out!D:D,results.txt!$M748)</f>
        <v>#N/A</v>
      </c>
      <c r="Q748" t="e">
        <f>INDEX(script.out!E:E,results.txt!$M748)</f>
        <v>#N/A</v>
      </c>
      <c r="R748" t="e">
        <f>INDEX(script.out!F:F,results.txt!$M748)</f>
        <v>#N/A</v>
      </c>
      <c r="S748" t="e">
        <f>INDEX(script.out!G:G,results.txt!$M748)</f>
        <v>#N/A</v>
      </c>
      <c r="T748" t="e">
        <f>INDEX(script.out!H:H,results.txt!$M748)</f>
        <v>#N/A</v>
      </c>
      <c r="U748" t="e">
        <f>INDEX(script.out!I:I,results.txt!$M748)</f>
        <v>#N/A</v>
      </c>
      <c r="V748" t="e">
        <f>INDEX(script.out!J:J,results.txt!$M748)</f>
        <v>#N/A</v>
      </c>
      <c r="W748" t="e">
        <f>INDEX(script.out!K:K,results.txt!$M748)</f>
        <v>#N/A</v>
      </c>
      <c r="X748" t="e">
        <f>INDEX(script.out!L:L,results.txt!$M748)</f>
        <v>#N/A</v>
      </c>
      <c r="Y748" t="e">
        <f>INDEX(script.out!M:M,results.txt!$M748)</f>
        <v>#N/A</v>
      </c>
      <c r="Z748" t="e">
        <f>INDEX(script.out!N:N,results.txt!$M748)</f>
        <v>#N/A</v>
      </c>
      <c r="AA748" t="e">
        <f>INDEX(script.out!O:O,results.txt!$M748)</f>
        <v>#N/A</v>
      </c>
      <c r="AB748" t="e">
        <f>INDEX(script.out!P:P,results.txt!$M748)</f>
        <v>#N/A</v>
      </c>
      <c r="AC748" t="e">
        <f>INDEX(script.out!Q:Q,results.txt!$M748)</f>
        <v>#N/A</v>
      </c>
      <c r="AD748">
        <f t="shared" si="12"/>
        <v>0</v>
      </c>
    </row>
    <row r="749" spans="13:30" x14ac:dyDescent="0.25">
      <c r="M749" t="e">
        <f>MATCH(C749,script.out!B:B,0)</f>
        <v>#N/A</v>
      </c>
      <c r="N749" t="e">
        <f>INDEX(script.out!B:B,results.txt!$M749)</f>
        <v>#N/A</v>
      </c>
      <c r="O749" t="e">
        <f>INDEX(script.out!C:C,results.txt!$M749)</f>
        <v>#N/A</v>
      </c>
      <c r="P749" t="e">
        <f>INDEX(script.out!D:D,results.txt!$M749)</f>
        <v>#N/A</v>
      </c>
      <c r="Q749" t="e">
        <f>INDEX(script.out!E:E,results.txt!$M749)</f>
        <v>#N/A</v>
      </c>
      <c r="R749" t="e">
        <f>INDEX(script.out!F:F,results.txt!$M749)</f>
        <v>#N/A</v>
      </c>
      <c r="S749" t="e">
        <f>INDEX(script.out!G:G,results.txt!$M749)</f>
        <v>#N/A</v>
      </c>
      <c r="T749" t="e">
        <f>INDEX(script.out!H:H,results.txt!$M749)</f>
        <v>#N/A</v>
      </c>
      <c r="U749" t="e">
        <f>INDEX(script.out!I:I,results.txt!$M749)</f>
        <v>#N/A</v>
      </c>
      <c r="V749" t="e">
        <f>INDEX(script.out!J:J,results.txt!$M749)</f>
        <v>#N/A</v>
      </c>
      <c r="W749" t="e">
        <f>INDEX(script.out!K:K,results.txt!$M749)</f>
        <v>#N/A</v>
      </c>
      <c r="X749" t="e">
        <f>INDEX(script.out!L:L,results.txt!$M749)</f>
        <v>#N/A</v>
      </c>
      <c r="Y749" t="e">
        <f>INDEX(script.out!M:M,results.txt!$M749)</f>
        <v>#N/A</v>
      </c>
      <c r="Z749" t="e">
        <f>INDEX(script.out!N:N,results.txt!$M749)</f>
        <v>#N/A</v>
      </c>
      <c r="AA749" t="e">
        <f>INDEX(script.out!O:O,results.txt!$M749)</f>
        <v>#N/A</v>
      </c>
      <c r="AB749" t="e">
        <f>INDEX(script.out!P:P,results.txt!$M749)</f>
        <v>#N/A</v>
      </c>
      <c r="AC749" t="e">
        <f>INDEX(script.out!Q:Q,results.txt!$M749)</f>
        <v>#N/A</v>
      </c>
      <c r="AD749">
        <f t="shared" si="12"/>
        <v>0</v>
      </c>
    </row>
    <row r="750" spans="13:30" x14ac:dyDescent="0.25">
      <c r="M750" t="e">
        <f>MATCH(C750,script.out!B:B,0)</f>
        <v>#N/A</v>
      </c>
      <c r="N750" t="e">
        <f>INDEX(script.out!B:B,results.txt!$M750)</f>
        <v>#N/A</v>
      </c>
      <c r="O750" t="e">
        <f>INDEX(script.out!C:C,results.txt!$M750)</f>
        <v>#N/A</v>
      </c>
      <c r="P750" t="e">
        <f>INDEX(script.out!D:D,results.txt!$M750)</f>
        <v>#N/A</v>
      </c>
      <c r="Q750" t="e">
        <f>INDEX(script.out!E:E,results.txt!$M750)</f>
        <v>#N/A</v>
      </c>
      <c r="R750" t="e">
        <f>INDEX(script.out!F:F,results.txt!$M750)</f>
        <v>#N/A</v>
      </c>
      <c r="S750" t="e">
        <f>INDEX(script.out!G:G,results.txt!$M750)</f>
        <v>#N/A</v>
      </c>
      <c r="T750" t="e">
        <f>INDEX(script.out!H:H,results.txt!$M750)</f>
        <v>#N/A</v>
      </c>
      <c r="U750" t="e">
        <f>INDEX(script.out!I:I,results.txt!$M750)</f>
        <v>#N/A</v>
      </c>
      <c r="V750" t="e">
        <f>INDEX(script.out!J:J,results.txt!$M750)</f>
        <v>#N/A</v>
      </c>
      <c r="W750" t="e">
        <f>INDEX(script.out!K:K,results.txt!$M750)</f>
        <v>#N/A</v>
      </c>
      <c r="X750" t="e">
        <f>INDEX(script.out!L:L,results.txt!$M750)</f>
        <v>#N/A</v>
      </c>
      <c r="Y750" t="e">
        <f>INDEX(script.out!M:M,results.txt!$M750)</f>
        <v>#N/A</v>
      </c>
      <c r="Z750" t="e">
        <f>INDEX(script.out!N:N,results.txt!$M750)</f>
        <v>#N/A</v>
      </c>
      <c r="AA750" t="e">
        <f>INDEX(script.out!O:O,results.txt!$M750)</f>
        <v>#N/A</v>
      </c>
      <c r="AB750" t="e">
        <f>INDEX(script.out!P:P,results.txt!$M750)</f>
        <v>#N/A</v>
      </c>
      <c r="AC750" t="e">
        <f>INDEX(script.out!Q:Q,results.txt!$M750)</f>
        <v>#N/A</v>
      </c>
      <c r="AD750">
        <f t="shared" si="12"/>
        <v>0</v>
      </c>
    </row>
    <row r="751" spans="13:30" x14ac:dyDescent="0.25">
      <c r="M751" t="e">
        <f>MATCH(C751,script.out!B:B,0)</f>
        <v>#N/A</v>
      </c>
      <c r="N751" t="e">
        <f>INDEX(script.out!B:B,results.txt!$M751)</f>
        <v>#N/A</v>
      </c>
      <c r="O751" t="e">
        <f>INDEX(script.out!C:C,results.txt!$M751)</f>
        <v>#N/A</v>
      </c>
      <c r="P751" t="e">
        <f>INDEX(script.out!D:D,results.txt!$M751)</f>
        <v>#N/A</v>
      </c>
      <c r="Q751" t="e">
        <f>INDEX(script.out!E:E,results.txt!$M751)</f>
        <v>#N/A</v>
      </c>
      <c r="R751" t="e">
        <f>INDEX(script.out!F:F,results.txt!$M751)</f>
        <v>#N/A</v>
      </c>
      <c r="S751" t="e">
        <f>INDEX(script.out!G:G,results.txt!$M751)</f>
        <v>#N/A</v>
      </c>
      <c r="T751" t="e">
        <f>INDEX(script.out!H:H,results.txt!$M751)</f>
        <v>#N/A</v>
      </c>
      <c r="U751" t="e">
        <f>INDEX(script.out!I:I,results.txt!$M751)</f>
        <v>#N/A</v>
      </c>
      <c r="V751" t="e">
        <f>INDEX(script.out!J:J,results.txt!$M751)</f>
        <v>#N/A</v>
      </c>
      <c r="W751" t="e">
        <f>INDEX(script.out!K:K,results.txt!$M751)</f>
        <v>#N/A</v>
      </c>
      <c r="X751" t="e">
        <f>INDEX(script.out!L:L,results.txt!$M751)</f>
        <v>#N/A</v>
      </c>
      <c r="Y751" t="e">
        <f>INDEX(script.out!M:M,results.txt!$M751)</f>
        <v>#N/A</v>
      </c>
      <c r="Z751" t="e">
        <f>INDEX(script.out!N:N,results.txt!$M751)</f>
        <v>#N/A</v>
      </c>
      <c r="AA751" t="e">
        <f>INDEX(script.out!O:O,results.txt!$M751)</f>
        <v>#N/A</v>
      </c>
      <c r="AB751" t="e">
        <f>INDEX(script.out!P:P,results.txt!$M751)</f>
        <v>#N/A</v>
      </c>
      <c r="AC751" t="e">
        <f>INDEX(script.out!Q:Q,results.txt!$M751)</f>
        <v>#N/A</v>
      </c>
      <c r="AD751">
        <f t="shared" si="12"/>
        <v>0</v>
      </c>
    </row>
    <row r="752" spans="13:30" x14ac:dyDescent="0.25">
      <c r="M752" t="e">
        <f>MATCH(C752,script.out!B:B,0)</f>
        <v>#N/A</v>
      </c>
      <c r="N752" t="e">
        <f>INDEX(script.out!B:B,results.txt!$M752)</f>
        <v>#N/A</v>
      </c>
      <c r="O752" t="e">
        <f>INDEX(script.out!C:C,results.txt!$M752)</f>
        <v>#N/A</v>
      </c>
      <c r="P752" t="e">
        <f>INDEX(script.out!D:D,results.txt!$M752)</f>
        <v>#N/A</v>
      </c>
      <c r="Q752" t="e">
        <f>INDEX(script.out!E:E,results.txt!$M752)</f>
        <v>#N/A</v>
      </c>
      <c r="R752" t="e">
        <f>INDEX(script.out!F:F,results.txt!$M752)</f>
        <v>#N/A</v>
      </c>
      <c r="S752" t="e">
        <f>INDEX(script.out!G:G,results.txt!$M752)</f>
        <v>#N/A</v>
      </c>
      <c r="T752" t="e">
        <f>INDEX(script.out!H:H,results.txt!$M752)</f>
        <v>#N/A</v>
      </c>
      <c r="U752" t="e">
        <f>INDEX(script.out!I:I,results.txt!$M752)</f>
        <v>#N/A</v>
      </c>
      <c r="V752" t="e">
        <f>INDEX(script.out!J:J,results.txt!$M752)</f>
        <v>#N/A</v>
      </c>
      <c r="W752" t="e">
        <f>INDEX(script.out!K:K,results.txt!$M752)</f>
        <v>#N/A</v>
      </c>
      <c r="X752" t="e">
        <f>INDEX(script.out!L:L,results.txt!$M752)</f>
        <v>#N/A</v>
      </c>
      <c r="Y752" t="e">
        <f>INDEX(script.out!M:M,results.txt!$M752)</f>
        <v>#N/A</v>
      </c>
      <c r="Z752" t="e">
        <f>INDEX(script.out!N:N,results.txt!$M752)</f>
        <v>#N/A</v>
      </c>
      <c r="AA752" t="e">
        <f>INDEX(script.out!O:O,results.txt!$M752)</f>
        <v>#N/A</v>
      </c>
      <c r="AB752" t="e">
        <f>INDEX(script.out!P:P,results.txt!$M752)</f>
        <v>#N/A</v>
      </c>
      <c r="AC752" t="e">
        <f>INDEX(script.out!Q:Q,results.txt!$M752)</f>
        <v>#N/A</v>
      </c>
      <c r="AD752">
        <f t="shared" si="12"/>
        <v>0</v>
      </c>
    </row>
    <row r="753" spans="13:30" x14ac:dyDescent="0.25">
      <c r="M753" t="e">
        <f>MATCH(C753,script.out!B:B,0)</f>
        <v>#N/A</v>
      </c>
      <c r="N753" t="e">
        <f>INDEX(script.out!B:B,results.txt!$M753)</f>
        <v>#N/A</v>
      </c>
      <c r="O753" t="e">
        <f>INDEX(script.out!C:C,results.txt!$M753)</f>
        <v>#N/A</v>
      </c>
      <c r="P753" t="e">
        <f>INDEX(script.out!D:D,results.txt!$M753)</f>
        <v>#N/A</v>
      </c>
      <c r="Q753" t="e">
        <f>INDEX(script.out!E:E,results.txt!$M753)</f>
        <v>#N/A</v>
      </c>
      <c r="R753" t="e">
        <f>INDEX(script.out!F:F,results.txt!$M753)</f>
        <v>#N/A</v>
      </c>
      <c r="S753" t="e">
        <f>INDEX(script.out!G:G,results.txt!$M753)</f>
        <v>#N/A</v>
      </c>
      <c r="T753" t="e">
        <f>INDEX(script.out!H:H,results.txt!$M753)</f>
        <v>#N/A</v>
      </c>
      <c r="U753" t="e">
        <f>INDEX(script.out!I:I,results.txt!$M753)</f>
        <v>#N/A</v>
      </c>
      <c r="V753" t="e">
        <f>INDEX(script.out!J:J,results.txt!$M753)</f>
        <v>#N/A</v>
      </c>
      <c r="W753" t="e">
        <f>INDEX(script.out!K:K,results.txt!$M753)</f>
        <v>#N/A</v>
      </c>
      <c r="X753" t="e">
        <f>INDEX(script.out!L:L,results.txt!$M753)</f>
        <v>#N/A</v>
      </c>
      <c r="Y753" t="e">
        <f>INDEX(script.out!M:M,results.txt!$M753)</f>
        <v>#N/A</v>
      </c>
      <c r="Z753" t="e">
        <f>INDEX(script.out!N:N,results.txt!$M753)</f>
        <v>#N/A</v>
      </c>
      <c r="AA753" t="e">
        <f>INDEX(script.out!O:O,results.txt!$M753)</f>
        <v>#N/A</v>
      </c>
      <c r="AB753" t="e">
        <f>INDEX(script.out!P:P,results.txt!$M753)</f>
        <v>#N/A</v>
      </c>
      <c r="AC753" t="e">
        <f>INDEX(script.out!Q:Q,results.txt!$M753)</f>
        <v>#N/A</v>
      </c>
      <c r="AD753">
        <f t="shared" si="12"/>
        <v>0</v>
      </c>
    </row>
    <row r="754" spans="13:30" x14ac:dyDescent="0.25">
      <c r="M754" t="e">
        <f>MATCH(C754,script.out!B:B,0)</f>
        <v>#N/A</v>
      </c>
      <c r="N754" t="e">
        <f>INDEX(script.out!B:B,results.txt!$M754)</f>
        <v>#N/A</v>
      </c>
      <c r="O754" t="e">
        <f>INDEX(script.out!C:C,results.txt!$M754)</f>
        <v>#N/A</v>
      </c>
      <c r="P754" t="e">
        <f>INDEX(script.out!D:D,results.txt!$M754)</f>
        <v>#N/A</v>
      </c>
      <c r="Q754" t="e">
        <f>INDEX(script.out!E:E,results.txt!$M754)</f>
        <v>#N/A</v>
      </c>
      <c r="R754" t="e">
        <f>INDEX(script.out!F:F,results.txt!$M754)</f>
        <v>#N/A</v>
      </c>
      <c r="S754" t="e">
        <f>INDEX(script.out!G:G,results.txt!$M754)</f>
        <v>#N/A</v>
      </c>
      <c r="T754" t="e">
        <f>INDEX(script.out!H:H,results.txt!$M754)</f>
        <v>#N/A</v>
      </c>
      <c r="U754" t="e">
        <f>INDEX(script.out!I:I,results.txt!$M754)</f>
        <v>#N/A</v>
      </c>
      <c r="V754" t="e">
        <f>INDEX(script.out!J:J,results.txt!$M754)</f>
        <v>#N/A</v>
      </c>
      <c r="W754" t="e">
        <f>INDEX(script.out!K:K,results.txt!$M754)</f>
        <v>#N/A</v>
      </c>
      <c r="X754" t="e">
        <f>INDEX(script.out!L:L,results.txt!$M754)</f>
        <v>#N/A</v>
      </c>
      <c r="Y754" t="e">
        <f>INDEX(script.out!M:M,results.txt!$M754)</f>
        <v>#N/A</v>
      </c>
      <c r="Z754" t="e">
        <f>INDEX(script.out!N:N,results.txt!$M754)</f>
        <v>#N/A</v>
      </c>
      <c r="AA754" t="e">
        <f>INDEX(script.out!O:O,results.txt!$M754)</f>
        <v>#N/A</v>
      </c>
      <c r="AB754" t="e">
        <f>INDEX(script.out!P:P,results.txt!$M754)</f>
        <v>#N/A</v>
      </c>
      <c r="AC754" t="e">
        <f>INDEX(script.out!Q:Q,results.txt!$M754)</f>
        <v>#N/A</v>
      </c>
      <c r="AD754">
        <f t="shared" si="12"/>
        <v>0</v>
      </c>
    </row>
    <row r="755" spans="13:30" x14ac:dyDescent="0.25">
      <c r="M755" t="e">
        <f>MATCH(C755,script.out!B:B,0)</f>
        <v>#N/A</v>
      </c>
      <c r="N755" t="e">
        <f>INDEX(script.out!B:B,results.txt!$M755)</f>
        <v>#N/A</v>
      </c>
      <c r="O755" t="e">
        <f>INDEX(script.out!C:C,results.txt!$M755)</f>
        <v>#N/A</v>
      </c>
      <c r="P755" t="e">
        <f>INDEX(script.out!D:D,results.txt!$M755)</f>
        <v>#N/A</v>
      </c>
      <c r="Q755" t="e">
        <f>INDEX(script.out!E:E,results.txt!$M755)</f>
        <v>#N/A</v>
      </c>
      <c r="R755" t="e">
        <f>INDEX(script.out!F:F,results.txt!$M755)</f>
        <v>#N/A</v>
      </c>
      <c r="S755" t="e">
        <f>INDEX(script.out!G:G,results.txt!$M755)</f>
        <v>#N/A</v>
      </c>
      <c r="T755" t="e">
        <f>INDEX(script.out!H:H,results.txt!$M755)</f>
        <v>#N/A</v>
      </c>
      <c r="U755" t="e">
        <f>INDEX(script.out!I:I,results.txt!$M755)</f>
        <v>#N/A</v>
      </c>
      <c r="V755" t="e">
        <f>INDEX(script.out!J:J,results.txt!$M755)</f>
        <v>#N/A</v>
      </c>
      <c r="W755" t="e">
        <f>INDEX(script.out!K:K,results.txt!$M755)</f>
        <v>#N/A</v>
      </c>
      <c r="X755" t="e">
        <f>INDEX(script.out!L:L,results.txt!$M755)</f>
        <v>#N/A</v>
      </c>
      <c r="Y755" t="e">
        <f>INDEX(script.out!M:M,results.txt!$M755)</f>
        <v>#N/A</v>
      </c>
      <c r="Z755" t="e">
        <f>INDEX(script.out!N:N,results.txt!$M755)</f>
        <v>#N/A</v>
      </c>
      <c r="AA755" t="e">
        <f>INDEX(script.out!O:O,results.txt!$M755)</f>
        <v>#N/A</v>
      </c>
      <c r="AB755" t="e">
        <f>INDEX(script.out!P:P,results.txt!$M755)</f>
        <v>#N/A</v>
      </c>
      <c r="AC755" t="e">
        <f>INDEX(script.out!Q:Q,results.txt!$M755)</f>
        <v>#N/A</v>
      </c>
      <c r="AD755">
        <f t="shared" si="12"/>
        <v>0</v>
      </c>
    </row>
    <row r="756" spans="13:30" x14ac:dyDescent="0.25">
      <c r="M756" t="e">
        <f>MATCH(C756,script.out!B:B,0)</f>
        <v>#N/A</v>
      </c>
      <c r="N756" t="e">
        <f>INDEX(script.out!B:B,results.txt!$M756)</f>
        <v>#N/A</v>
      </c>
      <c r="O756" t="e">
        <f>INDEX(script.out!C:C,results.txt!$M756)</f>
        <v>#N/A</v>
      </c>
      <c r="P756" t="e">
        <f>INDEX(script.out!D:D,results.txt!$M756)</f>
        <v>#N/A</v>
      </c>
      <c r="Q756" t="e">
        <f>INDEX(script.out!E:E,results.txt!$M756)</f>
        <v>#N/A</v>
      </c>
      <c r="R756" t="e">
        <f>INDEX(script.out!F:F,results.txt!$M756)</f>
        <v>#N/A</v>
      </c>
      <c r="S756" t="e">
        <f>INDEX(script.out!G:G,results.txt!$M756)</f>
        <v>#N/A</v>
      </c>
      <c r="T756" t="e">
        <f>INDEX(script.out!H:H,results.txt!$M756)</f>
        <v>#N/A</v>
      </c>
      <c r="U756" t="e">
        <f>INDEX(script.out!I:I,results.txt!$M756)</f>
        <v>#N/A</v>
      </c>
      <c r="V756" t="e">
        <f>INDEX(script.out!J:J,results.txt!$M756)</f>
        <v>#N/A</v>
      </c>
      <c r="W756" t="e">
        <f>INDEX(script.out!K:K,results.txt!$M756)</f>
        <v>#N/A</v>
      </c>
      <c r="X756" t="e">
        <f>INDEX(script.out!L:L,results.txt!$M756)</f>
        <v>#N/A</v>
      </c>
      <c r="Y756" t="e">
        <f>INDEX(script.out!M:M,results.txt!$M756)</f>
        <v>#N/A</v>
      </c>
      <c r="Z756" t="e">
        <f>INDEX(script.out!N:N,results.txt!$M756)</f>
        <v>#N/A</v>
      </c>
      <c r="AA756" t="e">
        <f>INDEX(script.out!O:O,results.txt!$M756)</f>
        <v>#N/A</v>
      </c>
      <c r="AB756" t="e">
        <f>INDEX(script.out!P:P,results.txt!$M756)</f>
        <v>#N/A</v>
      </c>
      <c r="AC756" t="e">
        <f>INDEX(script.out!Q:Q,results.txt!$M756)</f>
        <v>#N/A</v>
      </c>
      <c r="AD756">
        <f t="shared" si="12"/>
        <v>0</v>
      </c>
    </row>
    <row r="757" spans="13:30" x14ac:dyDescent="0.25">
      <c r="M757" t="e">
        <f>MATCH(C757,script.out!B:B,0)</f>
        <v>#N/A</v>
      </c>
      <c r="N757" t="e">
        <f>INDEX(script.out!B:B,results.txt!$M757)</f>
        <v>#N/A</v>
      </c>
      <c r="O757" t="e">
        <f>INDEX(script.out!C:C,results.txt!$M757)</f>
        <v>#N/A</v>
      </c>
      <c r="P757" t="e">
        <f>INDEX(script.out!D:D,results.txt!$M757)</f>
        <v>#N/A</v>
      </c>
      <c r="Q757" t="e">
        <f>INDEX(script.out!E:E,results.txt!$M757)</f>
        <v>#N/A</v>
      </c>
      <c r="R757" t="e">
        <f>INDEX(script.out!F:F,results.txt!$M757)</f>
        <v>#N/A</v>
      </c>
      <c r="S757" t="e">
        <f>INDEX(script.out!G:G,results.txt!$M757)</f>
        <v>#N/A</v>
      </c>
      <c r="T757" t="e">
        <f>INDEX(script.out!H:H,results.txt!$M757)</f>
        <v>#N/A</v>
      </c>
      <c r="U757" t="e">
        <f>INDEX(script.out!I:I,results.txt!$M757)</f>
        <v>#N/A</v>
      </c>
      <c r="V757" t="e">
        <f>INDEX(script.out!J:J,results.txt!$M757)</f>
        <v>#N/A</v>
      </c>
      <c r="W757" t="e">
        <f>INDEX(script.out!K:K,results.txt!$M757)</f>
        <v>#N/A</v>
      </c>
      <c r="X757" t="e">
        <f>INDEX(script.out!L:L,results.txt!$M757)</f>
        <v>#N/A</v>
      </c>
      <c r="Y757" t="e">
        <f>INDEX(script.out!M:M,results.txt!$M757)</f>
        <v>#N/A</v>
      </c>
      <c r="Z757" t="e">
        <f>INDEX(script.out!N:N,results.txt!$M757)</f>
        <v>#N/A</v>
      </c>
      <c r="AA757" t="e">
        <f>INDEX(script.out!O:O,results.txt!$M757)</f>
        <v>#N/A</v>
      </c>
      <c r="AB757" t="e">
        <f>INDEX(script.out!P:P,results.txt!$M757)</f>
        <v>#N/A</v>
      </c>
      <c r="AC757" t="e">
        <f>INDEX(script.out!Q:Q,results.txt!$M757)</f>
        <v>#N/A</v>
      </c>
      <c r="AD757">
        <f t="shared" si="12"/>
        <v>0</v>
      </c>
    </row>
    <row r="758" spans="13:30" x14ac:dyDescent="0.25">
      <c r="M758" t="e">
        <f>MATCH(C758,script.out!B:B,0)</f>
        <v>#N/A</v>
      </c>
      <c r="N758" t="e">
        <f>INDEX(script.out!B:B,results.txt!$M758)</f>
        <v>#N/A</v>
      </c>
      <c r="O758" t="e">
        <f>INDEX(script.out!C:C,results.txt!$M758)</f>
        <v>#N/A</v>
      </c>
      <c r="P758" t="e">
        <f>INDEX(script.out!D:D,results.txt!$M758)</f>
        <v>#N/A</v>
      </c>
      <c r="Q758" t="e">
        <f>INDEX(script.out!E:E,results.txt!$M758)</f>
        <v>#N/A</v>
      </c>
      <c r="R758" t="e">
        <f>INDEX(script.out!F:F,results.txt!$M758)</f>
        <v>#N/A</v>
      </c>
      <c r="S758" t="e">
        <f>INDEX(script.out!G:G,results.txt!$M758)</f>
        <v>#N/A</v>
      </c>
      <c r="T758" t="e">
        <f>INDEX(script.out!H:H,results.txt!$M758)</f>
        <v>#N/A</v>
      </c>
      <c r="U758" t="e">
        <f>INDEX(script.out!I:I,results.txt!$M758)</f>
        <v>#N/A</v>
      </c>
      <c r="V758" t="e">
        <f>INDEX(script.out!J:J,results.txt!$M758)</f>
        <v>#N/A</v>
      </c>
      <c r="W758" t="e">
        <f>INDEX(script.out!K:K,results.txt!$M758)</f>
        <v>#N/A</v>
      </c>
      <c r="X758" t="e">
        <f>INDEX(script.out!L:L,results.txt!$M758)</f>
        <v>#N/A</v>
      </c>
      <c r="Y758" t="e">
        <f>INDEX(script.out!M:M,results.txt!$M758)</f>
        <v>#N/A</v>
      </c>
      <c r="Z758" t="e">
        <f>INDEX(script.out!N:N,results.txt!$M758)</f>
        <v>#N/A</v>
      </c>
      <c r="AA758" t="e">
        <f>INDEX(script.out!O:O,results.txt!$M758)</f>
        <v>#N/A</v>
      </c>
      <c r="AB758" t="e">
        <f>INDEX(script.out!P:P,results.txt!$M758)</f>
        <v>#N/A</v>
      </c>
      <c r="AC758" t="e">
        <f>INDEX(script.out!Q:Q,results.txt!$M758)</f>
        <v>#N/A</v>
      </c>
      <c r="AD758">
        <f t="shared" si="12"/>
        <v>0</v>
      </c>
    </row>
    <row r="759" spans="13:30" x14ac:dyDescent="0.25">
      <c r="M759" t="e">
        <f>MATCH(C759,script.out!B:B,0)</f>
        <v>#N/A</v>
      </c>
      <c r="N759" t="e">
        <f>INDEX(script.out!B:B,results.txt!$M759)</f>
        <v>#N/A</v>
      </c>
      <c r="O759" t="e">
        <f>INDEX(script.out!C:C,results.txt!$M759)</f>
        <v>#N/A</v>
      </c>
      <c r="P759" t="e">
        <f>INDEX(script.out!D:D,results.txt!$M759)</f>
        <v>#N/A</v>
      </c>
      <c r="Q759" t="e">
        <f>INDEX(script.out!E:E,results.txt!$M759)</f>
        <v>#N/A</v>
      </c>
      <c r="R759" t="e">
        <f>INDEX(script.out!F:F,results.txt!$M759)</f>
        <v>#N/A</v>
      </c>
      <c r="S759" t="e">
        <f>INDEX(script.out!G:G,results.txt!$M759)</f>
        <v>#N/A</v>
      </c>
      <c r="T759" t="e">
        <f>INDEX(script.out!H:H,results.txt!$M759)</f>
        <v>#N/A</v>
      </c>
      <c r="U759" t="e">
        <f>INDEX(script.out!I:I,results.txt!$M759)</f>
        <v>#N/A</v>
      </c>
      <c r="V759" t="e">
        <f>INDEX(script.out!J:J,results.txt!$M759)</f>
        <v>#N/A</v>
      </c>
      <c r="W759" t="e">
        <f>INDEX(script.out!K:K,results.txt!$M759)</f>
        <v>#N/A</v>
      </c>
      <c r="X759" t="e">
        <f>INDEX(script.out!L:L,results.txt!$M759)</f>
        <v>#N/A</v>
      </c>
      <c r="Y759" t="e">
        <f>INDEX(script.out!M:M,results.txt!$M759)</f>
        <v>#N/A</v>
      </c>
      <c r="Z759" t="e">
        <f>INDEX(script.out!N:N,results.txt!$M759)</f>
        <v>#N/A</v>
      </c>
      <c r="AA759" t="e">
        <f>INDEX(script.out!O:O,results.txt!$M759)</f>
        <v>#N/A</v>
      </c>
      <c r="AB759" t="e">
        <f>INDEX(script.out!P:P,results.txt!$M759)</f>
        <v>#N/A</v>
      </c>
      <c r="AC759" t="e">
        <f>INDEX(script.out!Q:Q,results.txt!$M759)</f>
        <v>#N/A</v>
      </c>
      <c r="AD759">
        <f t="shared" si="12"/>
        <v>0</v>
      </c>
    </row>
    <row r="760" spans="13:30" x14ac:dyDescent="0.25">
      <c r="M760" t="e">
        <f>MATCH(C760,script.out!B:B,0)</f>
        <v>#N/A</v>
      </c>
      <c r="N760" t="e">
        <f>INDEX(script.out!B:B,results.txt!$M760)</f>
        <v>#N/A</v>
      </c>
      <c r="O760" t="e">
        <f>INDEX(script.out!C:C,results.txt!$M760)</f>
        <v>#N/A</v>
      </c>
      <c r="P760" t="e">
        <f>INDEX(script.out!D:D,results.txt!$M760)</f>
        <v>#N/A</v>
      </c>
      <c r="Q760" t="e">
        <f>INDEX(script.out!E:E,results.txt!$M760)</f>
        <v>#N/A</v>
      </c>
      <c r="R760" t="e">
        <f>INDEX(script.out!F:F,results.txt!$M760)</f>
        <v>#N/A</v>
      </c>
      <c r="S760" t="e">
        <f>INDEX(script.out!G:G,results.txt!$M760)</f>
        <v>#N/A</v>
      </c>
      <c r="T760" t="e">
        <f>INDEX(script.out!H:H,results.txt!$M760)</f>
        <v>#N/A</v>
      </c>
      <c r="U760" t="e">
        <f>INDEX(script.out!I:I,results.txt!$M760)</f>
        <v>#N/A</v>
      </c>
      <c r="V760" t="e">
        <f>INDEX(script.out!J:J,results.txt!$M760)</f>
        <v>#N/A</v>
      </c>
      <c r="W760" t="e">
        <f>INDEX(script.out!K:K,results.txt!$M760)</f>
        <v>#N/A</v>
      </c>
      <c r="X760" t="e">
        <f>INDEX(script.out!L:L,results.txt!$M760)</f>
        <v>#N/A</v>
      </c>
      <c r="Y760" t="e">
        <f>INDEX(script.out!M:M,results.txt!$M760)</f>
        <v>#N/A</v>
      </c>
      <c r="Z760" t="e">
        <f>INDEX(script.out!N:N,results.txt!$M760)</f>
        <v>#N/A</v>
      </c>
      <c r="AA760" t="e">
        <f>INDEX(script.out!O:O,results.txt!$M760)</f>
        <v>#N/A</v>
      </c>
      <c r="AB760" t="e">
        <f>INDEX(script.out!P:P,results.txt!$M760)</f>
        <v>#N/A</v>
      </c>
      <c r="AC760" t="e">
        <f>INDEX(script.out!Q:Q,results.txt!$M760)</f>
        <v>#N/A</v>
      </c>
      <c r="AD760">
        <f t="shared" si="12"/>
        <v>0</v>
      </c>
    </row>
    <row r="761" spans="13:30" x14ac:dyDescent="0.25">
      <c r="M761" t="e">
        <f>MATCH(C761,script.out!B:B,0)</f>
        <v>#N/A</v>
      </c>
      <c r="N761" t="e">
        <f>INDEX(script.out!B:B,results.txt!$M761)</f>
        <v>#N/A</v>
      </c>
      <c r="O761" t="e">
        <f>INDEX(script.out!C:C,results.txt!$M761)</f>
        <v>#N/A</v>
      </c>
      <c r="P761" t="e">
        <f>INDEX(script.out!D:D,results.txt!$M761)</f>
        <v>#N/A</v>
      </c>
      <c r="Q761" t="e">
        <f>INDEX(script.out!E:E,results.txt!$M761)</f>
        <v>#N/A</v>
      </c>
      <c r="R761" t="e">
        <f>INDEX(script.out!F:F,results.txt!$M761)</f>
        <v>#N/A</v>
      </c>
      <c r="S761" t="e">
        <f>INDEX(script.out!G:G,results.txt!$M761)</f>
        <v>#N/A</v>
      </c>
      <c r="T761" t="e">
        <f>INDEX(script.out!H:H,results.txt!$M761)</f>
        <v>#N/A</v>
      </c>
      <c r="U761" t="e">
        <f>INDEX(script.out!I:I,results.txt!$M761)</f>
        <v>#N/A</v>
      </c>
      <c r="V761" t="e">
        <f>INDEX(script.out!J:J,results.txt!$M761)</f>
        <v>#N/A</v>
      </c>
      <c r="W761" t="e">
        <f>INDEX(script.out!K:K,results.txt!$M761)</f>
        <v>#N/A</v>
      </c>
      <c r="X761" t="e">
        <f>INDEX(script.out!L:L,results.txt!$M761)</f>
        <v>#N/A</v>
      </c>
      <c r="Y761" t="e">
        <f>INDEX(script.out!M:M,results.txt!$M761)</f>
        <v>#N/A</v>
      </c>
      <c r="Z761" t="e">
        <f>INDEX(script.out!N:N,results.txt!$M761)</f>
        <v>#N/A</v>
      </c>
      <c r="AA761" t="e">
        <f>INDEX(script.out!O:O,results.txt!$M761)</f>
        <v>#N/A</v>
      </c>
      <c r="AB761" t="e">
        <f>INDEX(script.out!P:P,results.txt!$M761)</f>
        <v>#N/A</v>
      </c>
      <c r="AC761" t="e">
        <f>INDEX(script.out!Q:Q,results.txt!$M761)</f>
        <v>#N/A</v>
      </c>
      <c r="AD761">
        <f t="shared" si="12"/>
        <v>0</v>
      </c>
    </row>
    <row r="762" spans="13:30" x14ac:dyDescent="0.25">
      <c r="M762" t="e">
        <f>MATCH(C762,script.out!B:B,0)</f>
        <v>#N/A</v>
      </c>
      <c r="N762" t="e">
        <f>INDEX(script.out!B:B,results.txt!$M762)</f>
        <v>#N/A</v>
      </c>
      <c r="O762" t="e">
        <f>INDEX(script.out!C:C,results.txt!$M762)</f>
        <v>#N/A</v>
      </c>
      <c r="P762" t="e">
        <f>INDEX(script.out!D:D,results.txt!$M762)</f>
        <v>#N/A</v>
      </c>
      <c r="Q762" t="e">
        <f>INDEX(script.out!E:E,results.txt!$M762)</f>
        <v>#N/A</v>
      </c>
      <c r="R762" t="e">
        <f>INDEX(script.out!F:F,results.txt!$M762)</f>
        <v>#N/A</v>
      </c>
      <c r="S762" t="e">
        <f>INDEX(script.out!G:G,results.txt!$M762)</f>
        <v>#N/A</v>
      </c>
      <c r="T762" t="e">
        <f>INDEX(script.out!H:H,results.txt!$M762)</f>
        <v>#N/A</v>
      </c>
      <c r="U762" t="e">
        <f>INDEX(script.out!I:I,results.txt!$M762)</f>
        <v>#N/A</v>
      </c>
      <c r="V762" t="e">
        <f>INDEX(script.out!J:J,results.txt!$M762)</f>
        <v>#N/A</v>
      </c>
      <c r="W762" t="e">
        <f>INDEX(script.out!K:K,results.txt!$M762)</f>
        <v>#N/A</v>
      </c>
      <c r="X762" t="e">
        <f>INDEX(script.out!L:L,results.txt!$M762)</f>
        <v>#N/A</v>
      </c>
      <c r="Y762" t="e">
        <f>INDEX(script.out!M:M,results.txt!$M762)</f>
        <v>#N/A</v>
      </c>
      <c r="Z762" t="e">
        <f>INDEX(script.out!N:N,results.txt!$M762)</f>
        <v>#N/A</v>
      </c>
      <c r="AA762" t="e">
        <f>INDEX(script.out!O:O,results.txt!$M762)</f>
        <v>#N/A</v>
      </c>
      <c r="AB762" t="e">
        <f>INDEX(script.out!P:P,results.txt!$M762)</f>
        <v>#N/A</v>
      </c>
      <c r="AC762" t="e">
        <f>INDEX(script.out!Q:Q,results.txt!$M762)</f>
        <v>#N/A</v>
      </c>
      <c r="AD762">
        <f t="shared" si="12"/>
        <v>0</v>
      </c>
    </row>
    <row r="763" spans="13:30" x14ac:dyDescent="0.25">
      <c r="M763" t="e">
        <f>MATCH(C763,script.out!B:B,0)</f>
        <v>#N/A</v>
      </c>
      <c r="N763" t="e">
        <f>INDEX(script.out!B:B,results.txt!$M763)</f>
        <v>#N/A</v>
      </c>
      <c r="O763" t="e">
        <f>INDEX(script.out!C:C,results.txt!$M763)</f>
        <v>#N/A</v>
      </c>
      <c r="P763" t="e">
        <f>INDEX(script.out!D:D,results.txt!$M763)</f>
        <v>#N/A</v>
      </c>
      <c r="Q763" t="e">
        <f>INDEX(script.out!E:E,results.txt!$M763)</f>
        <v>#N/A</v>
      </c>
      <c r="R763" t="e">
        <f>INDEX(script.out!F:F,results.txt!$M763)</f>
        <v>#N/A</v>
      </c>
      <c r="S763" t="e">
        <f>INDEX(script.out!G:G,results.txt!$M763)</f>
        <v>#N/A</v>
      </c>
      <c r="T763" t="e">
        <f>INDEX(script.out!H:H,results.txt!$M763)</f>
        <v>#N/A</v>
      </c>
      <c r="U763" t="e">
        <f>INDEX(script.out!I:I,results.txt!$M763)</f>
        <v>#N/A</v>
      </c>
      <c r="V763" t="e">
        <f>INDEX(script.out!J:J,results.txt!$M763)</f>
        <v>#N/A</v>
      </c>
      <c r="W763" t="e">
        <f>INDEX(script.out!K:K,results.txt!$M763)</f>
        <v>#N/A</v>
      </c>
      <c r="X763" t="e">
        <f>INDEX(script.out!L:L,results.txt!$M763)</f>
        <v>#N/A</v>
      </c>
      <c r="Y763" t="e">
        <f>INDEX(script.out!M:M,results.txt!$M763)</f>
        <v>#N/A</v>
      </c>
      <c r="Z763" t="e">
        <f>INDEX(script.out!N:N,results.txt!$M763)</f>
        <v>#N/A</v>
      </c>
      <c r="AA763" t="e">
        <f>INDEX(script.out!O:O,results.txt!$M763)</f>
        <v>#N/A</v>
      </c>
      <c r="AB763" t="e">
        <f>INDEX(script.out!P:P,results.txt!$M763)</f>
        <v>#N/A</v>
      </c>
      <c r="AC763" t="e">
        <f>INDEX(script.out!Q:Q,results.txt!$M763)</f>
        <v>#N/A</v>
      </c>
      <c r="AD763">
        <f t="shared" si="12"/>
        <v>0</v>
      </c>
    </row>
    <row r="764" spans="13:30" x14ac:dyDescent="0.25">
      <c r="M764" t="e">
        <f>MATCH(C764,script.out!B:B,0)</f>
        <v>#N/A</v>
      </c>
      <c r="N764" t="e">
        <f>INDEX(script.out!B:B,results.txt!$M764)</f>
        <v>#N/A</v>
      </c>
      <c r="O764" t="e">
        <f>INDEX(script.out!C:C,results.txt!$M764)</f>
        <v>#N/A</v>
      </c>
      <c r="P764" t="e">
        <f>INDEX(script.out!D:D,results.txt!$M764)</f>
        <v>#N/A</v>
      </c>
      <c r="Q764" t="e">
        <f>INDEX(script.out!E:E,results.txt!$M764)</f>
        <v>#N/A</v>
      </c>
      <c r="R764" t="e">
        <f>INDEX(script.out!F:F,results.txt!$M764)</f>
        <v>#N/A</v>
      </c>
      <c r="S764" t="e">
        <f>INDEX(script.out!G:G,results.txt!$M764)</f>
        <v>#N/A</v>
      </c>
      <c r="T764" t="e">
        <f>INDEX(script.out!H:H,results.txt!$M764)</f>
        <v>#N/A</v>
      </c>
      <c r="U764" t="e">
        <f>INDEX(script.out!I:I,results.txt!$M764)</f>
        <v>#N/A</v>
      </c>
      <c r="V764" t="e">
        <f>INDEX(script.out!J:J,results.txt!$M764)</f>
        <v>#N/A</v>
      </c>
      <c r="W764" t="e">
        <f>INDEX(script.out!K:K,results.txt!$M764)</f>
        <v>#N/A</v>
      </c>
      <c r="X764" t="e">
        <f>INDEX(script.out!L:L,results.txt!$M764)</f>
        <v>#N/A</v>
      </c>
      <c r="Y764" t="e">
        <f>INDEX(script.out!M:M,results.txt!$M764)</f>
        <v>#N/A</v>
      </c>
      <c r="Z764" t="e">
        <f>INDEX(script.out!N:N,results.txt!$M764)</f>
        <v>#N/A</v>
      </c>
      <c r="AA764" t="e">
        <f>INDEX(script.out!O:O,results.txt!$M764)</f>
        <v>#N/A</v>
      </c>
      <c r="AB764" t="e">
        <f>INDEX(script.out!P:P,results.txt!$M764)</f>
        <v>#N/A</v>
      </c>
      <c r="AC764" t="e">
        <f>INDEX(script.out!Q:Q,results.txt!$M764)</f>
        <v>#N/A</v>
      </c>
      <c r="AD764">
        <f t="shared" si="12"/>
        <v>0</v>
      </c>
    </row>
    <row r="765" spans="13:30" x14ac:dyDescent="0.25">
      <c r="M765" t="e">
        <f>MATCH(C765,script.out!B:B,0)</f>
        <v>#N/A</v>
      </c>
      <c r="N765" t="e">
        <f>INDEX(script.out!B:B,results.txt!$M765)</f>
        <v>#N/A</v>
      </c>
      <c r="O765" t="e">
        <f>INDEX(script.out!C:C,results.txt!$M765)</f>
        <v>#N/A</v>
      </c>
      <c r="P765" t="e">
        <f>INDEX(script.out!D:D,results.txt!$M765)</f>
        <v>#N/A</v>
      </c>
      <c r="Q765" t="e">
        <f>INDEX(script.out!E:E,results.txt!$M765)</f>
        <v>#N/A</v>
      </c>
      <c r="R765" t="e">
        <f>INDEX(script.out!F:F,results.txt!$M765)</f>
        <v>#N/A</v>
      </c>
      <c r="S765" t="e">
        <f>INDEX(script.out!G:G,results.txt!$M765)</f>
        <v>#N/A</v>
      </c>
      <c r="T765" t="e">
        <f>INDEX(script.out!H:H,results.txt!$M765)</f>
        <v>#N/A</v>
      </c>
      <c r="U765" t="e">
        <f>INDEX(script.out!I:I,results.txt!$M765)</f>
        <v>#N/A</v>
      </c>
      <c r="V765" t="e">
        <f>INDEX(script.out!J:J,results.txt!$M765)</f>
        <v>#N/A</v>
      </c>
      <c r="W765" t="e">
        <f>INDEX(script.out!K:K,results.txt!$M765)</f>
        <v>#N/A</v>
      </c>
      <c r="X765" t="e">
        <f>INDEX(script.out!L:L,results.txt!$M765)</f>
        <v>#N/A</v>
      </c>
      <c r="Y765" t="e">
        <f>INDEX(script.out!M:M,results.txt!$M765)</f>
        <v>#N/A</v>
      </c>
      <c r="Z765" t="e">
        <f>INDEX(script.out!N:N,results.txt!$M765)</f>
        <v>#N/A</v>
      </c>
      <c r="AA765" t="e">
        <f>INDEX(script.out!O:O,results.txt!$M765)</f>
        <v>#N/A</v>
      </c>
      <c r="AB765" t="e">
        <f>INDEX(script.out!P:P,results.txt!$M765)</f>
        <v>#N/A</v>
      </c>
      <c r="AC765" t="e">
        <f>INDEX(script.out!Q:Q,results.txt!$M765)</f>
        <v>#N/A</v>
      </c>
      <c r="AD765">
        <f t="shared" si="12"/>
        <v>0</v>
      </c>
    </row>
    <row r="766" spans="13:30" x14ac:dyDescent="0.25">
      <c r="M766" t="e">
        <f>MATCH(C766,script.out!B:B,0)</f>
        <v>#N/A</v>
      </c>
      <c r="N766" t="e">
        <f>INDEX(script.out!B:B,results.txt!$M766)</f>
        <v>#N/A</v>
      </c>
      <c r="O766" t="e">
        <f>INDEX(script.out!C:C,results.txt!$M766)</f>
        <v>#N/A</v>
      </c>
      <c r="P766" t="e">
        <f>INDEX(script.out!D:D,results.txt!$M766)</f>
        <v>#N/A</v>
      </c>
      <c r="Q766" t="e">
        <f>INDEX(script.out!E:E,results.txt!$M766)</f>
        <v>#N/A</v>
      </c>
      <c r="R766" t="e">
        <f>INDEX(script.out!F:F,results.txt!$M766)</f>
        <v>#N/A</v>
      </c>
      <c r="S766" t="e">
        <f>INDEX(script.out!G:G,results.txt!$M766)</f>
        <v>#N/A</v>
      </c>
      <c r="T766" t="e">
        <f>INDEX(script.out!H:H,results.txt!$M766)</f>
        <v>#N/A</v>
      </c>
      <c r="U766" t="e">
        <f>INDEX(script.out!I:I,results.txt!$M766)</f>
        <v>#N/A</v>
      </c>
      <c r="V766" t="e">
        <f>INDEX(script.out!J:J,results.txt!$M766)</f>
        <v>#N/A</v>
      </c>
      <c r="W766" t="e">
        <f>INDEX(script.out!K:K,results.txt!$M766)</f>
        <v>#N/A</v>
      </c>
      <c r="X766" t="e">
        <f>INDEX(script.out!L:L,results.txt!$M766)</f>
        <v>#N/A</v>
      </c>
      <c r="Y766" t="e">
        <f>INDEX(script.out!M:M,results.txt!$M766)</f>
        <v>#N/A</v>
      </c>
      <c r="Z766" t="e">
        <f>INDEX(script.out!N:N,results.txt!$M766)</f>
        <v>#N/A</v>
      </c>
      <c r="AA766" t="e">
        <f>INDEX(script.out!O:O,results.txt!$M766)</f>
        <v>#N/A</v>
      </c>
      <c r="AB766" t="e">
        <f>INDEX(script.out!P:P,results.txt!$M766)</f>
        <v>#N/A</v>
      </c>
      <c r="AC766" t="e">
        <f>INDEX(script.out!Q:Q,results.txt!$M766)</f>
        <v>#N/A</v>
      </c>
      <c r="AD766">
        <f t="shared" si="12"/>
        <v>0</v>
      </c>
    </row>
    <row r="767" spans="13:30" x14ac:dyDescent="0.25">
      <c r="M767" t="e">
        <f>MATCH(C767,script.out!B:B,0)</f>
        <v>#N/A</v>
      </c>
      <c r="N767" t="e">
        <f>INDEX(script.out!B:B,results.txt!$M767)</f>
        <v>#N/A</v>
      </c>
      <c r="O767" t="e">
        <f>INDEX(script.out!C:C,results.txt!$M767)</f>
        <v>#N/A</v>
      </c>
      <c r="P767" t="e">
        <f>INDEX(script.out!D:D,results.txt!$M767)</f>
        <v>#N/A</v>
      </c>
      <c r="Q767" t="e">
        <f>INDEX(script.out!E:E,results.txt!$M767)</f>
        <v>#N/A</v>
      </c>
      <c r="R767" t="e">
        <f>INDEX(script.out!F:F,results.txt!$M767)</f>
        <v>#N/A</v>
      </c>
      <c r="S767" t="e">
        <f>INDEX(script.out!G:G,results.txt!$M767)</f>
        <v>#N/A</v>
      </c>
      <c r="T767" t="e">
        <f>INDEX(script.out!H:H,results.txt!$M767)</f>
        <v>#N/A</v>
      </c>
      <c r="U767" t="e">
        <f>INDEX(script.out!I:I,results.txt!$M767)</f>
        <v>#N/A</v>
      </c>
      <c r="V767" t="e">
        <f>INDEX(script.out!J:J,results.txt!$M767)</f>
        <v>#N/A</v>
      </c>
      <c r="W767" t="e">
        <f>INDEX(script.out!K:K,results.txt!$M767)</f>
        <v>#N/A</v>
      </c>
      <c r="X767" t="e">
        <f>INDEX(script.out!L:L,results.txt!$M767)</f>
        <v>#N/A</v>
      </c>
      <c r="Y767" t="e">
        <f>INDEX(script.out!M:M,results.txt!$M767)</f>
        <v>#N/A</v>
      </c>
      <c r="Z767" t="e">
        <f>INDEX(script.out!N:N,results.txt!$M767)</f>
        <v>#N/A</v>
      </c>
      <c r="AA767" t="e">
        <f>INDEX(script.out!O:O,results.txt!$M767)</f>
        <v>#N/A</v>
      </c>
      <c r="AB767" t="e">
        <f>INDEX(script.out!P:P,results.txt!$M767)</f>
        <v>#N/A</v>
      </c>
      <c r="AC767" t="e">
        <f>INDEX(script.out!Q:Q,results.txt!$M767)</f>
        <v>#N/A</v>
      </c>
      <c r="AD767">
        <f t="shared" si="12"/>
        <v>0</v>
      </c>
    </row>
    <row r="768" spans="13:30" x14ac:dyDescent="0.25">
      <c r="M768" t="e">
        <f>MATCH(C768,script.out!B:B,0)</f>
        <v>#N/A</v>
      </c>
      <c r="N768" t="e">
        <f>INDEX(script.out!B:B,results.txt!$M768)</f>
        <v>#N/A</v>
      </c>
      <c r="O768" t="e">
        <f>INDEX(script.out!C:C,results.txt!$M768)</f>
        <v>#N/A</v>
      </c>
      <c r="P768" t="e">
        <f>INDEX(script.out!D:D,results.txt!$M768)</f>
        <v>#N/A</v>
      </c>
      <c r="Q768" t="e">
        <f>INDEX(script.out!E:E,results.txt!$M768)</f>
        <v>#N/A</v>
      </c>
      <c r="R768" t="e">
        <f>INDEX(script.out!F:F,results.txt!$M768)</f>
        <v>#N/A</v>
      </c>
      <c r="S768" t="e">
        <f>INDEX(script.out!G:G,results.txt!$M768)</f>
        <v>#N/A</v>
      </c>
      <c r="T768" t="e">
        <f>INDEX(script.out!H:H,results.txt!$M768)</f>
        <v>#N/A</v>
      </c>
      <c r="U768" t="e">
        <f>INDEX(script.out!I:I,results.txt!$M768)</f>
        <v>#N/A</v>
      </c>
      <c r="V768" t="e">
        <f>INDEX(script.out!J:J,results.txt!$M768)</f>
        <v>#N/A</v>
      </c>
      <c r="W768" t="e">
        <f>INDEX(script.out!K:K,results.txt!$M768)</f>
        <v>#N/A</v>
      </c>
      <c r="X768" t="e">
        <f>INDEX(script.out!L:L,results.txt!$M768)</f>
        <v>#N/A</v>
      </c>
      <c r="Y768" t="e">
        <f>INDEX(script.out!M:M,results.txt!$M768)</f>
        <v>#N/A</v>
      </c>
      <c r="Z768" t="e">
        <f>INDEX(script.out!N:N,results.txt!$M768)</f>
        <v>#N/A</v>
      </c>
      <c r="AA768" t="e">
        <f>INDEX(script.out!O:O,results.txt!$M768)</f>
        <v>#N/A</v>
      </c>
      <c r="AB768" t="e">
        <f>INDEX(script.out!P:P,results.txt!$M768)</f>
        <v>#N/A</v>
      </c>
      <c r="AC768" t="e">
        <f>INDEX(script.out!Q:Q,results.txt!$M768)</f>
        <v>#N/A</v>
      </c>
      <c r="AD768">
        <f t="shared" si="12"/>
        <v>0</v>
      </c>
    </row>
    <row r="769" spans="13:30" x14ac:dyDescent="0.25">
      <c r="M769" t="e">
        <f>MATCH(C769,script.out!B:B,0)</f>
        <v>#N/A</v>
      </c>
      <c r="N769" t="e">
        <f>INDEX(script.out!B:B,results.txt!$M769)</f>
        <v>#N/A</v>
      </c>
      <c r="O769" t="e">
        <f>INDEX(script.out!C:C,results.txt!$M769)</f>
        <v>#N/A</v>
      </c>
      <c r="P769" t="e">
        <f>INDEX(script.out!D:D,results.txt!$M769)</f>
        <v>#N/A</v>
      </c>
      <c r="Q769" t="e">
        <f>INDEX(script.out!E:E,results.txt!$M769)</f>
        <v>#N/A</v>
      </c>
      <c r="R769" t="e">
        <f>INDEX(script.out!F:F,results.txt!$M769)</f>
        <v>#N/A</v>
      </c>
      <c r="S769" t="e">
        <f>INDEX(script.out!G:G,results.txt!$M769)</f>
        <v>#N/A</v>
      </c>
      <c r="T769" t="e">
        <f>INDEX(script.out!H:H,results.txt!$M769)</f>
        <v>#N/A</v>
      </c>
      <c r="U769" t="e">
        <f>INDEX(script.out!I:I,results.txt!$M769)</f>
        <v>#N/A</v>
      </c>
      <c r="V769" t="e">
        <f>INDEX(script.out!J:J,results.txt!$M769)</f>
        <v>#N/A</v>
      </c>
      <c r="W769" t="e">
        <f>INDEX(script.out!K:K,results.txt!$M769)</f>
        <v>#N/A</v>
      </c>
      <c r="X769" t="e">
        <f>INDEX(script.out!L:L,results.txt!$M769)</f>
        <v>#N/A</v>
      </c>
      <c r="Y769" t="e">
        <f>INDEX(script.out!M:M,results.txt!$M769)</f>
        <v>#N/A</v>
      </c>
      <c r="Z769" t="e">
        <f>INDEX(script.out!N:N,results.txt!$M769)</f>
        <v>#N/A</v>
      </c>
      <c r="AA769" t="e">
        <f>INDEX(script.out!O:O,results.txt!$M769)</f>
        <v>#N/A</v>
      </c>
      <c r="AB769" t="e">
        <f>INDEX(script.out!P:P,results.txt!$M769)</f>
        <v>#N/A</v>
      </c>
      <c r="AC769" t="e">
        <f>INDEX(script.out!Q:Q,results.txt!$M769)</f>
        <v>#N/A</v>
      </c>
      <c r="AD769">
        <f t="shared" si="12"/>
        <v>0</v>
      </c>
    </row>
    <row r="770" spans="13:30" x14ac:dyDescent="0.25">
      <c r="M770" t="e">
        <f>MATCH(C770,script.out!B:B,0)</f>
        <v>#N/A</v>
      </c>
      <c r="N770" t="e">
        <f>INDEX(script.out!B:B,results.txt!$M770)</f>
        <v>#N/A</v>
      </c>
      <c r="O770" t="e">
        <f>INDEX(script.out!C:C,results.txt!$M770)</f>
        <v>#N/A</v>
      </c>
      <c r="P770" t="e">
        <f>INDEX(script.out!D:D,results.txt!$M770)</f>
        <v>#N/A</v>
      </c>
      <c r="Q770" t="e">
        <f>INDEX(script.out!E:E,results.txt!$M770)</f>
        <v>#N/A</v>
      </c>
      <c r="R770" t="e">
        <f>INDEX(script.out!F:F,results.txt!$M770)</f>
        <v>#N/A</v>
      </c>
      <c r="S770" t="e">
        <f>INDEX(script.out!G:G,results.txt!$M770)</f>
        <v>#N/A</v>
      </c>
      <c r="T770" t="e">
        <f>INDEX(script.out!H:H,results.txt!$M770)</f>
        <v>#N/A</v>
      </c>
      <c r="U770" t="e">
        <f>INDEX(script.out!I:I,results.txt!$M770)</f>
        <v>#N/A</v>
      </c>
      <c r="V770" t="e">
        <f>INDEX(script.out!J:J,results.txt!$M770)</f>
        <v>#N/A</v>
      </c>
      <c r="W770" t="e">
        <f>INDEX(script.out!K:K,results.txt!$M770)</f>
        <v>#N/A</v>
      </c>
      <c r="X770" t="e">
        <f>INDEX(script.out!L:L,results.txt!$M770)</f>
        <v>#N/A</v>
      </c>
      <c r="Y770" t="e">
        <f>INDEX(script.out!M:M,results.txt!$M770)</f>
        <v>#N/A</v>
      </c>
      <c r="Z770" t="e">
        <f>INDEX(script.out!N:N,results.txt!$M770)</f>
        <v>#N/A</v>
      </c>
      <c r="AA770" t="e">
        <f>INDEX(script.out!O:O,results.txt!$M770)</f>
        <v>#N/A</v>
      </c>
      <c r="AB770" t="e">
        <f>INDEX(script.out!P:P,results.txt!$M770)</f>
        <v>#N/A</v>
      </c>
      <c r="AC770" t="e">
        <f>INDEX(script.out!Q:Q,results.txt!$M770)</f>
        <v>#N/A</v>
      </c>
      <c r="AD770">
        <f t="shared" si="12"/>
        <v>0</v>
      </c>
    </row>
    <row r="771" spans="13:30" x14ac:dyDescent="0.25">
      <c r="M771" t="e">
        <f>MATCH(C771,script.out!B:B,0)</f>
        <v>#N/A</v>
      </c>
      <c r="N771" t="e">
        <f>INDEX(script.out!B:B,results.txt!$M771)</f>
        <v>#N/A</v>
      </c>
      <c r="O771" t="e">
        <f>INDEX(script.out!C:C,results.txt!$M771)</f>
        <v>#N/A</v>
      </c>
      <c r="P771" t="e">
        <f>INDEX(script.out!D:D,results.txt!$M771)</f>
        <v>#N/A</v>
      </c>
      <c r="Q771" t="e">
        <f>INDEX(script.out!E:E,results.txt!$M771)</f>
        <v>#N/A</v>
      </c>
      <c r="R771" t="e">
        <f>INDEX(script.out!F:F,results.txt!$M771)</f>
        <v>#N/A</v>
      </c>
      <c r="S771" t="e">
        <f>INDEX(script.out!G:G,results.txt!$M771)</f>
        <v>#N/A</v>
      </c>
      <c r="T771" t="e">
        <f>INDEX(script.out!H:H,results.txt!$M771)</f>
        <v>#N/A</v>
      </c>
      <c r="U771" t="e">
        <f>INDEX(script.out!I:I,results.txt!$M771)</f>
        <v>#N/A</v>
      </c>
      <c r="V771" t="e">
        <f>INDEX(script.out!J:J,results.txt!$M771)</f>
        <v>#N/A</v>
      </c>
      <c r="W771" t="e">
        <f>INDEX(script.out!K:K,results.txt!$M771)</f>
        <v>#N/A</v>
      </c>
      <c r="X771" t="e">
        <f>INDEX(script.out!L:L,results.txt!$M771)</f>
        <v>#N/A</v>
      </c>
      <c r="Y771" t="e">
        <f>INDEX(script.out!M:M,results.txt!$M771)</f>
        <v>#N/A</v>
      </c>
      <c r="Z771" t="e">
        <f>INDEX(script.out!N:N,results.txt!$M771)</f>
        <v>#N/A</v>
      </c>
      <c r="AA771" t="e">
        <f>INDEX(script.out!O:O,results.txt!$M771)</f>
        <v>#N/A</v>
      </c>
      <c r="AB771" t="e">
        <f>INDEX(script.out!P:P,results.txt!$M771)</f>
        <v>#N/A</v>
      </c>
      <c r="AC771" t="e">
        <f>INDEX(script.out!Q:Q,results.txt!$M771)</f>
        <v>#N/A</v>
      </c>
      <c r="AD771">
        <f t="shared" si="12"/>
        <v>0</v>
      </c>
    </row>
    <row r="772" spans="13:30" x14ac:dyDescent="0.25">
      <c r="M772" t="e">
        <f>MATCH(C772,script.out!B:B,0)</f>
        <v>#N/A</v>
      </c>
      <c r="N772" t="e">
        <f>INDEX(script.out!B:B,results.txt!$M772)</f>
        <v>#N/A</v>
      </c>
      <c r="O772" t="e">
        <f>INDEX(script.out!C:C,results.txt!$M772)</f>
        <v>#N/A</v>
      </c>
      <c r="P772" t="e">
        <f>INDEX(script.out!D:D,results.txt!$M772)</f>
        <v>#N/A</v>
      </c>
      <c r="Q772" t="e">
        <f>INDEX(script.out!E:E,results.txt!$M772)</f>
        <v>#N/A</v>
      </c>
      <c r="R772" t="e">
        <f>INDEX(script.out!F:F,results.txt!$M772)</f>
        <v>#N/A</v>
      </c>
      <c r="S772" t="e">
        <f>INDEX(script.out!G:G,results.txt!$M772)</f>
        <v>#N/A</v>
      </c>
      <c r="T772" t="e">
        <f>INDEX(script.out!H:H,results.txt!$M772)</f>
        <v>#N/A</v>
      </c>
      <c r="U772" t="e">
        <f>INDEX(script.out!I:I,results.txt!$M772)</f>
        <v>#N/A</v>
      </c>
      <c r="V772" t="e">
        <f>INDEX(script.out!J:J,results.txt!$M772)</f>
        <v>#N/A</v>
      </c>
      <c r="W772" t="e">
        <f>INDEX(script.out!K:K,results.txt!$M772)</f>
        <v>#N/A</v>
      </c>
      <c r="X772" t="e">
        <f>INDEX(script.out!L:L,results.txt!$M772)</f>
        <v>#N/A</v>
      </c>
      <c r="Y772" t="e">
        <f>INDEX(script.out!M:M,results.txt!$M772)</f>
        <v>#N/A</v>
      </c>
      <c r="Z772" t="e">
        <f>INDEX(script.out!N:N,results.txt!$M772)</f>
        <v>#N/A</v>
      </c>
      <c r="AA772" t="e">
        <f>INDEX(script.out!O:O,results.txt!$M772)</f>
        <v>#N/A</v>
      </c>
      <c r="AB772" t="e">
        <f>INDEX(script.out!P:P,results.txt!$M772)</f>
        <v>#N/A</v>
      </c>
      <c r="AC772" t="e">
        <f>INDEX(script.out!Q:Q,results.txt!$M772)</f>
        <v>#N/A</v>
      </c>
      <c r="AD772">
        <f t="shared" si="12"/>
        <v>0</v>
      </c>
    </row>
    <row r="773" spans="13:30" x14ac:dyDescent="0.25">
      <c r="M773" t="e">
        <f>MATCH(C773,script.out!B:B,0)</f>
        <v>#N/A</v>
      </c>
      <c r="N773" t="e">
        <f>INDEX(script.out!B:B,results.txt!$M773)</f>
        <v>#N/A</v>
      </c>
      <c r="O773" t="e">
        <f>INDEX(script.out!C:C,results.txt!$M773)</f>
        <v>#N/A</v>
      </c>
      <c r="P773" t="e">
        <f>INDEX(script.out!D:D,results.txt!$M773)</f>
        <v>#N/A</v>
      </c>
      <c r="Q773" t="e">
        <f>INDEX(script.out!E:E,results.txt!$M773)</f>
        <v>#N/A</v>
      </c>
      <c r="R773" t="e">
        <f>INDEX(script.out!F:F,results.txt!$M773)</f>
        <v>#N/A</v>
      </c>
      <c r="S773" t="e">
        <f>INDEX(script.out!G:G,results.txt!$M773)</f>
        <v>#N/A</v>
      </c>
      <c r="T773" t="e">
        <f>INDEX(script.out!H:H,results.txt!$M773)</f>
        <v>#N/A</v>
      </c>
      <c r="U773" t="e">
        <f>INDEX(script.out!I:I,results.txt!$M773)</f>
        <v>#N/A</v>
      </c>
      <c r="V773" t="e">
        <f>INDEX(script.out!J:J,results.txt!$M773)</f>
        <v>#N/A</v>
      </c>
      <c r="W773" t="e">
        <f>INDEX(script.out!K:K,results.txt!$M773)</f>
        <v>#N/A</v>
      </c>
      <c r="X773" t="e">
        <f>INDEX(script.out!L:L,results.txt!$M773)</f>
        <v>#N/A</v>
      </c>
      <c r="Y773" t="e">
        <f>INDEX(script.out!M:M,results.txt!$M773)</f>
        <v>#N/A</v>
      </c>
      <c r="Z773" t="e">
        <f>INDEX(script.out!N:N,results.txt!$M773)</f>
        <v>#N/A</v>
      </c>
      <c r="AA773" t="e">
        <f>INDEX(script.out!O:O,results.txt!$M773)</f>
        <v>#N/A</v>
      </c>
      <c r="AB773" t="e">
        <f>INDEX(script.out!P:P,results.txt!$M773)</f>
        <v>#N/A</v>
      </c>
      <c r="AC773" t="e">
        <f>INDEX(script.out!Q:Q,results.txt!$M773)</f>
        <v>#N/A</v>
      </c>
      <c r="AD773">
        <f t="shared" si="12"/>
        <v>0</v>
      </c>
    </row>
    <row r="774" spans="13:30" x14ac:dyDescent="0.25">
      <c r="M774" t="e">
        <f>MATCH(C774,script.out!B:B,0)</f>
        <v>#N/A</v>
      </c>
      <c r="N774" t="e">
        <f>INDEX(script.out!B:B,results.txt!$M774)</f>
        <v>#N/A</v>
      </c>
      <c r="O774" t="e">
        <f>INDEX(script.out!C:C,results.txt!$M774)</f>
        <v>#N/A</v>
      </c>
      <c r="P774" t="e">
        <f>INDEX(script.out!D:D,results.txt!$M774)</f>
        <v>#N/A</v>
      </c>
      <c r="Q774" t="e">
        <f>INDEX(script.out!E:E,results.txt!$M774)</f>
        <v>#N/A</v>
      </c>
      <c r="R774" t="e">
        <f>INDEX(script.out!F:F,results.txt!$M774)</f>
        <v>#N/A</v>
      </c>
      <c r="S774" t="e">
        <f>INDEX(script.out!G:G,results.txt!$M774)</f>
        <v>#N/A</v>
      </c>
      <c r="T774" t="e">
        <f>INDEX(script.out!H:H,results.txt!$M774)</f>
        <v>#N/A</v>
      </c>
      <c r="U774" t="e">
        <f>INDEX(script.out!I:I,results.txt!$M774)</f>
        <v>#N/A</v>
      </c>
      <c r="V774" t="e">
        <f>INDEX(script.out!J:J,results.txt!$M774)</f>
        <v>#N/A</v>
      </c>
      <c r="W774" t="e">
        <f>INDEX(script.out!K:K,results.txt!$M774)</f>
        <v>#N/A</v>
      </c>
      <c r="X774" t="e">
        <f>INDEX(script.out!L:L,results.txt!$M774)</f>
        <v>#N/A</v>
      </c>
      <c r="Y774" t="e">
        <f>INDEX(script.out!M:M,results.txt!$M774)</f>
        <v>#N/A</v>
      </c>
      <c r="Z774" t="e">
        <f>INDEX(script.out!N:N,results.txt!$M774)</f>
        <v>#N/A</v>
      </c>
      <c r="AA774" t="e">
        <f>INDEX(script.out!O:O,results.txt!$M774)</f>
        <v>#N/A</v>
      </c>
      <c r="AB774" t="e">
        <f>INDEX(script.out!P:P,results.txt!$M774)</f>
        <v>#N/A</v>
      </c>
      <c r="AC774" t="e">
        <f>INDEX(script.out!Q:Q,results.txt!$M774)</f>
        <v>#N/A</v>
      </c>
      <c r="AD774">
        <f t="shared" si="12"/>
        <v>0</v>
      </c>
    </row>
    <row r="775" spans="13:30" x14ac:dyDescent="0.25">
      <c r="M775" t="e">
        <f>MATCH(C775,script.out!B:B,0)</f>
        <v>#N/A</v>
      </c>
      <c r="N775" t="e">
        <f>INDEX(script.out!B:B,results.txt!$M775)</f>
        <v>#N/A</v>
      </c>
      <c r="O775" t="e">
        <f>INDEX(script.out!C:C,results.txt!$M775)</f>
        <v>#N/A</v>
      </c>
      <c r="P775" t="e">
        <f>INDEX(script.out!D:D,results.txt!$M775)</f>
        <v>#N/A</v>
      </c>
      <c r="Q775" t="e">
        <f>INDEX(script.out!E:E,results.txt!$M775)</f>
        <v>#N/A</v>
      </c>
      <c r="R775" t="e">
        <f>INDEX(script.out!F:F,results.txt!$M775)</f>
        <v>#N/A</v>
      </c>
      <c r="S775" t="e">
        <f>INDEX(script.out!G:G,results.txt!$M775)</f>
        <v>#N/A</v>
      </c>
      <c r="T775" t="e">
        <f>INDEX(script.out!H:H,results.txt!$M775)</f>
        <v>#N/A</v>
      </c>
      <c r="U775" t="e">
        <f>INDEX(script.out!I:I,results.txt!$M775)</f>
        <v>#N/A</v>
      </c>
      <c r="V775" t="e">
        <f>INDEX(script.out!J:J,results.txt!$M775)</f>
        <v>#N/A</v>
      </c>
      <c r="W775" t="e">
        <f>INDEX(script.out!K:K,results.txt!$M775)</f>
        <v>#N/A</v>
      </c>
      <c r="X775" t="e">
        <f>INDEX(script.out!L:L,results.txt!$M775)</f>
        <v>#N/A</v>
      </c>
      <c r="Y775" t="e">
        <f>INDEX(script.out!M:M,results.txt!$M775)</f>
        <v>#N/A</v>
      </c>
      <c r="Z775" t="e">
        <f>INDEX(script.out!N:N,results.txt!$M775)</f>
        <v>#N/A</v>
      </c>
      <c r="AA775" t="e">
        <f>INDEX(script.out!O:O,results.txt!$M775)</f>
        <v>#N/A</v>
      </c>
      <c r="AB775" t="e">
        <f>INDEX(script.out!P:P,results.txt!$M775)</f>
        <v>#N/A</v>
      </c>
      <c r="AC775" t="e">
        <f>INDEX(script.out!Q:Q,results.txt!$M775)</f>
        <v>#N/A</v>
      </c>
      <c r="AD775">
        <f t="shared" si="12"/>
        <v>0</v>
      </c>
    </row>
    <row r="776" spans="13:30" x14ac:dyDescent="0.25">
      <c r="M776" t="e">
        <f>MATCH(C776,script.out!B:B,0)</f>
        <v>#N/A</v>
      </c>
      <c r="N776" t="e">
        <f>INDEX(script.out!B:B,results.txt!$M776)</f>
        <v>#N/A</v>
      </c>
      <c r="O776" t="e">
        <f>INDEX(script.out!C:C,results.txt!$M776)</f>
        <v>#N/A</v>
      </c>
      <c r="P776" t="e">
        <f>INDEX(script.out!D:D,results.txt!$M776)</f>
        <v>#N/A</v>
      </c>
      <c r="Q776" t="e">
        <f>INDEX(script.out!E:E,results.txt!$M776)</f>
        <v>#N/A</v>
      </c>
      <c r="R776" t="e">
        <f>INDEX(script.out!F:F,results.txt!$M776)</f>
        <v>#N/A</v>
      </c>
      <c r="S776" t="e">
        <f>INDEX(script.out!G:G,results.txt!$M776)</f>
        <v>#N/A</v>
      </c>
      <c r="T776" t="e">
        <f>INDEX(script.out!H:H,results.txt!$M776)</f>
        <v>#N/A</v>
      </c>
      <c r="U776" t="e">
        <f>INDEX(script.out!I:I,results.txt!$M776)</f>
        <v>#N/A</v>
      </c>
      <c r="V776" t="e">
        <f>INDEX(script.out!J:J,results.txt!$M776)</f>
        <v>#N/A</v>
      </c>
      <c r="W776" t="e">
        <f>INDEX(script.out!K:K,results.txt!$M776)</f>
        <v>#N/A</v>
      </c>
      <c r="X776" t="e">
        <f>INDEX(script.out!L:L,results.txt!$M776)</f>
        <v>#N/A</v>
      </c>
      <c r="Y776" t="e">
        <f>INDEX(script.out!M:M,results.txt!$M776)</f>
        <v>#N/A</v>
      </c>
      <c r="Z776" t="e">
        <f>INDEX(script.out!N:N,results.txt!$M776)</f>
        <v>#N/A</v>
      </c>
      <c r="AA776" t="e">
        <f>INDEX(script.out!O:O,results.txt!$M776)</f>
        <v>#N/A</v>
      </c>
      <c r="AB776" t="e">
        <f>INDEX(script.out!P:P,results.txt!$M776)</f>
        <v>#N/A</v>
      </c>
      <c r="AC776" t="e">
        <f>INDEX(script.out!Q:Q,results.txt!$M776)</f>
        <v>#N/A</v>
      </c>
      <c r="AD776">
        <f t="shared" si="12"/>
        <v>0</v>
      </c>
    </row>
    <row r="777" spans="13:30" x14ac:dyDescent="0.25">
      <c r="M777" t="e">
        <f>MATCH(C777,script.out!B:B,0)</f>
        <v>#N/A</v>
      </c>
      <c r="N777" t="e">
        <f>INDEX(script.out!B:B,results.txt!$M777)</f>
        <v>#N/A</v>
      </c>
      <c r="O777" t="e">
        <f>INDEX(script.out!C:C,results.txt!$M777)</f>
        <v>#N/A</v>
      </c>
      <c r="P777" t="e">
        <f>INDEX(script.out!D:D,results.txt!$M777)</f>
        <v>#N/A</v>
      </c>
      <c r="Q777" t="e">
        <f>INDEX(script.out!E:E,results.txt!$M777)</f>
        <v>#N/A</v>
      </c>
      <c r="R777" t="e">
        <f>INDEX(script.out!F:F,results.txt!$M777)</f>
        <v>#N/A</v>
      </c>
      <c r="S777" t="e">
        <f>INDEX(script.out!G:G,results.txt!$M777)</f>
        <v>#N/A</v>
      </c>
      <c r="T777" t="e">
        <f>INDEX(script.out!H:H,results.txt!$M777)</f>
        <v>#N/A</v>
      </c>
      <c r="U777" t="e">
        <f>INDEX(script.out!I:I,results.txt!$M777)</f>
        <v>#N/A</v>
      </c>
      <c r="V777" t="e">
        <f>INDEX(script.out!J:J,results.txt!$M777)</f>
        <v>#N/A</v>
      </c>
      <c r="W777" t="e">
        <f>INDEX(script.out!K:K,results.txt!$M777)</f>
        <v>#N/A</v>
      </c>
      <c r="X777" t="e">
        <f>INDEX(script.out!L:L,results.txt!$M777)</f>
        <v>#N/A</v>
      </c>
      <c r="Y777" t="e">
        <f>INDEX(script.out!M:M,results.txt!$M777)</f>
        <v>#N/A</v>
      </c>
      <c r="Z777" t="e">
        <f>INDEX(script.out!N:N,results.txt!$M777)</f>
        <v>#N/A</v>
      </c>
      <c r="AA777" t="e">
        <f>INDEX(script.out!O:O,results.txt!$M777)</f>
        <v>#N/A</v>
      </c>
      <c r="AB777" t="e">
        <f>INDEX(script.out!P:P,results.txt!$M777)</f>
        <v>#N/A</v>
      </c>
      <c r="AC777" t="e">
        <f>INDEX(script.out!Q:Q,results.txt!$M777)</f>
        <v>#N/A</v>
      </c>
      <c r="AD777">
        <f t="shared" si="12"/>
        <v>0</v>
      </c>
    </row>
    <row r="778" spans="13:30" x14ac:dyDescent="0.25">
      <c r="M778" t="e">
        <f>MATCH(C778,script.out!B:B,0)</f>
        <v>#N/A</v>
      </c>
      <c r="N778" t="e">
        <f>INDEX(script.out!B:B,results.txt!$M778)</f>
        <v>#N/A</v>
      </c>
      <c r="O778" t="e">
        <f>INDEX(script.out!C:C,results.txt!$M778)</f>
        <v>#N/A</v>
      </c>
      <c r="P778" t="e">
        <f>INDEX(script.out!D:D,results.txt!$M778)</f>
        <v>#N/A</v>
      </c>
      <c r="Q778" t="e">
        <f>INDEX(script.out!E:E,results.txt!$M778)</f>
        <v>#N/A</v>
      </c>
      <c r="R778" t="e">
        <f>INDEX(script.out!F:F,results.txt!$M778)</f>
        <v>#N/A</v>
      </c>
      <c r="S778" t="e">
        <f>INDEX(script.out!G:G,results.txt!$M778)</f>
        <v>#N/A</v>
      </c>
      <c r="T778" t="e">
        <f>INDEX(script.out!H:H,results.txt!$M778)</f>
        <v>#N/A</v>
      </c>
      <c r="U778" t="e">
        <f>INDEX(script.out!I:I,results.txt!$M778)</f>
        <v>#N/A</v>
      </c>
      <c r="V778" t="e">
        <f>INDEX(script.out!J:J,results.txt!$M778)</f>
        <v>#N/A</v>
      </c>
      <c r="W778" t="e">
        <f>INDEX(script.out!K:K,results.txt!$M778)</f>
        <v>#N/A</v>
      </c>
      <c r="X778" t="e">
        <f>INDEX(script.out!L:L,results.txt!$M778)</f>
        <v>#N/A</v>
      </c>
      <c r="Y778" t="e">
        <f>INDEX(script.out!M:M,results.txt!$M778)</f>
        <v>#N/A</v>
      </c>
      <c r="Z778" t="e">
        <f>INDEX(script.out!N:N,results.txt!$M778)</f>
        <v>#N/A</v>
      </c>
      <c r="AA778" t="e">
        <f>INDEX(script.out!O:O,results.txt!$M778)</f>
        <v>#N/A</v>
      </c>
      <c r="AB778" t="e">
        <f>INDEX(script.out!P:P,results.txt!$M778)</f>
        <v>#N/A</v>
      </c>
      <c r="AC778" t="e">
        <f>INDEX(script.out!Q:Q,results.txt!$M778)</f>
        <v>#N/A</v>
      </c>
      <c r="AD778">
        <f t="shared" si="12"/>
        <v>0</v>
      </c>
    </row>
    <row r="779" spans="13:30" x14ac:dyDescent="0.25">
      <c r="M779" t="e">
        <f>MATCH(C779,script.out!B:B,0)</f>
        <v>#N/A</v>
      </c>
      <c r="N779" t="e">
        <f>INDEX(script.out!B:B,results.txt!$M779)</f>
        <v>#N/A</v>
      </c>
      <c r="O779" t="e">
        <f>INDEX(script.out!C:C,results.txt!$M779)</f>
        <v>#N/A</v>
      </c>
      <c r="P779" t="e">
        <f>INDEX(script.out!D:D,results.txt!$M779)</f>
        <v>#N/A</v>
      </c>
      <c r="Q779" t="e">
        <f>INDEX(script.out!E:E,results.txt!$M779)</f>
        <v>#N/A</v>
      </c>
      <c r="R779" t="e">
        <f>INDEX(script.out!F:F,results.txt!$M779)</f>
        <v>#N/A</v>
      </c>
      <c r="S779" t="e">
        <f>INDEX(script.out!G:G,results.txt!$M779)</f>
        <v>#N/A</v>
      </c>
      <c r="T779" t="e">
        <f>INDEX(script.out!H:H,results.txt!$M779)</f>
        <v>#N/A</v>
      </c>
      <c r="U779" t="e">
        <f>INDEX(script.out!I:I,results.txt!$M779)</f>
        <v>#N/A</v>
      </c>
      <c r="V779" t="e">
        <f>INDEX(script.out!J:J,results.txt!$M779)</f>
        <v>#N/A</v>
      </c>
      <c r="W779" t="e">
        <f>INDEX(script.out!K:K,results.txt!$M779)</f>
        <v>#N/A</v>
      </c>
      <c r="X779" t="e">
        <f>INDEX(script.out!L:L,results.txt!$M779)</f>
        <v>#N/A</v>
      </c>
      <c r="Y779" t="e">
        <f>INDEX(script.out!M:M,results.txt!$M779)</f>
        <v>#N/A</v>
      </c>
      <c r="Z779" t="e">
        <f>INDEX(script.out!N:N,results.txt!$M779)</f>
        <v>#N/A</v>
      </c>
      <c r="AA779" t="e">
        <f>INDEX(script.out!O:O,results.txt!$M779)</f>
        <v>#N/A</v>
      </c>
      <c r="AB779" t="e">
        <f>INDEX(script.out!P:P,results.txt!$M779)</f>
        <v>#N/A</v>
      </c>
      <c r="AC779" t="e">
        <f>INDEX(script.out!Q:Q,results.txt!$M779)</f>
        <v>#N/A</v>
      </c>
      <c r="AD779">
        <f t="shared" si="12"/>
        <v>0</v>
      </c>
    </row>
    <row r="780" spans="13:30" x14ac:dyDescent="0.25">
      <c r="M780" t="e">
        <f>MATCH(C780,script.out!B:B,0)</f>
        <v>#N/A</v>
      </c>
      <c r="N780" t="e">
        <f>INDEX(script.out!B:B,results.txt!$M780)</f>
        <v>#N/A</v>
      </c>
      <c r="O780" t="e">
        <f>INDEX(script.out!C:C,results.txt!$M780)</f>
        <v>#N/A</v>
      </c>
      <c r="P780" t="e">
        <f>INDEX(script.out!D:D,results.txt!$M780)</f>
        <v>#N/A</v>
      </c>
      <c r="Q780" t="e">
        <f>INDEX(script.out!E:E,results.txt!$M780)</f>
        <v>#N/A</v>
      </c>
      <c r="R780" t="e">
        <f>INDEX(script.out!F:F,results.txt!$M780)</f>
        <v>#N/A</v>
      </c>
      <c r="S780" t="e">
        <f>INDEX(script.out!G:G,results.txt!$M780)</f>
        <v>#N/A</v>
      </c>
      <c r="T780" t="e">
        <f>INDEX(script.out!H:H,results.txt!$M780)</f>
        <v>#N/A</v>
      </c>
      <c r="U780" t="e">
        <f>INDEX(script.out!I:I,results.txt!$M780)</f>
        <v>#N/A</v>
      </c>
      <c r="V780" t="e">
        <f>INDEX(script.out!J:J,results.txt!$M780)</f>
        <v>#N/A</v>
      </c>
      <c r="W780" t="e">
        <f>INDEX(script.out!K:K,results.txt!$M780)</f>
        <v>#N/A</v>
      </c>
      <c r="X780" t="e">
        <f>INDEX(script.out!L:L,results.txt!$M780)</f>
        <v>#N/A</v>
      </c>
      <c r="Y780" t="e">
        <f>INDEX(script.out!M:M,results.txt!$M780)</f>
        <v>#N/A</v>
      </c>
      <c r="Z780" t="e">
        <f>INDEX(script.out!N:N,results.txt!$M780)</f>
        <v>#N/A</v>
      </c>
      <c r="AA780" t="e">
        <f>INDEX(script.out!O:O,results.txt!$M780)</f>
        <v>#N/A</v>
      </c>
      <c r="AB780" t="e">
        <f>INDEX(script.out!P:P,results.txt!$M780)</f>
        <v>#N/A</v>
      </c>
      <c r="AC780" t="e">
        <f>INDEX(script.out!Q:Q,results.txt!$M780)</f>
        <v>#N/A</v>
      </c>
      <c r="AD780">
        <f t="shared" si="12"/>
        <v>0</v>
      </c>
    </row>
    <row r="781" spans="13:30" x14ac:dyDescent="0.25">
      <c r="M781" t="e">
        <f>MATCH(C781,script.out!B:B,0)</f>
        <v>#N/A</v>
      </c>
      <c r="N781" t="e">
        <f>INDEX(script.out!B:B,results.txt!$M781)</f>
        <v>#N/A</v>
      </c>
      <c r="O781" t="e">
        <f>INDEX(script.out!C:C,results.txt!$M781)</f>
        <v>#N/A</v>
      </c>
      <c r="P781" t="e">
        <f>INDEX(script.out!D:D,results.txt!$M781)</f>
        <v>#N/A</v>
      </c>
      <c r="Q781" t="e">
        <f>INDEX(script.out!E:E,results.txt!$M781)</f>
        <v>#N/A</v>
      </c>
      <c r="R781" t="e">
        <f>INDEX(script.out!F:F,results.txt!$M781)</f>
        <v>#N/A</v>
      </c>
      <c r="S781" t="e">
        <f>INDEX(script.out!G:G,results.txt!$M781)</f>
        <v>#N/A</v>
      </c>
      <c r="T781" t="e">
        <f>INDEX(script.out!H:H,results.txt!$M781)</f>
        <v>#N/A</v>
      </c>
      <c r="U781" t="e">
        <f>INDEX(script.out!I:I,results.txt!$M781)</f>
        <v>#N/A</v>
      </c>
      <c r="V781" t="e">
        <f>INDEX(script.out!J:J,results.txt!$M781)</f>
        <v>#N/A</v>
      </c>
      <c r="W781" t="e">
        <f>INDEX(script.out!K:K,results.txt!$M781)</f>
        <v>#N/A</v>
      </c>
      <c r="X781" t="e">
        <f>INDEX(script.out!L:L,results.txt!$M781)</f>
        <v>#N/A</v>
      </c>
      <c r="Y781" t="e">
        <f>INDEX(script.out!M:M,results.txt!$M781)</f>
        <v>#N/A</v>
      </c>
      <c r="Z781" t="e">
        <f>INDEX(script.out!N:N,results.txt!$M781)</f>
        <v>#N/A</v>
      </c>
      <c r="AA781" t="e">
        <f>INDEX(script.out!O:O,results.txt!$M781)</f>
        <v>#N/A</v>
      </c>
      <c r="AB781" t="e">
        <f>INDEX(script.out!P:P,results.txt!$M781)</f>
        <v>#N/A</v>
      </c>
      <c r="AC781" t="e">
        <f>INDEX(script.out!Q:Q,results.txt!$M781)</f>
        <v>#N/A</v>
      </c>
      <c r="AD781">
        <f t="shared" si="12"/>
        <v>0</v>
      </c>
    </row>
    <row r="782" spans="13:30" x14ac:dyDescent="0.25">
      <c r="M782" t="e">
        <f>MATCH(C782,script.out!B:B,0)</f>
        <v>#N/A</v>
      </c>
      <c r="N782" t="e">
        <f>INDEX(script.out!B:B,results.txt!$M782)</f>
        <v>#N/A</v>
      </c>
      <c r="O782" t="e">
        <f>INDEX(script.out!C:C,results.txt!$M782)</f>
        <v>#N/A</v>
      </c>
      <c r="P782" t="e">
        <f>INDEX(script.out!D:D,results.txt!$M782)</f>
        <v>#N/A</v>
      </c>
      <c r="Q782" t="e">
        <f>INDEX(script.out!E:E,results.txt!$M782)</f>
        <v>#N/A</v>
      </c>
      <c r="R782" t="e">
        <f>INDEX(script.out!F:F,results.txt!$M782)</f>
        <v>#N/A</v>
      </c>
      <c r="S782" t="e">
        <f>INDEX(script.out!G:G,results.txt!$M782)</f>
        <v>#N/A</v>
      </c>
      <c r="T782" t="e">
        <f>INDEX(script.out!H:H,results.txt!$M782)</f>
        <v>#N/A</v>
      </c>
      <c r="U782" t="e">
        <f>INDEX(script.out!I:I,results.txt!$M782)</f>
        <v>#N/A</v>
      </c>
      <c r="V782" t="e">
        <f>INDEX(script.out!J:J,results.txt!$M782)</f>
        <v>#N/A</v>
      </c>
      <c r="W782" t="e">
        <f>INDEX(script.out!K:K,results.txt!$M782)</f>
        <v>#N/A</v>
      </c>
      <c r="X782" t="e">
        <f>INDEX(script.out!L:L,results.txt!$M782)</f>
        <v>#N/A</v>
      </c>
      <c r="Y782" t="e">
        <f>INDEX(script.out!M:M,results.txt!$M782)</f>
        <v>#N/A</v>
      </c>
      <c r="Z782" t="e">
        <f>INDEX(script.out!N:N,results.txt!$M782)</f>
        <v>#N/A</v>
      </c>
      <c r="AA782" t="e">
        <f>INDEX(script.out!O:O,results.txt!$M782)</f>
        <v>#N/A</v>
      </c>
      <c r="AB782" t="e">
        <f>INDEX(script.out!P:P,results.txt!$M782)</f>
        <v>#N/A</v>
      </c>
      <c r="AC782" t="e">
        <f>INDEX(script.out!Q:Q,results.txt!$M782)</f>
        <v>#N/A</v>
      </c>
      <c r="AD782">
        <f t="shared" si="12"/>
        <v>0</v>
      </c>
    </row>
    <row r="783" spans="13:30" x14ac:dyDescent="0.25">
      <c r="M783" t="e">
        <f>MATCH(C783,script.out!B:B,0)</f>
        <v>#N/A</v>
      </c>
      <c r="N783" t="e">
        <f>INDEX(script.out!B:B,results.txt!$M783)</f>
        <v>#N/A</v>
      </c>
      <c r="O783" t="e">
        <f>INDEX(script.out!C:C,results.txt!$M783)</f>
        <v>#N/A</v>
      </c>
      <c r="P783" t="e">
        <f>INDEX(script.out!D:D,results.txt!$M783)</f>
        <v>#N/A</v>
      </c>
      <c r="Q783" t="e">
        <f>INDEX(script.out!E:E,results.txt!$M783)</f>
        <v>#N/A</v>
      </c>
      <c r="R783" t="e">
        <f>INDEX(script.out!F:F,results.txt!$M783)</f>
        <v>#N/A</v>
      </c>
      <c r="S783" t="e">
        <f>INDEX(script.out!G:G,results.txt!$M783)</f>
        <v>#N/A</v>
      </c>
      <c r="T783" t="e">
        <f>INDEX(script.out!H:H,results.txt!$M783)</f>
        <v>#N/A</v>
      </c>
      <c r="U783" t="e">
        <f>INDEX(script.out!I:I,results.txt!$M783)</f>
        <v>#N/A</v>
      </c>
      <c r="V783" t="e">
        <f>INDEX(script.out!J:J,results.txt!$M783)</f>
        <v>#N/A</v>
      </c>
      <c r="W783" t="e">
        <f>INDEX(script.out!K:K,results.txt!$M783)</f>
        <v>#N/A</v>
      </c>
      <c r="X783" t="e">
        <f>INDEX(script.out!L:L,results.txt!$M783)</f>
        <v>#N/A</v>
      </c>
      <c r="Y783" t="e">
        <f>INDEX(script.out!M:M,results.txt!$M783)</f>
        <v>#N/A</v>
      </c>
      <c r="Z783" t="e">
        <f>INDEX(script.out!N:N,results.txt!$M783)</f>
        <v>#N/A</v>
      </c>
      <c r="AA783" t="e">
        <f>INDEX(script.out!O:O,results.txt!$M783)</f>
        <v>#N/A</v>
      </c>
      <c r="AB783" t="e">
        <f>INDEX(script.out!P:P,results.txt!$M783)</f>
        <v>#N/A</v>
      </c>
      <c r="AC783" t="e">
        <f>INDEX(script.out!Q:Q,results.txt!$M783)</f>
        <v>#N/A</v>
      </c>
      <c r="AD783">
        <f t="shared" si="12"/>
        <v>0</v>
      </c>
    </row>
    <row r="784" spans="13:30" x14ac:dyDescent="0.25">
      <c r="M784" t="e">
        <f>MATCH(C784,script.out!B:B,0)</f>
        <v>#N/A</v>
      </c>
      <c r="N784" t="e">
        <f>INDEX(script.out!B:B,results.txt!$M784)</f>
        <v>#N/A</v>
      </c>
      <c r="O784" t="e">
        <f>INDEX(script.out!C:C,results.txt!$M784)</f>
        <v>#N/A</v>
      </c>
      <c r="P784" t="e">
        <f>INDEX(script.out!D:D,results.txt!$M784)</f>
        <v>#N/A</v>
      </c>
      <c r="Q784" t="e">
        <f>INDEX(script.out!E:E,results.txt!$M784)</f>
        <v>#N/A</v>
      </c>
      <c r="R784" t="e">
        <f>INDEX(script.out!F:F,results.txt!$M784)</f>
        <v>#N/A</v>
      </c>
      <c r="S784" t="e">
        <f>INDEX(script.out!G:G,results.txt!$M784)</f>
        <v>#N/A</v>
      </c>
      <c r="T784" t="e">
        <f>INDEX(script.out!H:H,results.txt!$M784)</f>
        <v>#N/A</v>
      </c>
      <c r="U784" t="e">
        <f>INDEX(script.out!I:I,results.txt!$M784)</f>
        <v>#N/A</v>
      </c>
      <c r="V784" t="e">
        <f>INDEX(script.out!J:J,results.txt!$M784)</f>
        <v>#N/A</v>
      </c>
      <c r="W784" t="e">
        <f>INDEX(script.out!K:K,results.txt!$M784)</f>
        <v>#N/A</v>
      </c>
      <c r="X784" t="e">
        <f>INDEX(script.out!L:L,results.txt!$M784)</f>
        <v>#N/A</v>
      </c>
      <c r="Y784" t="e">
        <f>INDEX(script.out!M:M,results.txt!$M784)</f>
        <v>#N/A</v>
      </c>
      <c r="Z784" t="e">
        <f>INDEX(script.out!N:N,results.txt!$M784)</f>
        <v>#N/A</v>
      </c>
      <c r="AA784" t="e">
        <f>INDEX(script.out!O:O,results.txt!$M784)</f>
        <v>#N/A</v>
      </c>
      <c r="AB784" t="e">
        <f>INDEX(script.out!P:P,results.txt!$M784)</f>
        <v>#N/A</v>
      </c>
      <c r="AC784" t="e">
        <f>INDEX(script.out!Q:Q,results.txt!$M784)</f>
        <v>#N/A</v>
      </c>
      <c r="AD784">
        <f t="shared" si="12"/>
        <v>0</v>
      </c>
    </row>
    <row r="785" spans="13:30" x14ac:dyDescent="0.25">
      <c r="M785" t="e">
        <f>MATCH(C785,script.out!B:B,0)</f>
        <v>#N/A</v>
      </c>
      <c r="N785" t="e">
        <f>INDEX(script.out!B:B,results.txt!$M785)</f>
        <v>#N/A</v>
      </c>
      <c r="O785" t="e">
        <f>INDEX(script.out!C:C,results.txt!$M785)</f>
        <v>#N/A</v>
      </c>
      <c r="P785" t="e">
        <f>INDEX(script.out!D:D,results.txt!$M785)</f>
        <v>#N/A</v>
      </c>
      <c r="Q785" t="e">
        <f>INDEX(script.out!E:E,results.txt!$M785)</f>
        <v>#N/A</v>
      </c>
      <c r="R785" t="e">
        <f>INDEX(script.out!F:F,results.txt!$M785)</f>
        <v>#N/A</v>
      </c>
      <c r="S785" t="e">
        <f>INDEX(script.out!G:G,results.txt!$M785)</f>
        <v>#N/A</v>
      </c>
      <c r="T785" t="e">
        <f>INDEX(script.out!H:H,results.txt!$M785)</f>
        <v>#N/A</v>
      </c>
      <c r="U785" t="e">
        <f>INDEX(script.out!I:I,results.txt!$M785)</f>
        <v>#N/A</v>
      </c>
      <c r="V785" t="e">
        <f>INDEX(script.out!J:J,results.txt!$M785)</f>
        <v>#N/A</v>
      </c>
      <c r="W785" t="e">
        <f>INDEX(script.out!K:K,results.txt!$M785)</f>
        <v>#N/A</v>
      </c>
      <c r="X785" t="e">
        <f>INDEX(script.out!L:L,results.txt!$M785)</f>
        <v>#N/A</v>
      </c>
      <c r="Y785" t="e">
        <f>INDEX(script.out!M:M,results.txt!$M785)</f>
        <v>#N/A</v>
      </c>
      <c r="Z785" t="e">
        <f>INDEX(script.out!N:N,results.txt!$M785)</f>
        <v>#N/A</v>
      </c>
      <c r="AA785" t="e">
        <f>INDEX(script.out!O:O,results.txt!$M785)</f>
        <v>#N/A</v>
      </c>
      <c r="AB785" t="e">
        <f>INDEX(script.out!P:P,results.txt!$M785)</f>
        <v>#N/A</v>
      </c>
      <c r="AC785" t="e">
        <f>INDEX(script.out!Q:Q,results.txt!$M785)</f>
        <v>#N/A</v>
      </c>
      <c r="AD785">
        <f t="shared" si="12"/>
        <v>0</v>
      </c>
    </row>
    <row r="786" spans="13:30" x14ac:dyDescent="0.25">
      <c r="M786" t="e">
        <f>MATCH(C786,script.out!B:B,0)</f>
        <v>#N/A</v>
      </c>
      <c r="N786" t="e">
        <f>INDEX(script.out!B:B,results.txt!$M786)</f>
        <v>#N/A</v>
      </c>
      <c r="O786" t="e">
        <f>INDEX(script.out!C:C,results.txt!$M786)</f>
        <v>#N/A</v>
      </c>
      <c r="P786" t="e">
        <f>INDEX(script.out!D:D,results.txt!$M786)</f>
        <v>#N/A</v>
      </c>
      <c r="Q786" t="e">
        <f>INDEX(script.out!E:E,results.txt!$M786)</f>
        <v>#N/A</v>
      </c>
      <c r="R786" t="e">
        <f>INDEX(script.out!F:F,results.txt!$M786)</f>
        <v>#N/A</v>
      </c>
      <c r="S786" t="e">
        <f>INDEX(script.out!G:G,results.txt!$M786)</f>
        <v>#N/A</v>
      </c>
      <c r="T786" t="e">
        <f>INDEX(script.out!H:H,results.txt!$M786)</f>
        <v>#N/A</v>
      </c>
      <c r="U786" t="e">
        <f>INDEX(script.out!I:I,results.txt!$M786)</f>
        <v>#N/A</v>
      </c>
      <c r="V786" t="e">
        <f>INDEX(script.out!J:J,results.txt!$M786)</f>
        <v>#N/A</v>
      </c>
      <c r="W786" t="e">
        <f>INDEX(script.out!K:K,results.txt!$M786)</f>
        <v>#N/A</v>
      </c>
      <c r="X786" t="e">
        <f>INDEX(script.out!L:L,results.txt!$M786)</f>
        <v>#N/A</v>
      </c>
      <c r="Y786" t="e">
        <f>INDEX(script.out!M:M,results.txt!$M786)</f>
        <v>#N/A</v>
      </c>
      <c r="Z786" t="e">
        <f>INDEX(script.out!N:N,results.txt!$M786)</f>
        <v>#N/A</v>
      </c>
      <c r="AA786" t="e">
        <f>INDEX(script.out!O:O,results.txt!$M786)</f>
        <v>#N/A</v>
      </c>
      <c r="AB786" t="e">
        <f>INDEX(script.out!P:P,results.txt!$M786)</f>
        <v>#N/A</v>
      </c>
      <c r="AC786" t="e">
        <f>INDEX(script.out!Q:Q,results.txt!$M786)</f>
        <v>#N/A</v>
      </c>
      <c r="AD786">
        <f t="shared" si="12"/>
        <v>0</v>
      </c>
    </row>
    <row r="787" spans="13:30" x14ac:dyDescent="0.25">
      <c r="M787" t="e">
        <f>MATCH(C787,script.out!B:B,0)</f>
        <v>#N/A</v>
      </c>
      <c r="N787" t="e">
        <f>INDEX(script.out!B:B,results.txt!$M787)</f>
        <v>#N/A</v>
      </c>
      <c r="O787" t="e">
        <f>INDEX(script.out!C:C,results.txt!$M787)</f>
        <v>#N/A</v>
      </c>
      <c r="P787" t="e">
        <f>INDEX(script.out!D:D,results.txt!$M787)</f>
        <v>#N/A</v>
      </c>
      <c r="Q787" t="e">
        <f>INDEX(script.out!E:E,results.txt!$M787)</f>
        <v>#N/A</v>
      </c>
      <c r="R787" t="e">
        <f>INDEX(script.out!F:F,results.txt!$M787)</f>
        <v>#N/A</v>
      </c>
      <c r="S787" t="e">
        <f>INDEX(script.out!G:G,results.txt!$M787)</f>
        <v>#N/A</v>
      </c>
      <c r="T787" t="e">
        <f>INDEX(script.out!H:H,results.txt!$M787)</f>
        <v>#N/A</v>
      </c>
      <c r="U787" t="e">
        <f>INDEX(script.out!I:I,results.txt!$M787)</f>
        <v>#N/A</v>
      </c>
      <c r="V787" t="e">
        <f>INDEX(script.out!J:J,results.txt!$M787)</f>
        <v>#N/A</v>
      </c>
      <c r="W787" t="e">
        <f>INDEX(script.out!K:K,results.txt!$M787)</f>
        <v>#N/A</v>
      </c>
      <c r="X787" t="e">
        <f>INDEX(script.out!L:L,results.txt!$M787)</f>
        <v>#N/A</v>
      </c>
      <c r="Y787" t="e">
        <f>INDEX(script.out!M:M,results.txt!$M787)</f>
        <v>#N/A</v>
      </c>
      <c r="Z787" t="e">
        <f>INDEX(script.out!N:N,results.txt!$M787)</f>
        <v>#N/A</v>
      </c>
      <c r="AA787" t="e">
        <f>INDEX(script.out!O:O,results.txt!$M787)</f>
        <v>#N/A</v>
      </c>
      <c r="AB787" t="e">
        <f>INDEX(script.out!P:P,results.txt!$M787)</f>
        <v>#N/A</v>
      </c>
      <c r="AC787" t="e">
        <f>INDEX(script.out!Q:Q,results.txt!$M787)</f>
        <v>#N/A</v>
      </c>
      <c r="AD787">
        <f t="shared" si="12"/>
        <v>0</v>
      </c>
    </row>
    <row r="788" spans="13:30" x14ac:dyDescent="0.25">
      <c r="M788" t="e">
        <f>MATCH(C788,script.out!B:B,0)</f>
        <v>#N/A</v>
      </c>
      <c r="N788" t="e">
        <f>INDEX(script.out!B:B,results.txt!$M788)</f>
        <v>#N/A</v>
      </c>
      <c r="O788" t="e">
        <f>INDEX(script.out!C:C,results.txt!$M788)</f>
        <v>#N/A</v>
      </c>
      <c r="P788" t="e">
        <f>INDEX(script.out!D:D,results.txt!$M788)</f>
        <v>#N/A</v>
      </c>
      <c r="Q788" t="e">
        <f>INDEX(script.out!E:E,results.txt!$M788)</f>
        <v>#N/A</v>
      </c>
      <c r="R788" t="e">
        <f>INDEX(script.out!F:F,results.txt!$M788)</f>
        <v>#N/A</v>
      </c>
      <c r="S788" t="e">
        <f>INDEX(script.out!G:G,results.txt!$M788)</f>
        <v>#N/A</v>
      </c>
      <c r="T788" t="e">
        <f>INDEX(script.out!H:H,results.txt!$M788)</f>
        <v>#N/A</v>
      </c>
      <c r="U788" t="e">
        <f>INDEX(script.out!I:I,results.txt!$M788)</f>
        <v>#N/A</v>
      </c>
      <c r="V788" t="e">
        <f>INDEX(script.out!J:J,results.txt!$M788)</f>
        <v>#N/A</v>
      </c>
      <c r="W788" t="e">
        <f>INDEX(script.out!K:K,results.txt!$M788)</f>
        <v>#N/A</v>
      </c>
      <c r="X788" t="e">
        <f>INDEX(script.out!L:L,results.txt!$M788)</f>
        <v>#N/A</v>
      </c>
      <c r="Y788" t="e">
        <f>INDEX(script.out!M:M,results.txt!$M788)</f>
        <v>#N/A</v>
      </c>
      <c r="Z788" t="e">
        <f>INDEX(script.out!N:N,results.txt!$M788)</f>
        <v>#N/A</v>
      </c>
      <c r="AA788" t="e">
        <f>INDEX(script.out!O:O,results.txt!$M788)</f>
        <v>#N/A</v>
      </c>
      <c r="AB788" t="e">
        <f>INDEX(script.out!P:P,results.txt!$M788)</f>
        <v>#N/A</v>
      </c>
      <c r="AC788" t="e">
        <f>INDEX(script.out!Q:Q,results.txt!$M788)</f>
        <v>#N/A</v>
      </c>
      <c r="AD788">
        <f t="shared" si="12"/>
        <v>0</v>
      </c>
    </row>
    <row r="789" spans="13:30" x14ac:dyDescent="0.25">
      <c r="M789" t="e">
        <f>MATCH(C789,script.out!B:B,0)</f>
        <v>#N/A</v>
      </c>
      <c r="N789" t="e">
        <f>INDEX(script.out!B:B,results.txt!$M789)</f>
        <v>#N/A</v>
      </c>
      <c r="O789" t="e">
        <f>INDEX(script.out!C:C,results.txt!$M789)</f>
        <v>#N/A</v>
      </c>
      <c r="P789" t="e">
        <f>INDEX(script.out!D:D,results.txt!$M789)</f>
        <v>#N/A</v>
      </c>
      <c r="Q789" t="e">
        <f>INDEX(script.out!E:E,results.txt!$M789)</f>
        <v>#N/A</v>
      </c>
      <c r="R789" t="e">
        <f>INDEX(script.out!F:F,results.txt!$M789)</f>
        <v>#N/A</v>
      </c>
      <c r="S789" t="e">
        <f>INDEX(script.out!G:G,results.txt!$M789)</f>
        <v>#N/A</v>
      </c>
      <c r="T789" t="e">
        <f>INDEX(script.out!H:H,results.txt!$M789)</f>
        <v>#N/A</v>
      </c>
      <c r="U789" t="e">
        <f>INDEX(script.out!I:I,results.txt!$M789)</f>
        <v>#N/A</v>
      </c>
      <c r="V789" t="e">
        <f>INDEX(script.out!J:J,results.txt!$M789)</f>
        <v>#N/A</v>
      </c>
      <c r="W789" t="e">
        <f>INDEX(script.out!K:K,results.txt!$M789)</f>
        <v>#N/A</v>
      </c>
      <c r="X789" t="e">
        <f>INDEX(script.out!L:L,results.txt!$M789)</f>
        <v>#N/A</v>
      </c>
      <c r="Y789" t="e">
        <f>INDEX(script.out!M:M,results.txt!$M789)</f>
        <v>#N/A</v>
      </c>
      <c r="Z789" t="e">
        <f>INDEX(script.out!N:N,results.txt!$M789)</f>
        <v>#N/A</v>
      </c>
      <c r="AA789" t="e">
        <f>INDEX(script.out!O:O,results.txt!$M789)</f>
        <v>#N/A</v>
      </c>
      <c r="AB789" t="e">
        <f>INDEX(script.out!P:P,results.txt!$M789)</f>
        <v>#N/A</v>
      </c>
      <c r="AC789" t="e">
        <f>INDEX(script.out!Q:Q,results.txt!$M789)</f>
        <v>#N/A</v>
      </c>
      <c r="AD789">
        <f t="shared" si="12"/>
        <v>0</v>
      </c>
    </row>
    <row r="790" spans="13:30" x14ac:dyDescent="0.25">
      <c r="M790" t="e">
        <f>MATCH(C790,script.out!B:B,0)</f>
        <v>#N/A</v>
      </c>
      <c r="N790" t="e">
        <f>INDEX(script.out!B:B,results.txt!$M790)</f>
        <v>#N/A</v>
      </c>
      <c r="O790" t="e">
        <f>INDEX(script.out!C:C,results.txt!$M790)</f>
        <v>#N/A</v>
      </c>
      <c r="P790" t="e">
        <f>INDEX(script.out!D:D,results.txt!$M790)</f>
        <v>#N/A</v>
      </c>
      <c r="Q790" t="e">
        <f>INDEX(script.out!E:E,results.txt!$M790)</f>
        <v>#N/A</v>
      </c>
      <c r="R790" t="e">
        <f>INDEX(script.out!F:F,results.txt!$M790)</f>
        <v>#N/A</v>
      </c>
      <c r="S790" t="e">
        <f>INDEX(script.out!G:G,results.txt!$M790)</f>
        <v>#N/A</v>
      </c>
      <c r="T790" t="e">
        <f>INDEX(script.out!H:H,results.txt!$M790)</f>
        <v>#N/A</v>
      </c>
      <c r="U790" t="e">
        <f>INDEX(script.out!I:I,results.txt!$M790)</f>
        <v>#N/A</v>
      </c>
      <c r="V790" t="e">
        <f>INDEX(script.out!J:J,results.txt!$M790)</f>
        <v>#N/A</v>
      </c>
      <c r="W790" t="e">
        <f>INDEX(script.out!K:K,results.txt!$M790)</f>
        <v>#N/A</v>
      </c>
      <c r="X790" t="e">
        <f>INDEX(script.out!L:L,results.txt!$M790)</f>
        <v>#N/A</v>
      </c>
      <c r="Y790" t="e">
        <f>INDEX(script.out!M:M,results.txt!$M790)</f>
        <v>#N/A</v>
      </c>
      <c r="Z790" t="e">
        <f>INDEX(script.out!N:N,results.txt!$M790)</f>
        <v>#N/A</v>
      </c>
      <c r="AA790" t="e">
        <f>INDEX(script.out!O:O,results.txt!$M790)</f>
        <v>#N/A</v>
      </c>
      <c r="AB790" t="e">
        <f>INDEX(script.out!P:P,results.txt!$M790)</f>
        <v>#N/A</v>
      </c>
      <c r="AC790" t="e">
        <f>INDEX(script.out!Q:Q,results.txt!$M790)</f>
        <v>#N/A</v>
      </c>
      <c r="AD790">
        <f t="shared" si="12"/>
        <v>0</v>
      </c>
    </row>
    <row r="791" spans="13:30" x14ac:dyDescent="0.25">
      <c r="M791" t="e">
        <f>MATCH(C791,script.out!B:B,0)</f>
        <v>#N/A</v>
      </c>
      <c r="N791" t="e">
        <f>INDEX(script.out!B:B,results.txt!$M791)</f>
        <v>#N/A</v>
      </c>
      <c r="O791" t="e">
        <f>INDEX(script.out!C:C,results.txt!$M791)</f>
        <v>#N/A</v>
      </c>
      <c r="P791" t="e">
        <f>INDEX(script.out!D:D,results.txt!$M791)</f>
        <v>#N/A</v>
      </c>
      <c r="Q791" t="e">
        <f>INDEX(script.out!E:E,results.txt!$M791)</f>
        <v>#N/A</v>
      </c>
      <c r="R791" t="e">
        <f>INDEX(script.out!F:F,results.txt!$M791)</f>
        <v>#N/A</v>
      </c>
      <c r="S791" t="e">
        <f>INDEX(script.out!G:G,results.txt!$M791)</f>
        <v>#N/A</v>
      </c>
      <c r="T791" t="e">
        <f>INDEX(script.out!H:H,results.txt!$M791)</f>
        <v>#N/A</v>
      </c>
      <c r="U791" t="e">
        <f>INDEX(script.out!I:I,results.txt!$M791)</f>
        <v>#N/A</v>
      </c>
      <c r="V791" t="e">
        <f>INDEX(script.out!J:J,results.txt!$M791)</f>
        <v>#N/A</v>
      </c>
      <c r="W791" t="e">
        <f>INDEX(script.out!K:K,results.txt!$M791)</f>
        <v>#N/A</v>
      </c>
      <c r="X791" t="e">
        <f>INDEX(script.out!L:L,results.txt!$M791)</f>
        <v>#N/A</v>
      </c>
      <c r="Y791" t="e">
        <f>INDEX(script.out!M:M,results.txt!$M791)</f>
        <v>#N/A</v>
      </c>
      <c r="Z791" t="e">
        <f>INDEX(script.out!N:N,results.txt!$M791)</f>
        <v>#N/A</v>
      </c>
      <c r="AA791" t="e">
        <f>INDEX(script.out!O:O,results.txt!$M791)</f>
        <v>#N/A</v>
      </c>
      <c r="AB791" t="e">
        <f>INDEX(script.out!P:P,results.txt!$M791)</f>
        <v>#N/A</v>
      </c>
      <c r="AC791" t="e">
        <f>INDEX(script.out!Q:Q,results.txt!$M791)</f>
        <v>#N/A</v>
      </c>
      <c r="AD791">
        <f t="shared" si="12"/>
        <v>0</v>
      </c>
    </row>
    <row r="792" spans="13:30" x14ac:dyDescent="0.25">
      <c r="M792" t="e">
        <f>MATCH(C792,script.out!B:B,0)</f>
        <v>#N/A</v>
      </c>
      <c r="N792" t="e">
        <f>INDEX(script.out!B:B,results.txt!$M792)</f>
        <v>#N/A</v>
      </c>
      <c r="O792" t="e">
        <f>INDEX(script.out!C:C,results.txt!$M792)</f>
        <v>#N/A</v>
      </c>
      <c r="P792" t="e">
        <f>INDEX(script.out!D:D,results.txt!$M792)</f>
        <v>#N/A</v>
      </c>
      <c r="Q792" t="e">
        <f>INDEX(script.out!E:E,results.txt!$M792)</f>
        <v>#N/A</v>
      </c>
      <c r="R792" t="e">
        <f>INDEX(script.out!F:F,results.txt!$M792)</f>
        <v>#N/A</v>
      </c>
      <c r="S792" t="e">
        <f>INDEX(script.out!G:G,results.txt!$M792)</f>
        <v>#N/A</v>
      </c>
      <c r="T792" t="e">
        <f>INDEX(script.out!H:H,results.txt!$M792)</f>
        <v>#N/A</v>
      </c>
      <c r="U792" t="e">
        <f>INDEX(script.out!I:I,results.txt!$M792)</f>
        <v>#N/A</v>
      </c>
      <c r="V792" t="e">
        <f>INDEX(script.out!J:J,results.txt!$M792)</f>
        <v>#N/A</v>
      </c>
      <c r="W792" t="e">
        <f>INDEX(script.out!K:K,results.txt!$M792)</f>
        <v>#N/A</v>
      </c>
      <c r="X792" t="e">
        <f>INDEX(script.out!L:L,results.txt!$M792)</f>
        <v>#N/A</v>
      </c>
      <c r="Y792" t="e">
        <f>INDEX(script.out!M:M,results.txt!$M792)</f>
        <v>#N/A</v>
      </c>
      <c r="Z792" t="e">
        <f>INDEX(script.out!N:N,results.txt!$M792)</f>
        <v>#N/A</v>
      </c>
      <c r="AA792" t="e">
        <f>INDEX(script.out!O:O,results.txt!$M792)</f>
        <v>#N/A</v>
      </c>
      <c r="AB792" t="e">
        <f>INDEX(script.out!P:P,results.txt!$M792)</f>
        <v>#N/A</v>
      </c>
      <c r="AC792" t="e">
        <f>INDEX(script.out!Q:Q,results.txt!$M792)</f>
        <v>#N/A</v>
      </c>
      <c r="AD792">
        <f t="shared" si="12"/>
        <v>0</v>
      </c>
    </row>
    <row r="793" spans="13:30" x14ac:dyDescent="0.25">
      <c r="M793" t="e">
        <f>MATCH(C793,script.out!B:B,0)</f>
        <v>#N/A</v>
      </c>
      <c r="N793" t="e">
        <f>INDEX(script.out!B:B,results.txt!$M793)</f>
        <v>#N/A</v>
      </c>
      <c r="O793" t="e">
        <f>INDEX(script.out!C:C,results.txt!$M793)</f>
        <v>#N/A</v>
      </c>
      <c r="P793" t="e">
        <f>INDEX(script.out!D:D,results.txt!$M793)</f>
        <v>#N/A</v>
      </c>
      <c r="Q793" t="e">
        <f>INDEX(script.out!E:E,results.txt!$M793)</f>
        <v>#N/A</v>
      </c>
      <c r="R793" t="e">
        <f>INDEX(script.out!F:F,results.txt!$M793)</f>
        <v>#N/A</v>
      </c>
      <c r="S793" t="e">
        <f>INDEX(script.out!G:G,results.txt!$M793)</f>
        <v>#N/A</v>
      </c>
      <c r="T793" t="e">
        <f>INDEX(script.out!H:H,results.txt!$M793)</f>
        <v>#N/A</v>
      </c>
      <c r="U793" t="e">
        <f>INDEX(script.out!I:I,results.txt!$M793)</f>
        <v>#N/A</v>
      </c>
      <c r="V793" t="e">
        <f>INDEX(script.out!J:J,results.txt!$M793)</f>
        <v>#N/A</v>
      </c>
      <c r="W793" t="e">
        <f>INDEX(script.out!K:K,results.txt!$M793)</f>
        <v>#N/A</v>
      </c>
      <c r="X793" t="e">
        <f>INDEX(script.out!L:L,results.txt!$M793)</f>
        <v>#N/A</v>
      </c>
      <c r="Y793" t="e">
        <f>INDEX(script.out!M:M,results.txt!$M793)</f>
        <v>#N/A</v>
      </c>
      <c r="Z793" t="e">
        <f>INDEX(script.out!N:N,results.txt!$M793)</f>
        <v>#N/A</v>
      </c>
      <c r="AA793" t="e">
        <f>INDEX(script.out!O:O,results.txt!$M793)</f>
        <v>#N/A</v>
      </c>
      <c r="AB793" t="e">
        <f>INDEX(script.out!P:P,results.txt!$M793)</f>
        <v>#N/A</v>
      </c>
      <c r="AC793" t="e">
        <f>INDEX(script.out!Q:Q,results.txt!$M793)</f>
        <v>#N/A</v>
      </c>
      <c r="AD793">
        <f t="shared" si="12"/>
        <v>0</v>
      </c>
    </row>
    <row r="794" spans="13:30" x14ac:dyDescent="0.25">
      <c r="M794" t="e">
        <f>MATCH(C794,script.out!B:B,0)</f>
        <v>#N/A</v>
      </c>
      <c r="N794" t="e">
        <f>INDEX(script.out!B:B,results.txt!$M794)</f>
        <v>#N/A</v>
      </c>
      <c r="O794" t="e">
        <f>INDEX(script.out!C:C,results.txt!$M794)</f>
        <v>#N/A</v>
      </c>
      <c r="P794" t="e">
        <f>INDEX(script.out!D:D,results.txt!$M794)</f>
        <v>#N/A</v>
      </c>
      <c r="Q794" t="e">
        <f>INDEX(script.out!E:E,results.txt!$M794)</f>
        <v>#N/A</v>
      </c>
      <c r="R794" t="e">
        <f>INDEX(script.out!F:F,results.txt!$M794)</f>
        <v>#N/A</v>
      </c>
      <c r="S794" t="e">
        <f>INDEX(script.out!G:G,results.txt!$M794)</f>
        <v>#N/A</v>
      </c>
      <c r="T794" t="e">
        <f>INDEX(script.out!H:H,results.txt!$M794)</f>
        <v>#N/A</v>
      </c>
      <c r="U794" t="e">
        <f>INDEX(script.out!I:I,results.txt!$M794)</f>
        <v>#N/A</v>
      </c>
      <c r="V794" t="e">
        <f>INDEX(script.out!J:J,results.txt!$M794)</f>
        <v>#N/A</v>
      </c>
      <c r="W794" t="e">
        <f>INDEX(script.out!K:K,results.txt!$M794)</f>
        <v>#N/A</v>
      </c>
      <c r="X794" t="e">
        <f>INDEX(script.out!L:L,results.txt!$M794)</f>
        <v>#N/A</v>
      </c>
      <c r="Y794" t="e">
        <f>INDEX(script.out!M:M,results.txt!$M794)</f>
        <v>#N/A</v>
      </c>
      <c r="Z794" t="e">
        <f>INDEX(script.out!N:N,results.txt!$M794)</f>
        <v>#N/A</v>
      </c>
      <c r="AA794" t="e">
        <f>INDEX(script.out!O:O,results.txt!$M794)</f>
        <v>#N/A</v>
      </c>
      <c r="AB794" t="e">
        <f>INDEX(script.out!P:P,results.txt!$M794)</f>
        <v>#N/A</v>
      </c>
      <c r="AC794" t="e">
        <f>INDEX(script.out!Q:Q,results.txt!$M794)</f>
        <v>#N/A</v>
      </c>
      <c r="AD794">
        <f t="shared" si="12"/>
        <v>0</v>
      </c>
    </row>
    <row r="795" spans="13:30" x14ac:dyDescent="0.25">
      <c r="M795" t="e">
        <f>MATCH(C795,script.out!B:B,0)</f>
        <v>#N/A</v>
      </c>
      <c r="N795" t="e">
        <f>INDEX(script.out!B:B,results.txt!$M795)</f>
        <v>#N/A</v>
      </c>
      <c r="O795" t="e">
        <f>INDEX(script.out!C:C,results.txt!$M795)</f>
        <v>#N/A</v>
      </c>
      <c r="P795" t="e">
        <f>INDEX(script.out!D:D,results.txt!$M795)</f>
        <v>#N/A</v>
      </c>
      <c r="Q795" t="e">
        <f>INDEX(script.out!E:E,results.txt!$M795)</f>
        <v>#N/A</v>
      </c>
      <c r="R795" t="e">
        <f>INDEX(script.out!F:F,results.txt!$M795)</f>
        <v>#N/A</v>
      </c>
      <c r="S795" t="e">
        <f>INDEX(script.out!G:G,results.txt!$M795)</f>
        <v>#N/A</v>
      </c>
      <c r="T795" t="e">
        <f>INDEX(script.out!H:H,results.txt!$M795)</f>
        <v>#N/A</v>
      </c>
      <c r="U795" t="e">
        <f>INDEX(script.out!I:I,results.txt!$M795)</f>
        <v>#N/A</v>
      </c>
      <c r="V795" t="e">
        <f>INDEX(script.out!J:J,results.txt!$M795)</f>
        <v>#N/A</v>
      </c>
      <c r="W795" t="e">
        <f>INDEX(script.out!K:K,results.txt!$M795)</f>
        <v>#N/A</v>
      </c>
      <c r="X795" t="e">
        <f>INDEX(script.out!L:L,results.txt!$M795)</f>
        <v>#N/A</v>
      </c>
      <c r="Y795" t="e">
        <f>INDEX(script.out!M:M,results.txt!$M795)</f>
        <v>#N/A</v>
      </c>
      <c r="Z795" t="e">
        <f>INDEX(script.out!N:N,results.txt!$M795)</f>
        <v>#N/A</v>
      </c>
      <c r="AA795" t="e">
        <f>INDEX(script.out!O:O,results.txt!$M795)</f>
        <v>#N/A</v>
      </c>
      <c r="AB795" t="e">
        <f>INDEX(script.out!P:P,results.txt!$M795)</f>
        <v>#N/A</v>
      </c>
      <c r="AC795" t="e">
        <f>INDEX(script.out!Q:Q,results.txt!$M795)</f>
        <v>#N/A</v>
      </c>
      <c r="AD795">
        <f t="shared" si="12"/>
        <v>0</v>
      </c>
    </row>
    <row r="796" spans="13:30" x14ac:dyDescent="0.25">
      <c r="M796" t="e">
        <f>MATCH(C796,script.out!B:B,0)</f>
        <v>#N/A</v>
      </c>
      <c r="N796" t="e">
        <f>INDEX(script.out!B:B,results.txt!$M796)</f>
        <v>#N/A</v>
      </c>
      <c r="O796" t="e">
        <f>INDEX(script.out!C:C,results.txt!$M796)</f>
        <v>#N/A</v>
      </c>
      <c r="P796" t="e">
        <f>INDEX(script.out!D:D,results.txt!$M796)</f>
        <v>#N/A</v>
      </c>
      <c r="Q796" t="e">
        <f>INDEX(script.out!E:E,results.txt!$M796)</f>
        <v>#N/A</v>
      </c>
      <c r="R796" t="e">
        <f>INDEX(script.out!F:F,results.txt!$M796)</f>
        <v>#N/A</v>
      </c>
      <c r="S796" t="e">
        <f>INDEX(script.out!G:G,results.txt!$M796)</f>
        <v>#N/A</v>
      </c>
      <c r="T796" t="e">
        <f>INDEX(script.out!H:H,results.txt!$M796)</f>
        <v>#N/A</v>
      </c>
      <c r="U796" t="e">
        <f>INDEX(script.out!I:I,results.txt!$M796)</f>
        <v>#N/A</v>
      </c>
      <c r="V796" t="e">
        <f>INDEX(script.out!J:J,results.txt!$M796)</f>
        <v>#N/A</v>
      </c>
      <c r="W796" t="e">
        <f>INDEX(script.out!K:K,results.txt!$M796)</f>
        <v>#N/A</v>
      </c>
      <c r="X796" t="e">
        <f>INDEX(script.out!L:L,results.txt!$M796)</f>
        <v>#N/A</v>
      </c>
      <c r="Y796" t="e">
        <f>INDEX(script.out!M:M,results.txt!$M796)</f>
        <v>#N/A</v>
      </c>
      <c r="Z796" t="e">
        <f>INDEX(script.out!N:N,results.txt!$M796)</f>
        <v>#N/A</v>
      </c>
      <c r="AA796" t="e">
        <f>INDEX(script.out!O:O,results.txt!$M796)</f>
        <v>#N/A</v>
      </c>
      <c r="AB796" t="e">
        <f>INDEX(script.out!P:P,results.txt!$M796)</f>
        <v>#N/A</v>
      </c>
      <c r="AC796" t="e">
        <f>INDEX(script.out!Q:Q,results.txt!$M796)</f>
        <v>#N/A</v>
      </c>
      <c r="AD796">
        <f t="shared" si="12"/>
        <v>0</v>
      </c>
    </row>
    <row r="797" spans="13:30" x14ac:dyDescent="0.25">
      <c r="M797" t="e">
        <f>MATCH(C797,script.out!B:B,0)</f>
        <v>#N/A</v>
      </c>
      <c r="N797" t="e">
        <f>INDEX(script.out!B:B,results.txt!$M797)</f>
        <v>#N/A</v>
      </c>
      <c r="O797" t="e">
        <f>INDEX(script.out!C:C,results.txt!$M797)</f>
        <v>#N/A</v>
      </c>
      <c r="P797" t="e">
        <f>INDEX(script.out!D:D,results.txt!$M797)</f>
        <v>#N/A</v>
      </c>
      <c r="Q797" t="e">
        <f>INDEX(script.out!E:E,results.txt!$M797)</f>
        <v>#N/A</v>
      </c>
      <c r="R797" t="e">
        <f>INDEX(script.out!F:F,results.txt!$M797)</f>
        <v>#N/A</v>
      </c>
      <c r="S797" t="e">
        <f>INDEX(script.out!G:G,results.txt!$M797)</f>
        <v>#N/A</v>
      </c>
      <c r="T797" t="e">
        <f>INDEX(script.out!H:H,results.txt!$M797)</f>
        <v>#N/A</v>
      </c>
      <c r="U797" t="e">
        <f>INDEX(script.out!I:I,results.txt!$M797)</f>
        <v>#N/A</v>
      </c>
      <c r="V797" t="e">
        <f>INDEX(script.out!J:J,results.txt!$M797)</f>
        <v>#N/A</v>
      </c>
      <c r="W797" t="e">
        <f>INDEX(script.out!K:K,results.txt!$M797)</f>
        <v>#N/A</v>
      </c>
      <c r="X797" t="e">
        <f>INDEX(script.out!L:L,results.txt!$M797)</f>
        <v>#N/A</v>
      </c>
      <c r="Y797" t="e">
        <f>INDEX(script.out!M:M,results.txt!$M797)</f>
        <v>#N/A</v>
      </c>
      <c r="Z797" t="e">
        <f>INDEX(script.out!N:N,results.txt!$M797)</f>
        <v>#N/A</v>
      </c>
      <c r="AA797" t="e">
        <f>INDEX(script.out!O:O,results.txt!$M797)</f>
        <v>#N/A</v>
      </c>
      <c r="AB797" t="e">
        <f>INDEX(script.out!P:P,results.txt!$M797)</f>
        <v>#N/A</v>
      </c>
      <c r="AC797" t="e">
        <f>INDEX(script.out!Q:Q,results.txt!$M797)</f>
        <v>#N/A</v>
      </c>
      <c r="AD797">
        <f t="shared" si="12"/>
        <v>0</v>
      </c>
    </row>
    <row r="798" spans="13:30" x14ac:dyDescent="0.25">
      <c r="M798" t="e">
        <f>MATCH(C798,script.out!B:B,0)</f>
        <v>#N/A</v>
      </c>
      <c r="N798" t="e">
        <f>INDEX(script.out!B:B,results.txt!$M798)</f>
        <v>#N/A</v>
      </c>
      <c r="O798" t="e">
        <f>INDEX(script.out!C:C,results.txt!$M798)</f>
        <v>#N/A</v>
      </c>
      <c r="P798" t="e">
        <f>INDEX(script.out!D:D,results.txt!$M798)</f>
        <v>#N/A</v>
      </c>
      <c r="Q798" t="e">
        <f>INDEX(script.out!E:E,results.txt!$M798)</f>
        <v>#N/A</v>
      </c>
      <c r="R798" t="e">
        <f>INDEX(script.out!F:F,results.txt!$M798)</f>
        <v>#N/A</v>
      </c>
      <c r="S798" t="e">
        <f>INDEX(script.out!G:G,results.txt!$M798)</f>
        <v>#N/A</v>
      </c>
      <c r="T798" t="e">
        <f>INDEX(script.out!H:H,results.txt!$M798)</f>
        <v>#N/A</v>
      </c>
      <c r="U798" t="e">
        <f>INDEX(script.out!I:I,results.txt!$M798)</f>
        <v>#N/A</v>
      </c>
      <c r="V798" t="e">
        <f>INDEX(script.out!J:J,results.txt!$M798)</f>
        <v>#N/A</v>
      </c>
      <c r="W798" t="e">
        <f>INDEX(script.out!K:K,results.txt!$M798)</f>
        <v>#N/A</v>
      </c>
      <c r="X798" t="e">
        <f>INDEX(script.out!L:L,results.txt!$M798)</f>
        <v>#N/A</v>
      </c>
      <c r="Y798" t="e">
        <f>INDEX(script.out!M:M,results.txt!$M798)</f>
        <v>#N/A</v>
      </c>
      <c r="Z798" t="e">
        <f>INDEX(script.out!N:N,results.txt!$M798)</f>
        <v>#N/A</v>
      </c>
      <c r="AA798" t="e">
        <f>INDEX(script.out!O:O,results.txt!$M798)</f>
        <v>#N/A</v>
      </c>
      <c r="AB798" t="e">
        <f>INDEX(script.out!P:P,results.txt!$M798)</f>
        <v>#N/A</v>
      </c>
      <c r="AC798" t="e">
        <f>INDEX(script.out!Q:Q,results.txt!$M798)</f>
        <v>#N/A</v>
      </c>
      <c r="AD798">
        <f t="shared" si="12"/>
        <v>0</v>
      </c>
    </row>
    <row r="799" spans="13:30" x14ac:dyDescent="0.25">
      <c r="M799" t="e">
        <f>MATCH(C799,script.out!B:B,0)</f>
        <v>#N/A</v>
      </c>
      <c r="N799" t="e">
        <f>INDEX(script.out!B:B,results.txt!$M799)</f>
        <v>#N/A</v>
      </c>
      <c r="O799" t="e">
        <f>INDEX(script.out!C:C,results.txt!$M799)</f>
        <v>#N/A</v>
      </c>
      <c r="P799" t="e">
        <f>INDEX(script.out!D:D,results.txt!$M799)</f>
        <v>#N/A</v>
      </c>
      <c r="Q799" t="e">
        <f>INDEX(script.out!E:E,results.txt!$M799)</f>
        <v>#N/A</v>
      </c>
      <c r="R799" t="e">
        <f>INDEX(script.out!F:F,results.txt!$M799)</f>
        <v>#N/A</v>
      </c>
      <c r="S799" t="e">
        <f>INDEX(script.out!G:G,results.txt!$M799)</f>
        <v>#N/A</v>
      </c>
      <c r="T799" t="e">
        <f>INDEX(script.out!H:H,results.txt!$M799)</f>
        <v>#N/A</v>
      </c>
      <c r="U799" t="e">
        <f>INDEX(script.out!I:I,results.txt!$M799)</f>
        <v>#N/A</v>
      </c>
      <c r="V799" t="e">
        <f>INDEX(script.out!J:J,results.txt!$M799)</f>
        <v>#N/A</v>
      </c>
      <c r="W799" t="e">
        <f>INDEX(script.out!K:K,results.txt!$M799)</f>
        <v>#N/A</v>
      </c>
      <c r="X799" t="e">
        <f>INDEX(script.out!L:L,results.txt!$M799)</f>
        <v>#N/A</v>
      </c>
      <c r="Y799" t="e">
        <f>INDEX(script.out!M:M,results.txt!$M799)</f>
        <v>#N/A</v>
      </c>
      <c r="Z799" t="e">
        <f>INDEX(script.out!N:N,results.txt!$M799)</f>
        <v>#N/A</v>
      </c>
      <c r="AA799" t="e">
        <f>INDEX(script.out!O:O,results.txt!$M799)</f>
        <v>#N/A</v>
      </c>
      <c r="AB799" t="e">
        <f>INDEX(script.out!P:P,results.txt!$M799)</f>
        <v>#N/A</v>
      </c>
      <c r="AC799" t="e">
        <f>INDEX(script.out!Q:Q,results.txt!$M799)</f>
        <v>#N/A</v>
      </c>
      <c r="AD799">
        <f t="shared" si="12"/>
        <v>0</v>
      </c>
    </row>
    <row r="800" spans="13:30" x14ac:dyDescent="0.25">
      <c r="M800" t="e">
        <f>MATCH(C800,script.out!B:B,0)</f>
        <v>#N/A</v>
      </c>
      <c r="N800" t="e">
        <f>INDEX(script.out!B:B,results.txt!$M800)</f>
        <v>#N/A</v>
      </c>
      <c r="O800" t="e">
        <f>INDEX(script.out!C:C,results.txt!$M800)</f>
        <v>#N/A</v>
      </c>
      <c r="P800" t="e">
        <f>INDEX(script.out!D:D,results.txt!$M800)</f>
        <v>#N/A</v>
      </c>
      <c r="Q800" t="e">
        <f>INDEX(script.out!E:E,results.txt!$M800)</f>
        <v>#N/A</v>
      </c>
      <c r="R800" t="e">
        <f>INDEX(script.out!F:F,results.txt!$M800)</f>
        <v>#N/A</v>
      </c>
      <c r="S800" t="e">
        <f>INDEX(script.out!G:G,results.txt!$M800)</f>
        <v>#N/A</v>
      </c>
      <c r="T800" t="e">
        <f>INDEX(script.out!H:H,results.txt!$M800)</f>
        <v>#N/A</v>
      </c>
      <c r="U800" t="e">
        <f>INDEX(script.out!I:I,results.txt!$M800)</f>
        <v>#N/A</v>
      </c>
      <c r="V800" t="e">
        <f>INDEX(script.out!J:J,results.txt!$M800)</f>
        <v>#N/A</v>
      </c>
      <c r="W800" t="e">
        <f>INDEX(script.out!K:K,results.txt!$M800)</f>
        <v>#N/A</v>
      </c>
      <c r="X800" t="e">
        <f>INDEX(script.out!L:L,results.txt!$M800)</f>
        <v>#N/A</v>
      </c>
      <c r="Y800" t="e">
        <f>INDEX(script.out!M:M,results.txt!$M800)</f>
        <v>#N/A</v>
      </c>
      <c r="Z800" t="e">
        <f>INDEX(script.out!N:N,results.txt!$M800)</f>
        <v>#N/A</v>
      </c>
      <c r="AA800" t="e">
        <f>INDEX(script.out!O:O,results.txt!$M800)</f>
        <v>#N/A</v>
      </c>
      <c r="AB800" t="e">
        <f>INDEX(script.out!P:P,results.txt!$M800)</f>
        <v>#N/A</v>
      </c>
      <c r="AC800" t="e">
        <f>INDEX(script.out!Q:Q,results.txt!$M800)</f>
        <v>#N/A</v>
      </c>
      <c r="AD800">
        <f t="shared" si="12"/>
        <v>0</v>
      </c>
    </row>
    <row r="801" spans="13:30" x14ac:dyDescent="0.25">
      <c r="M801" t="e">
        <f>MATCH(C801,script.out!B:B,0)</f>
        <v>#N/A</v>
      </c>
      <c r="N801" t="e">
        <f>INDEX(script.out!B:B,results.txt!$M801)</f>
        <v>#N/A</v>
      </c>
      <c r="O801" t="e">
        <f>INDEX(script.out!C:C,results.txt!$M801)</f>
        <v>#N/A</v>
      </c>
      <c r="P801" t="e">
        <f>INDEX(script.out!D:D,results.txt!$M801)</f>
        <v>#N/A</v>
      </c>
      <c r="Q801" t="e">
        <f>INDEX(script.out!E:E,results.txt!$M801)</f>
        <v>#N/A</v>
      </c>
      <c r="R801" t="e">
        <f>INDEX(script.out!F:F,results.txt!$M801)</f>
        <v>#N/A</v>
      </c>
      <c r="S801" t="e">
        <f>INDEX(script.out!G:G,results.txt!$M801)</f>
        <v>#N/A</v>
      </c>
      <c r="T801" t="e">
        <f>INDEX(script.out!H:H,results.txt!$M801)</f>
        <v>#N/A</v>
      </c>
      <c r="U801" t="e">
        <f>INDEX(script.out!I:I,results.txt!$M801)</f>
        <v>#N/A</v>
      </c>
      <c r="V801" t="e">
        <f>INDEX(script.out!J:J,results.txt!$M801)</f>
        <v>#N/A</v>
      </c>
      <c r="W801" t="e">
        <f>INDEX(script.out!K:K,results.txt!$M801)</f>
        <v>#N/A</v>
      </c>
      <c r="X801" t="e">
        <f>INDEX(script.out!L:L,results.txt!$M801)</f>
        <v>#N/A</v>
      </c>
      <c r="Y801" t="e">
        <f>INDEX(script.out!M:M,results.txt!$M801)</f>
        <v>#N/A</v>
      </c>
      <c r="Z801" t="e">
        <f>INDEX(script.out!N:N,results.txt!$M801)</f>
        <v>#N/A</v>
      </c>
      <c r="AA801" t="e">
        <f>INDEX(script.out!O:O,results.txt!$M801)</f>
        <v>#N/A</v>
      </c>
      <c r="AB801" t="e">
        <f>INDEX(script.out!P:P,results.txt!$M801)</f>
        <v>#N/A</v>
      </c>
      <c r="AC801" t="e">
        <f>INDEX(script.out!Q:Q,results.txt!$M801)</f>
        <v>#N/A</v>
      </c>
      <c r="AD801">
        <f t="shared" si="12"/>
        <v>0</v>
      </c>
    </row>
    <row r="802" spans="13:30" x14ac:dyDescent="0.25">
      <c r="M802" t="e">
        <f>MATCH(C802,script.out!B:B,0)</f>
        <v>#N/A</v>
      </c>
      <c r="N802" t="e">
        <f>INDEX(script.out!B:B,results.txt!$M802)</f>
        <v>#N/A</v>
      </c>
      <c r="O802" t="e">
        <f>INDEX(script.out!C:C,results.txt!$M802)</f>
        <v>#N/A</v>
      </c>
      <c r="P802" t="e">
        <f>INDEX(script.out!D:D,results.txt!$M802)</f>
        <v>#N/A</v>
      </c>
      <c r="Q802" t="e">
        <f>INDEX(script.out!E:E,results.txt!$M802)</f>
        <v>#N/A</v>
      </c>
      <c r="R802" t="e">
        <f>INDEX(script.out!F:F,results.txt!$M802)</f>
        <v>#N/A</v>
      </c>
      <c r="S802" t="e">
        <f>INDEX(script.out!G:G,results.txt!$M802)</f>
        <v>#N/A</v>
      </c>
      <c r="T802" t="e">
        <f>INDEX(script.out!H:H,results.txt!$M802)</f>
        <v>#N/A</v>
      </c>
      <c r="U802" t="e">
        <f>INDEX(script.out!I:I,results.txt!$M802)</f>
        <v>#N/A</v>
      </c>
      <c r="V802" t="e">
        <f>INDEX(script.out!J:J,results.txt!$M802)</f>
        <v>#N/A</v>
      </c>
      <c r="W802" t="e">
        <f>INDEX(script.out!K:K,results.txt!$M802)</f>
        <v>#N/A</v>
      </c>
      <c r="X802" t="e">
        <f>INDEX(script.out!L:L,results.txt!$M802)</f>
        <v>#N/A</v>
      </c>
      <c r="Y802" t="e">
        <f>INDEX(script.out!M:M,results.txt!$M802)</f>
        <v>#N/A</v>
      </c>
      <c r="Z802" t="e">
        <f>INDEX(script.out!N:N,results.txt!$M802)</f>
        <v>#N/A</v>
      </c>
      <c r="AA802" t="e">
        <f>INDEX(script.out!O:O,results.txt!$M802)</f>
        <v>#N/A</v>
      </c>
      <c r="AB802" t="e">
        <f>INDEX(script.out!P:P,results.txt!$M802)</f>
        <v>#N/A</v>
      </c>
      <c r="AC802" t="e">
        <f>INDEX(script.out!Q:Q,results.txt!$M802)</f>
        <v>#N/A</v>
      </c>
      <c r="AD802">
        <f t="shared" si="12"/>
        <v>0</v>
      </c>
    </row>
    <row r="803" spans="13:30" x14ac:dyDescent="0.25">
      <c r="M803" t="e">
        <f>MATCH(C803,script.out!B:B,0)</f>
        <v>#N/A</v>
      </c>
      <c r="N803" t="e">
        <f>INDEX(script.out!B:B,results.txt!$M803)</f>
        <v>#N/A</v>
      </c>
      <c r="O803" t="e">
        <f>INDEX(script.out!C:C,results.txt!$M803)</f>
        <v>#N/A</v>
      </c>
      <c r="P803" t="e">
        <f>INDEX(script.out!D:D,results.txt!$M803)</f>
        <v>#N/A</v>
      </c>
      <c r="Q803" t="e">
        <f>INDEX(script.out!E:E,results.txt!$M803)</f>
        <v>#N/A</v>
      </c>
      <c r="R803" t="e">
        <f>INDEX(script.out!F:F,results.txt!$M803)</f>
        <v>#N/A</v>
      </c>
      <c r="S803" t="e">
        <f>INDEX(script.out!G:G,results.txt!$M803)</f>
        <v>#N/A</v>
      </c>
      <c r="T803" t="e">
        <f>INDEX(script.out!H:H,results.txt!$M803)</f>
        <v>#N/A</v>
      </c>
      <c r="U803" t="e">
        <f>INDEX(script.out!I:I,results.txt!$M803)</f>
        <v>#N/A</v>
      </c>
      <c r="V803" t="e">
        <f>INDEX(script.out!J:J,results.txt!$M803)</f>
        <v>#N/A</v>
      </c>
      <c r="W803" t="e">
        <f>INDEX(script.out!K:K,results.txt!$M803)</f>
        <v>#N/A</v>
      </c>
      <c r="X803" t="e">
        <f>INDEX(script.out!L:L,results.txt!$M803)</f>
        <v>#N/A</v>
      </c>
      <c r="Y803" t="e">
        <f>INDEX(script.out!M:M,results.txt!$M803)</f>
        <v>#N/A</v>
      </c>
      <c r="Z803" t="e">
        <f>INDEX(script.out!N:N,results.txt!$M803)</f>
        <v>#N/A</v>
      </c>
      <c r="AA803" t="e">
        <f>INDEX(script.out!O:O,results.txt!$M803)</f>
        <v>#N/A</v>
      </c>
      <c r="AB803" t="e">
        <f>INDEX(script.out!P:P,results.txt!$M803)</f>
        <v>#N/A</v>
      </c>
      <c r="AC803" t="e">
        <f>INDEX(script.out!Q:Q,results.txt!$M803)</f>
        <v>#N/A</v>
      </c>
      <c r="AD803">
        <f t="shared" si="12"/>
        <v>0</v>
      </c>
    </row>
    <row r="804" spans="13:30" x14ac:dyDescent="0.25">
      <c r="M804" t="e">
        <f>MATCH(C804,script.out!B:B,0)</f>
        <v>#N/A</v>
      </c>
      <c r="N804" t="e">
        <f>INDEX(script.out!B:B,results.txt!$M804)</f>
        <v>#N/A</v>
      </c>
      <c r="O804" t="e">
        <f>INDEX(script.out!C:C,results.txt!$M804)</f>
        <v>#N/A</v>
      </c>
      <c r="P804" t="e">
        <f>INDEX(script.out!D:D,results.txt!$M804)</f>
        <v>#N/A</v>
      </c>
      <c r="Q804" t="e">
        <f>INDEX(script.out!E:E,results.txt!$M804)</f>
        <v>#N/A</v>
      </c>
      <c r="R804" t="e">
        <f>INDEX(script.out!F:F,results.txt!$M804)</f>
        <v>#N/A</v>
      </c>
      <c r="S804" t="e">
        <f>INDEX(script.out!G:G,results.txt!$M804)</f>
        <v>#N/A</v>
      </c>
      <c r="T804" t="e">
        <f>INDEX(script.out!H:H,results.txt!$M804)</f>
        <v>#N/A</v>
      </c>
      <c r="U804" t="e">
        <f>INDEX(script.out!I:I,results.txt!$M804)</f>
        <v>#N/A</v>
      </c>
      <c r="V804" t="e">
        <f>INDEX(script.out!J:J,results.txt!$M804)</f>
        <v>#N/A</v>
      </c>
      <c r="W804" t="e">
        <f>INDEX(script.out!K:K,results.txt!$M804)</f>
        <v>#N/A</v>
      </c>
      <c r="X804" t="e">
        <f>INDEX(script.out!L:L,results.txt!$M804)</f>
        <v>#N/A</v>
      </c>
      <c r="Y804" t="e">
        <f>INDEX(script.out!M:M,results.txt!$M804)</f>
        <v>#N/A</v>
      </c>
      <c r="Z804" t="e">
        <f>INDEX(script.out!N:N,results.txt!$M804)</f>
        <v>#N/A</v>
      </c>
      <c r="AA804" t="e">
        <f>INDEX(script.out!O:O,results.txt!$M804)</f>
        <v>#N/A</v>
      </c>
      <c r="AB804" t="e">
        <f>INDEX(script.out!P:P,results.txt!$M804)</f>
        <v>#N/A</v>
      </c>
      <c r="AC804" t="e">
        <f>INDEX(script.out!Q:Q,results.txt!$M804)</f>
        <v>#N/A</v>
      </c>
      <c r="AD804">
        <f t="shared" si="12"/>
        <v>0</v>
      </c>
    </row>
    <row r="805" spans="13:30" x14ac:dyDescent="0.25">
      <c r="M805" t="e">
        <f>MATCH(C805,script.out!B:B,0)</f>
        <v>#N/A</v>
      </c>
      <c r="N805" t="e">
        <f>INDEX(script.out!B:B,results.txt!$M805)</f>
        <v>#N/A</v>
      </c>
      <c r="O805" t="e">
        <f>INDEX(script.out!C:C,results.txt!$M805)</f>
        <v>#N/A</v>
      </c>
      <c r="P805" t="e">
        <f>INDEX(script.out!D:D,results.txt!$M805)</f>
        <v>#N/A</v>
      </c>
      <c r="Q805" t="e">
        <f>INDEX(script.out!E:E,results.txt!$M805)</f>
        <v>#N/A</v>
      </c>
      <c r="R805" t="e">
        <f>INDEX(script.out!F:F,results.txt!$M805)</f>
        <v>#N/A</v>
      </c>
      <c r="S805" t="e">
        <f>INDEX(script.out!G:G,results.txt!$M805)</f>
        <v>#N/A</v>
      </c>
      <c r="T805" t="e">
        <f>INDEX(script.out!H:H,results.txt!$M805)</f>
        <v>#N/A</v>
      </c>
      <c r="U805" t="e">
        <f>INDEX(script.out!I:I,results.txt!$M805)</f>
        <v>#N/A</v>
      </c>
      <c r="V805" t="e">
        <f>INDEX(script.out!J:J,results.txt!$M805)</f>
        <v>#N/A</v>
      </c>
      <c r="W805" t="e">
        <f>INDEX(script.out!K:K,results.txt!$M805)</f>
        <v>#N/A</v>
      </c>
      <c r="X805" t="e">
        <f>INDEX(script.out!L:L,results.txt!$M805)</f>
        <v>#N/A</v>
      </c>
      <c r="Y805" t="e">
        <f>INDEX(script.out!M:M,results.txt!$M805)</f>
        <v>#N/A</v>
      </c>
      <c r="Z805" t="e">
        <f>INDEX(script.out!N:N,results.txt!$M805)</f>
        <v>#N/A</v>
      </c>
      <c r="AA805" t="e">
        <f>INDEX(script.out!O:O,results.txt!$M805)</f>
        <v>#N/A</v>
      </c>
      <c r="AB805" t="e">
        <f>INDEX(script.out!P:P,results.txt!$M805)</f>
        <v>#N/A</v>
      </c>
      <c r="AC805" t="e">
        <f>INDEX(script.out!Q:Q,results.txt!$M805)</f>
        <v>#N/A</v>
      </c>
      <c r="AD805">
        <f t="shared" si="12"/>
        <v>0</v>
      </c>
    </row>
    <row r="806" spans="13:30" x14ac:dyDescent="0.25">
      <c r="M806" t="e">
        <f>MATCH(C806,script.out!B:B,0)</f>
        <v>#N/A</v>
      </c>
      <c r="N806" t="e">
        <f>INDEX(script.out!B:B,results.txt!$M806)</f>
        <v>#N/A</v>
      </c>
      <c r="O806" t="e">
        <f>INDEX(script.out!C:C,results.txt!$M806)</f>
        <v>#N/A</v>
      </c>
      <c r="P806" t="e">
        <f>INDEX(script.out!D:D,results.txt!$M806)</f>
        <v>#N/A</v>
      </c>
      <c r="Q806" t="e">
        <f>INDEX(script.out!E:E,results.txt!$M806)</f>
        <v>#N/A</v>
      </c>
      <c r="R806" t="e">
        <f>INDEX(script.out!F:F,results.txt!$M806)</f>
        <v>#N/A</v>
      </c>
      <c r="S806" t="e">
        <f>INDEX(script.out!G:G,results.txt!$M806)</f>
        <v>#N/A</v>
      </c>
      <c r="T806" t="e">
        <f>INDEX(script.out!H:H,results.txt!$M806)</f>
        <v>#N/A</v>
      </c>
      <c r="U806" t="e">
        <f>INDEX(script.out!I:I,results.txt!$M806)</f>
        <v>#N/A</v>
      </c>
      <c r="V806" t="e">
        <f>INDEX(script.out!J:J,results.txt!$M806)</f>
        <v>#N/A</v>
      </c>
      <c r="W806" t="e">
        <f>INDEX(script.out!K:K,results.txt!$M806)</f>
        <v>#N/A</v>
      </c>
      <c r="X806" t="e">
        <f>INDEX(script.out!L:L,results.txt!$M806)</f>
        <v>#N/A</v>
      </c>
      <c r="Y806" t="e">
        <f>INDEX(script.out!M:M,results.txt!$M806)</f>
        <v>#N/A</v>
      </c>
      <c r="Z806" t="e">
        <f>INDEX(script.out!N:N,results.txt!$M806)</f>
        <v>#N/A</v>
      </c>
      <c r="AA806" t="e">
        <f>INDEX(script.out!O:O,results.txt!$M806)</f>
        <v>#N/A</v>
      </c>
      <c r="AB806" t="e">
        <f>INDEX(script.out!P:P,results.txt!$M806)</f>
        <v>#N/A</v>
      </c>
      <c r="AC806" t="e">
        <f>INDEX(script.out!Q:Q,results.txt!$M806)</f>
        <v>#N/A</v>
      </c>
      <c r="AD806">
        <f t="shared" si="12"/>
        <v>0</v>
      </c>
    </row>
    <row r="807" spans="13:30" x14ac:dyDescent="0.25">
      <c r="M807" t="e">
        <f>MATCH(C807,script.out!B:B,0)</f>
        <v>#N/A</v>
      </c>
      <c r="N807" t="e">
        <f>INDEX(script.out!B:B,results.txt!$M807)</f>
        <v>#N/A</v>
      </c>
      <c r="O807" t="e">
        <f>INDEX(script.out!C:C,results.txt!$M807)</f>
        <v>#N/A</v>
      </c>
      <c r="P807" t="e">
        <f>INDEX(script.out!D:D,results.txt!$M807)</f>
        <v>#N/A</v>
      </c>
      <c r="Q807" t="e">
        <f>INDEX(script.out!E:E,results.txt!$M807)</f>
        <v>#N/A</v>
      </c>
      <c r="R807" t="e">
        <f>INDEX(script.out!F:F,results.txt!$M807)</f>
        <v>#N/A</v>
      </c>
      <c r="S807" t="e">
        <f>INDEX(script.out!G:G,results.txt!$M807)</f>
        <v>#N/A</v>
      </c>
      <c r="T807" t="e">
        <f>INDEX(script.out!H:H,results.txt!$M807)</f>
        <v>#N/A</v>
      </c>
      <c r="U807" t="e">
        <f>INDEX(script.out!I:I,results.txt!$M807)</f>
        <v>#N/A</v>
      </c>
      <c r="V807" t="e">
        <f>INDEX(script.out!J:J,results.txt!$M807)</f>
        <v>#N/A</v>
      </c>
      <c r="W807" t="e">
        <f>INDEX(script.out!K:K,results.txt!$M807)</f>
        <v>#N/A</v>
      </c>
      <c r="X807" t="e">
        <f>INDEX(script.out!L:L,results.txt!$M807)</f>
        <v>#N/A</v>
      </c>
      <c r="Y807" t="e">
        <f>INDEX(script.out!M:M,results.txt!$M807)</f>
        <v>#N/A</v>
      </c>
      <c r="Z807" t="e">
        <f>INDEX(script.out!N:N,results.txt!$M807)</f>
        <v>#N/A</v>
      </c>
      <c r="AA807" t="e">
        <f>INDEX(script.out!O:O,results.txt!$M807)</f>
        <v>#N/A</v>
      </c>
      <c r="AB807" t="e">
        <f>INDEX(script.out!P:P,results.txt!$M807)</f>
        <v>#N/A</v>
      </c>
      <c r="AC807" t="e">
        <f>INDEX(script.out!Q:Q,results.txt!$M807)</f>
        <v>#N/A</v>
      </c>
      <c r="AD807">
        <f t="shared" si="12"/>
        <v>0</v>
      </c>
    </row>
    <row r="808" spans="13:30" x14ac:dyDescent="0.25">
      <c r="M808" t="e">
        <f>MATCH(C808,script.out!B:B,0)</f>
        <v>#N/A</v>
      </c>
      <c r="N808" t="e">
        <f>INDEX(script.out!B:B,results.txt!$M808)</f>
        <v>#N/A</v>
      </c>
      <c r="O808" t="e">
        <f>INDEX(script.out!C:C,results.txt!$M808)</f>
        <v>#N/A</v>
      </c>
      <c r="P808" t="e">
        <f>INDEX(script.out!D:D,results.txt!$M808)</f>
        <v>#N/A</v>
      </c>
      <c r="Q808" t="e">
        <f>INDEX(script.out!E:E,results.txt!$M808)</f>
        <v>#N/A</v>
      </c>
      <c r="R808" t="e">
        <f>INDEX(script.out!F:F,results.txt!$M808)</f>
        <v>#N/A</v>
      </c>
      <c r="S808" t="e">
        <f>INDEX(script.out!G:G,results.txt!$M808)</f>
        <v>#N/A</v>
      </c>
      <c r="T808" t="e">
        <f>INDEX(script.out!H:H,results.txt!$M808)</f>
        <v>#N/A</v>
      </c>
      <c r="U808" t="e">
        <f>INDEX(script.out!I:I,results.txt!$M808)</f>
        <v>#N/A</v>
      </c>
      <c r="V808" t="e">
        <f>INDEX(script.out!J:J,results.txt!$M808)</f>
        <v>#N/A</v>
      </c>
      <c r="W808" t="e">
        <f>INDEX(script.out!K:K,results.txt!$M808)</f>
        <v>#N/A</v>
      </c>
      <c r="X808" t="e">
        <f>INDEX(script.out!L:L,results.txt!$M808)</f>
        <v>#N/A</v>
      </c>
      <c r="Y808" t="e">
        <f>INDEX(script.out!M:M,results.txt!$M808)</f>
        <v>#N/A</v>
      </c>
      <c r="Z808" t="e">
        <f>INDEX(script.out!N:N,results.txt!$M808)</f>
        <v>#N/A</v>
      </c>
      <c r="AA808" t="e">
        <f>INDEX(script.out!O:O,results.txt!$M808)</f>
        <v>#N/A</v>
      </c>
      <c r="AB808" t="e">
        <f>INDEX(script.out!P:P,results.txt!$M808)</f>
        <v>#N/A</v>
      </c>
      <c r="AC808" t="e">
        <f>INDEX(script.out!Q:Q,results.txt!$M808)</f>
        <v>#N/A</v>
      </c>
      <c r="AD808">
        <f t="shared" si="12"/>
        <v>0</v>
      </c>
    </row>
    <row r="809" spans="13:30" x14ac:dyDescent="0.25">
      <c r="M809" t="e">
        <f>MATCH(C809,script.out!B:B,0)</f>
        <v>#N/A</v>
      </c>
      <c r="N809" t="e">
        <f>INDEX(script.out!B:B,results.txt!$M809)</f>
        <v>#N/A</v>
      </c>
      <c r="O809" t="e">
        <f>INDEX(script.out!C:C,results.txt!$M809)</f>
        <v>#N/A</v>
      </c>
      <c r="P809" t="e">
        <f>INDEX(script.out!D:D,results.txt!$M809)</f>
        <v>#N/A</v>
      </c>
      <c r="Q809" t="e">
        <f>INDEX(script.out!E:E,results.txt!$M809)</f>
        <v>#N/A</v>
      </c>
      <c r="R809" t="e">
        <f>INDEX(script.out!F:F,results.txt!$M809)</f>
        <v>#N/A</v>
      </c>
      <c r="S809" t="e">
        <f>INDEX(script.out!G:G,results.txt!$M809)</f>
        <v>#N/A</v>
      </c>
      <c r="T809" t="e">
        <f>INDEX(script.out!H:H,results.txt!$M809)</f>
        <v>#N/A</v>
      </c>
      <c r="U809" t="e">
        <f>INDEX(script.out!I:I,results.txt!$M809)</f>
        <v>#N/A</v>
      </c>
      <c r="V809" t="e">
        <f>INDEX(script.out!J:J,results.txt!$M809)</f>
        <v>#N/A</v>
      </c>
      <c r="W809" t="e">
        <f>INDEX(script.out!K:K,results.txt!$M809)</f>
        <v>#N/A</v>
      </c>
      <c r="X809" t="e">
        <f>INDEX(script.out!L:L,results.txt!$M809)</f>
        <v>#N/A</v>
      </c>
      <c r="Y809" t="e">
        <f>INDEX(script.out!M:M,results.txt!$M809)</f>
        <v>#N/A</v>
      </c>
      <c r="Z809" t="e">
        <f>INDEX(script.out!N:N,results.txt!$M809)</f>
        <v>#N/A</v>
      </c>
      <c r="AA809" t="e">
        <f>INDEX(script.out!O:O,results.txt!$M809)</f>
        <v>#N/A</v>
      </c>
      <c r="AB809" t="e">
        <f>INDEX(script.out!P:P,results.txt!$M809)</f>
        <v>#N/A</v>
      </c>
      <c r="AC809" t="e">
        <f>INDEX(script.out!Q:Q,results.txt!$M809)</f>
        <v>#N/A</v>
      </c>
      <c r="AD809">
        <f t="shared" si="12"/>
        <v>0</v>
      </c>
    </row>
    <row r="810" spans="13:30" x14ac:dyDescent="0.25">
      <c r="M810" t="e">
        <f>MATCH(C810,script.out!B:B,0)</f>
        <v>#N/A</v>
      </c>
      <c r="N810" t="e">
        <f>INDEX(script.out!B:B,results.txt!$M810)</f>
        <v>#N/A</v>
      </c>
      <c r="O810" t="e">
        <f>INDEX(script.out!C:C,results.txt!$M810)</f>
        <v>#N/A</v>
      </c>
      <c r="P810" t="e">
        <f>INDEX(script.out!D:D,results.txt!$M810)</f>
        <v>#N/A</v>
      </c>
      <c r="Q810" t="e">
        <f>INDEX(script.out!E:E,results.txt!$M810)</f>
        <v>#N/A</v>
      </c>
      <c r="R810" t="e">
        <f>INDEX(script.out!F:F,results.txt!$M810)</f>
        <v>#N/A</v>
      </c>
      <c r="S810" t="e">
        <f>INDEX(script.out!G:G,results.txt!$M810)</f>
        <v>#N/A</v>
      </c>
      <c r="T810" t="e">
        <f>INDEX(script.out!H:H,results.txt!$M810)</f>
        <v>#N/A</v>
      </c>
      <c r="U810" t="e">
        <f>INDEX(script.out!I:I,results.txt!$M810)</f>
        <v>#N/A</v>
      </c>
      <c r="V810" t="e">
        <f>INDEX(script.out!J:J,results.txt!$M810)</f>
        <v>#N/A</v>
      </c>
      <c r="W810" t="e">
        <f>INDEX(script.out!K:K,results.txt!$M810)</f>
        <v>#N/A</v>
      </c>
      <c r="X810" t="e">
        <f>INDEX(script.out!L:L,results.txt!$M810)</f>
        <v>#N/A</v>
      </c>
      <c r="Y810" t="e">
        <f>INDEX(script.out!M:M,results.txt!$M810)</f>
        <v>#N/A</v>
      </c>
      <c r="Z810" t="e">
        <f>INDEX(script.out!N:N,results.txt!$M810)</f>
        <v>#N/A</v>
      </c>
      <c r="AA810" t="e">
        <f>INDEX(script.out!O:O,results.txt!$M810)</f>
        <v>#N/A</v>
      </c>
      <c r="AB810" t="e">
        <f>INDEX(script.out!P:P,results.txt!$M810)</f>
        <v>#N/A</v>
      </c>
      <c r="AC810" t="e">
        <f>INDEX(script.out!Q:Q,results.txt!$M810)</f>
        <v>#N/A</v>
      </c>
      <c r="AD810">
        <f t="shared" si="12"/>
        <v>0</v>
      </c>
    </row>
    <row r="811" spans="13:30" x14ac:dyDescent="0.25">
      <c r="M811" t="e">
        <f>MATCH(C811,script.out!B:B,0)</f>
        <v>#N/A</v>
      </c>
      <c r="N811" t="e">
        <f>INDEX(script.out!B:B,results.txt!$M811)</f>
        <v>#N/A</v>
      </c>
      <c r="O811" t="e">
        <f>INDEX(script.out!C:C,results.txt!$M811)</f>
        <v>#N/A</v>
      </c>
      <c r="P811" t="e">
        <f>INDEX(script.out!D:D,results.txt!$M811)</f>
        <v>#N/A</v>
      </c>
      <c r="Q811" t="e">
        <f>INDEX(script.out!E:E,results.txt!$M811)</f>
        <v>#N/A</v>
      </c>
      <c r="R811" t="e">
        <f>INDEX(script.out!F:F,results.txt!$M811)</f>
        <v>#N/A</v>
      </c>
      <c r="S811" t="e">
        <f>INDEX(script.out!G:G,results.txt!$M811)</f>
        <v>#N/A</v>
      </c>
      <c r="T811" t="e">
        <f>INDEX(script.out!H:H,results.txt!$M811)</f>
        <v>#N/A</v>
      </c>
      <c r="U811" t="e">
        <f>INDEX(script.out!I:I,results.txt!$M811)</f>
        <v>#N/A</v>
      </c>
      <c r="V811" t="e">
        <f>INDEX(script.out!J:J,results.txt!$M811)</f>
        <v>#N/A</v>
      </c>
      <c r="W811" t="e">
        <f>INDEX(script.out!K:K,results.txt!$M811)</f>
        <v>#N/A</v>
      </c>
      <c r="X811" t="e">
        <f>INDEX(script.out!L:L,results.txt!$M811)</f>
        <v>#N/A</v>
      </c>
      <c r="Y811" t="e">
        <f>INDEX(script.out!M:M,results.txt!$M811)</f>
        <v>#N/A</v>
      </c>
      <c r="Z811" t="e">
        <f>INDEX(script.out!N:N,results.txt!$M811)</f>
        <v>#N/A</v>
      </c>
      <c r="AA811" t="e">
        <f>INDEX(script.out!O:O,results.txt!$M811)</f>
        <v>#N/A</v>
      </c>
      <c r="AB811" t="e">
        <f>INDEX(script.out!P:P,results.txt!$M811)</f>
        <v>#N/A</v>
      </c>
      <c r="AC811" t="e">
        <f>INDEX(script.out!Q:Q,results.txt!$M811)</f>
        <v>#N/A</v>
      </c>
      <c r="AD811">
        <f t="shared" ref="AD811:AD874" si="13">IF(A811="all",1)+IF(A811="nonDominatedFront",2)</f>
        <v>0</v>
      </c>
    </row>
    <row r="812" spans="13:30" x14ac:dyDescent="0.25">
      <c r="M812" t="e">
        <f>MATCH(C812,script.out!B:B,0)</f>
        <v>#N/A</v>
      </c>
      <c r="N812" t="e">
        <f>INDEX(script.out!B:B,results.txt!$M812)</f>
        <v>#N/A</v>
      </c>
      <c r="O812" t="e">
        <f>INDEX(script.out!C:C,results.txt!$M812)</f>
        <v>#N/A</v>
      </c>
      <c r="P812" t="e">
        <f>INDEX(script.out!D:D,results.txt!$M812)</f>
        <v>#N/A</v>
      </c>
      <c r="Q812" t="e">
        <f>INDEX(script.out!E:E,results.txt!$M812)</f>
        <v>#N/A</v>
      </c>
      <c r="R812" t="e">
        <f>INDEX(script.out!F:F,results.txt!$M812)</f>
        <v>#N/A</v>
      </c>
      <c r="S812" t="e">
        <f>INDEX(script.out!G:G,results.txt!$M812)</f>
        <v>#N/A</v>
      </c>
      <c r="T812" t="e">
        <f>INDEX(script.out!H:H,results.txt!$M812)</f>
        <v>#N/A</v>
      </c>
      <c r="U812" t="e">
        <f>INDEX(script.out!I:I,results.txt!$M812)</f>
        <v>#N/A</v>
      </c>
      <c r="V812" t="e">
        <f>INDEX(script.out!J:J,results.txt!$M812)</f>
        <v>#N/A</v>
      </c>
      <c r="W812" t="e">
        <f>INDEX(script.out!K:K,results.txt!$M812)</f>
        <v>#N/A</v>
      </c>
      <c r="X812" t="e">
        <f>INDEX(script.out!L:L,results.txt!$M812)</f>
        <v>#N/A</v>
      </c>
      <c r="Y812" t="e">
        <f>INDEX(script.out!M:M,results.txt!$M812)</f>
        <v>#N/A</v>
      </c>
      <c r="Z812" t="e">
        <f>INDEX(script.out!N:N,results.txt!$M812)</f>
        <v>#N/A</v>
      </c>
      <c r="AA812" t="e">
        <f>INDEX(script.out!O:O,results.txt!$M812)</f>
        <v>#N/A</v>
      </c>
      <c r="AB812" t="e">
        <f>INDEX(script.out!P:P,results.txt!$M812)</f>
        <v>#N/A</v>
      </c>
      <c r="AC812" t="e">
        <f>INDEX(script.out!Q:Q,results.txt!$M812)</f>
        <v>#N/A</v>
      </c>
      <c r="AD812">
        <f t="shared" si="13"/>
        <v>0</v>
      </c>
    </row>
    <row r="813" spans="13:30" x14ac:dyDescent="0.25">
      <c r="M813" t="e">
        <f>MATCH(C813,script.out!B:B,0)</f>
        <v>#N/A</v>
      </c>
      <c r="N813" t="e">
        <f>INDEX(script.out!B:B,results.txt!$M813)</f>
        <v>#N/A</v>
      </c>
      <c r="O813" t="e">
        <f>INDEX(script.out!C:C,results.txt!$M813)</f>
        <v>#N/A</v>
      </c>
      <c r="P813" t="e">
        <f>INDEX(script.out!D:D,results.txt!$M813)</f>
        <v>#N/A</v>
      </c>
      <c r="Q813" t="e">
        <f>INDEX(script.out!E:E,results.txt!$M813)</f>
        <v>#N/A</v>
      </c>
      <c r="R813" t="e">
        <f>INDEX(script.out!F:F,results.txt!$M813)</f>
        <v>#N/A</v>
      </c>
      <c r="S813" t="e">
        <f>INDEX(script.out!G:G,results.txt!$M813)</f>
        <v>#N/A</v>
      </c>
      <c r="T813" t="e">
        <f>INDEX(script.out!H:H,results.txt!$M813)</f>
        <v>#N/A</v>
      </c>
      <c r="U813" t="e">
        <f>INDEX(script.out!I:I,results.txt!$M813)</f>
        <v>#N/A</v>
      </c>
      <c r="V813" t="e">
        <f>INDEX(script.out!J:J,results.txt!$M813)</f>
        <v>#N/A</v>
      </c>
      <c r="W813" t="e">
        <f>INDEX(script.out!K:K,results.txt!$M813)</f>
        <v>#N/A</v>
      </c>
      <c r="X813" t="e">
        <f>INDEX(script.out!L:L,results.txt!$M813)</f>
        <v>#N/A</v>
      </c>
      <c r="Y813" t="e">
        <f>INDEX(script.out!M:M,results.txt!$M813)</f>
        <v>#N/A</v>
      </c>
      <c r="Z813" t="e">
        <f>INDEX(script.out!N:N,results.txt!$M813)</f>
        <v>#N/A</v>
      </c>
      <c r="AA813" t="e">
        <f>INDEX(script.out!O:O,results.txt!$M813)</f>
        <v>#N/A</v>
      </c>
      <c r="AB813" t="e">
        <f>INDEX(script.out!P:P,results.txt!$M813)</f>
        <v>#N/A</v>
      </c>
      <c r="AC813" t="e">
        <f>INDEX(script.out!Q:Q,results.txt!$M813)</f>
        <v>#N/A</v>
      </c>
      <c r="AD813">
        <f t="shared" si="13"/>
        <v>0</v>
      </c>
    </row>
    <row r="814" spans="13:30" x14ac:dyDescent="0.25">
      <c r="M814" t="e">
        <f>MATCH(C814,script.out!B:B,0)</f>
        <v>#N/A</v>
      </c>
      <c r="N814" t="e">
        <f>INDEX(script.out!B:B,results.txt!$M814)</f>
        <v>#N/A</v>
      </c>
      <c r="O814" t="e">
        <f>INDEX(script.out!C:C,results.txt!$M814)</f>
        <v>#N/A</v>
      </c>
      <c r="P814" t="e">
        <f>INDEX(script.out!D:D,results.txt!$M814)</f>
        <v>#N/A</v>
      </c>
      <c r="Q814" t="e">
        <f>INDEX(script.out!E:E,results.txt!$M814)</f>
        <v>#N/A</v>
      </c>
      <c r="R814" t="e">
        <f>INDEX(script.out!F:F,results.txt!$M814)</f>
        <v>#N/A</v>
      </c>
      <c r="S814" t="e">
        <f>INDEX(script.out!G:G,results.txt!$M814)</f>
        <v>#N/A</v>
      </c>
      <c r="T814" t="e">
        <f>INDEX(script.out!H:H,results.txt!$M814)</f>
        <v>#N/A</v>
      </c>
      <c r="U814" t="e">
        <f>INDEX(script.out!I:I,results.txt!$M814)</f>
        <v>#N/A</v>
      </c>
      <c r="V814" t="e">
        <f>INDEX(script.out!J:J,results.txt!$M814)</f>
        <v>#N/A</v>
      </c>
      <c r="W814" t="e">
        <f>INDEX(script.out!K:K,results.txt!$M814)</f>
        <v>#N/A</v>
      </c>
      <c r="X814" t="e">
        <f>INDEX(script.out!L:L,results.txt!$M814)</f>
        <v>#N/A</v>
      </c>
      <c r="Y814" t="e">
        <f>INDEX(script.out!M:M,results.txt!$M814)</f>
        <v>#N/A</v>
      </c>
      <c r="Z814" t="e">
        <f>INDEX(script.out!N:N,results.txt!$M814)</f>
        <v>#N/A</v>
      </c>
      <c r="AA814" t="e">
        <f>INDEX(script.out!O:O,results.txt!$M814)</f>
        <v>#N/A</v>
      </c>
      <c r="AB814" t="e">
        <f>INDEX(script.out!P:P,results.txt!$M814)</f>
        <v>#N/A</v>
      </c>
      <c r="AC814" t="e">
        <f>INDEX(script.out!Q:Q,results.txt!$M814)</f>
        <v>#N/A</v>
      </c>
      <c r="AD814">
        <f t="shared" si="13"/>
        <v>0</v>
      </c>
    </row>
    <row r="815" spans="13:30" x14ac:dyDescent="0.25">
      <c r="M815" t="e">
        <f>MATCH(C815,script.out!B:B,0)</f>
        <v>#N/A</v>
      </c>
      <c r="N815" t="e">
        <f>INDEX(script.out!B:B,results.txt!$M815)</f>
        <v>#N/A</v>
      </c>
      <c r="O815" t="e">
        <f>INDEX(script.out!C:C,results.txt!$M815)</f>
        <v>#N/A</v>
      </c>
      <c r="P815" t="e">
        <f>INDEX(script.out!D:D,results.txt!$M815)</f>
        <v>#N/A</v>
      </c>
      <c r="Q815" t="e">
        <f>INDEX(script.out!E:E,results.txt!$M815)</f>
        <v>#N/A</v>
      </c>
      <c r="R815" t="e">
        <f>INDEX(script.out!F:F,results.txt!$M815)</f>
        <v>#N/A</v>
      </c>
      <c r="S815" t="e">
        <f>INDEX(script.out!G:G,results.txt!$M815)</f>
        <v>#N/A</v>
      </c>
      <c r="T815" t="e">
        <f>INDEX(script.out!H:H,results.txt!$M815)</f>
        <v>#N/A</v>
      </c>
      <c r="U815" t="e">
        <f>INDEX(script.out!I:I,results.txt!$M815)</f>
        <v>#N/A</v>
      </c>
      <c r="V815" t="e">
        <f>INDEX(script.out!J:J,results.txt!$M815)</f>
        <v>#N/A</v>
      </c>
      <c r="W815" t="e">
        <f>INDEX(script.out!K:K,results.txt!$M815)</f>
        <v>#N/A</v>
      </c>
      <c r="X815" t="e">
        <f>INDEX(script.out!L:L,results.txt!$M815)</f>
        <v>#N/A</v>
      </c>
      <c r="Y815" t="e">
        <f>INDEX(script.out!M:M,results.txt!$M815)</f>
        <v>#N/A</v>
      </c>
      <c r="Z815" t="e">
        <f>INDEX(script.out!N:N,results.txt!$M815)</f>
        <v>#N/A</v>
      </c>
      <c r="AA815" t="e">
        <f>INDEX(script.out!O:O,results.txt!$M815)</f>
        <v>#N/A</v>
      </c>
      <c r="AB815" t="e">
        <f>INDEX(script.out!P:P,results.txt!$M815)</f>
        <v>#N/A</v>
      </c>
      <c r="AC815" t="e">
        <f>INDEX(script.out!Q:Q,results.txt!$M815)</f>
        <v>#N/A</v>
      </c>
      <c r="AD815">
        <f t="shared" si="13"/>
        <v>0</v>
      </c>
    </row>
    <row r="816" spans="13:30" x14ac:dyDescent="0.25">
      <c r="M816" t="e">
        <f>MATCH(C816,script.out!B:B,0)</f>
        <v>#N/A</v>
      </c>
      <c r="N816" t="e">
        <f>INDEX(script.out!B:B,results.txt!$M816)</f>
        <v>#N/A</v>
      </c>
      <c r="O816" t="e">
        <f>INDEX(script.out!C:C,results.txt!$M816)</f>
        <v>#N/A</v>
      </c>
      <c r="P816" t="e">
        <f>INDEX(script.out!D:D,results.txt!$M816)</f>
        <v>#N/A</v>
      </c>
      <c r="Q816" t="e">
        <f>INDEX(script.out!E:E,results.txt!$M816)</f>
        <v>#N/A</v>
      </c>
      <c r="R816" t="e">
        <f>INDEX(script.out!F:F,results.txt!$M816)</f>
        <v>#N/A</v>
      </c>
      <c r="S816" t="e">
        <f>INDEX(script.out!G:G,results.txt!$M816)</f>
        <v>#N/A</v>
      </c>
      <c r="T816" t="e">
        <f>INDEX(script.out!H:H,results.txt!$M816)</f>
        <v>#N/A</v>
      </c>
      <c r="U816" t="e">
        <f>INDEX(script.out!I:I,results.txt!$M816)</f>
        <v>#N/A</v>
      </c>
      <c r="V816" t="e">
        <f>INDEX(script.out!J:J,results.txt!$M816)</f>
        <v>#N/A</v>
      </c>
      <c r="W816" t="e">
        <f>INDEX(script.out!K:K,results.txt!$M816)</f>
        <v>#N/A</v>
      </c>
      <c r="X816" t="e">
        <f>INDEX(script.out!L:L,results.txt!$M816)</f>
        <v>#N/A</v>
      </c>
      <c r="Y816" t="e">
        <f>INDEX(script.out!M:M,results.txt!$M816)</f>
        <v>#N/A</v>
      </c>
      <c r="Z816" t="e">
        <f>INDEX(script.out!N:N,results.txt!$M816)</f>
        <v>#N/A</v>
      </c>
      <c r="AA816" t="e">
        <f>INDEX(script.out!O:O,results.txt!$M816)</f>
        <v>#N/A</v>
      </c>
      <c r="AB816" t="e">
        <f>INDEX(script.out!P:P,results.txt!$M816)</f>
        <v>#N/A</v>
      </c>
      <c r="AC816" t="e">
        <f>INDEX(script.out!Q:Q,results.txt!$M816)</f>
        <v>#N/A</v>
      </c>
      <c r="AD816">
        <f t="shared" si="13"/>
        <v>0</v>
      </c>
    </row>
    <row r="817" spans="13:30" x14ac:dyDescent="0.25">
      <c r="M817" t="e">
        <f>MATCH(C817,script.out!B:B,0)</f>
        <v>#N/A</v>
      </c>
      <c r="N817" t="e">
        <f>INDEX(script.out!B:B,results.txt!$M817)</f>
        <v>#N/A</v>
      </c>
      <c r="O817" t="e">
        <f>INDEX(script.out!C:C,results.txt!$M817)</f>
        <v>#N/A</v>
      </c>
      <c r="P817" t="e">
        <f>INDEX(script.out!D:D,results.txt!$M817)</f>
        <v>#N/A</v>
      </c>
      <c r="Q817" t="e">
        <f>INDEX(script.out!E:E,results.txt!$M817)</f>
        <v>#N/A</v>
      </c>
      <c r="R817" t="e">
        <f>INDEX(script.out!F:F,results.txt!$M817)</f>
        <v>#N/A</v>
      </c>
      <c r="S817" t="e">
        <f>INDEX(script.out!G:G,results.txt!$M817)</f>
        <v>#N/A</v>
      </c>
      <c r="T817" t="e">
        <f>INDEX(script.out!H:H,results.txt!$M817)</f>
        <v>#N/A</v>
      </c>
      <c r="U817" t="e">
        <f>INDEX(script.out!I:I,results.txt!$M817)</f>
        <v>#N/A</v>
      </c>
      <c r="V817" t="e">
        <f>INDEX(script.out!J:J,results.txt!$M817)</f>
        <v>#N/A</v>
      </c>
      <c r="W817" t="e">
        <f>INDEX(script.out!K:K,results.txt!$M817)</f>
        <v>#N/A</v>
      </c>
      <c r="X817" t="e">
        <f>INDEX(script.out!L:L,results.txt!$M817)</f>
        <v>#N/A</v>
      </c>
      <c r="Y817" t="e">
        <f>INDEX(script.out!M:M,results.txt!$M817)</f>
        <v>#N/A</v>
      </c>
      <c r="Z817" t="e">
        <f>INDEX(script.out!N:N,results.txt!$M817)</f>
        <v>#N/A</v>
      </c>
      <c r="AA817" t="e">
        <f>INDEX(script.out!O:O,results.txt!$M817)</f>
        <v>#N/A</v>
      </c>
      <c r="AB817" t="e">
        <f>INDEX(script.out!P:P,results.txt!$M817)</f>
        <v>#N/A</v>
      </c>
      <c r="AC817" t="e">
        <f>INDEX(script.out!Q:Q,results.txt!$M817)</f>
        <v>#N/A</v>
      </c>
      <c r="AD817">
        <f t="shared" si="13"/>
        <v>0</v>
      </c>
    </row>
    <row r="818" spans="13:30" x14ac:dyDescent="0.25">
      <c r="M818" t="e">
        <f>MATCH(C818,script.out!B:B,0)</f>
        <v>#N/A</v>
      </c>
      <c r="N818" t="e">
        <f>INDEX(script.out!B:B,results.txt!$M818)</f>
        <v>#N/A</v>
      </c>
      <c r="O818" t="e">
        <f>INDEX(script.out!C:C,results.txt!$M818)</f>
        <v>#N/A</v>
      </c>
      <c r="P818" t="e">
        <f>INDEX(script.out!D:D,results.txt!$M818)</f>
        <v>#N/A</v>
      </c>
      <c r="Q818" t="e">
        <f>INDEX(script.out!E:E,results.txt!$M818)</f>
        <v>#N/A</v>
      </c>
      <c r="R818" t="e">
        <f>INDEX(script.out!F:F,results.txt!$M818)</f>
        <v>#N/A</v>
      </c>
      <c r="S818" t="e">
        <f>INDEX(script.out!G:G,results.txt!$M818)</f>
        <v>#N/A</v>
      </c>
      <c r="T818" t="e">
        <f>INDEX(script.out!H:H,results.txt!$M818)</f>
        <v>#N/A</v>
      </c>
      <c r="U818" t="e">
        <f>INDEX(script.out!I:I,results.txt!$M818)</f>
        <v>#N/A</v>
      </c>
      <c r="V818" t="e">
        <f>INDEX(script.out!J:J,results.txt!$M818)</f>
        <v>#N/A</v>
      </c>
      <c r="W818" t="e">
        <f>INDEX(script.out!K:K,results.txt!$M818)</f>
        <v>#N/A</v>
      </c>
      <c r="X818" t="e">
        <f>INDEX(script.out!L:L,results.txt!$M818)</f>
        <v>#N/A</v>
      </c>
      <c r="Y818" t="e">
        <f>INDEX(script.out!M:M,results.txt!$M818)</f>
        <v>#N/A</v>
      </c>
      <c r="Z818" t="e">
        <f>INDEX(script.out!N:N,results.txt!$M818)</f>
        <v>#N/A</v>
      </c>
      <c r="AA818" t="e">
        <f>INDEX(script.out!O:O,results.txt!$M818)</f>
        <v>#N/A</v>
      </c>
      <c r="AB818" t="e">
        <f>INDEX(script.out!P:P,results.txt!$M818)</f>
        <v>#N/A</v>
      </c>
      <c r="AC818" t="e">
        <f>INDEX(script.out!Q:Q,results.txt!$M818)</f>
        <v>#N/A</v>
      </c>
      <c r="AD818">
        <f t="shared" si="13"/>
        <v>0</v>
      </c>
    </row>
    <row r="819" spans="13:30" x14ac:dyDescent="0.25">
      <c r="M819" t="e">
        <f>MATCH(C819,script.out!B:B,0)</f>
        <v>#N/A</v>
      </c>
      <c r="N819" t="e">
        <f>INDEX(script.out!B:B,results.txt!$M819)</f>
        <v>#N/A</v>
      </c>
      <c r="O819" t="e">
        <f>INDEX(script.out!C:C,results.txt!$M819)</f>
        <v>#N/A</v>
      </c>
      <c r="P819" t="e">
        <f>INDEX(script.out!D:D,results.txt!$M819)</f>
        <v>#N/A</v>
      </c>
      <c r="Q819" t="e">
        <f>INDEX(script.out!E:E,results.txt!$M819)</f>
        <v>#N/A</v>
      </c>
      <c r="R819" t="e">
        <f>INDEX(script.out!F:F,results.txt!$M819)</f>
        <v>#N/A</v>
      </c>
      <c r="S819" t="e">
        <f>INDEX(script.out!G:G,results.txt!$M819)</f>
        <v>#N/A</v>
      </c>
      <c r="T819" t="e">
        <f>INDEX(script.out!H:H,results.txt!$M819)</f>
        <v>#N/A</v>
      </c>
      <c r="U819" t="e">
        <f>INDEX(script.out!I:I,results.txt!$M819)</f>
        <v>#N/A</v>
      </c>
      <c r="V819" t="e">
        <f>INDEX(script.out!J:J,results.txt!$M819)</f>
        <v>#N/A</v>
      </c>
      <c r="W819" t="e">
        <f>INDEX(script.out!K:K,results.txt!$M819)</f>
        <v>#N/A</v>
      </c>
      <c r="X819" t="e">
        <f>INDEX(script.out!L:L,results.txt!$M819)</f>
        <v>#N/A</v>
      </c>
      <c r="Y819" t="e">
        <f>INDEX(script.out!M:M,results.txt!$M819)</f>
        <v>#N/A</v>
      </c>
      <c r="Z819" t="e">
        <f>INDEX(script.out!N:N,results.txt!$M819)</f>
        <v>#N/A</v>
      </c>
      <c r="AA819" t="e">
        <f>INDEX(script.out!O:O,results.txt!$M819)</f>
        <v>#N/A</v>
      </c>
      <c r="AB819" t="e">
        <f>INDEX(script.out!P:P,results.txt!$M819)</f>
        <v>#N/A</v>
      </c>
      <c r="AC819" t="e">
        <f>INDEX(script.out!Q:Q,results.txt!$M819)</f>
        <v>#N/A</v>
      </c>
      <c r="AD819">
        <f t="shared" si="13"/>
        <v>0</v>
      </c>
    </row>
    <row r="820" spans="13:30" x14ac:dyDescent="0.25">
      <c r="M820" t="e">
        <f>MATCH(C820,script.out!B:B,0)</f>
        <v>#N/A</v>
      </c>
      <c r="N820" t="e">
        <f>INDEX(script.out!B:B,results.txt!$M820)</f>
        <v>#N/A</v>
      </c>
      <c r="O820" t="e">
        <f>INDEX(script.out!C:C,results.txt!$M820)</f>
        <v>#N/A</v>
      </c>
      <c r="P820" t="e">
        <f>INDEX(script.out!D:D,results.txt!$M820)</f>
        <v>#N/A</v>
      </c>
      <c r="Q820" t="e">
        <f>INDEX(script.out!E:E,results.txt!$M820)</f>
        <v>#N/A</v>
      </c>
      <c r="R820" t="e">
        <f>INDEX(script.out!F:F,results.txt!$M820)</f>
        <v>#N/A</v>
      </c>
      <c r="S820" t="e">
        <f>INDEX(script.out!G:G,results.txt!$M820)</f>
        <v>#N/A</v>
      </c>
      <c r="T820" t="e">
        <f>INDEX(script.out!H:H,results.txt!$M820)</f>
        <v>#N/A</v>
      </c>
      <c r="U820" t="e">
        <f>INDEX(script.out!I:I,results.txt!$M820)</f>
        <v>#N/A</v>
      </c>
      <c r="V820" t="e">
        <f>INDEX(script.out!J:J,results.txt!$M820)</f>
        <v>#N/A</v>
      </c>
      <c r="W820" t="e">
        <f>INDEX(script.out!K:K,results.txt!$M820)</f>
        <v>#N/A</v>
      </c>
      <c r="X820" t="e">
        <f>INDEX(script.out!L:L,results.txt!$M820)</f>
        <v>#N/A</v>
      </c>
      <c r="Y820" t="e">
        <f>INDEX(script.out!M:M,results.txt!$M820)</f>
        <v>#N/A</v>
      </c>
      <c r="Z820" t="e">
        <f>INDEX(script.out!N:N,results.txt!$M820)</f>
        <v>#N/A</v>
      </c>
      <c r="AA820" t="e">
        <f>INDEX(script.out!O:O,results.txt!$M820)</f>
        <v>#N/A</v>
      </c>
      <c r="AB820" t="e">
        <f>INDEX(script.out!P:P,results.txt!$M820)</f>
        <v>#N/A</v>
      </c>
      <c r="AC820" t="e">
        <f>INDEX(script.out!Q:Q,results.txt!$M820)</f>
        <v>#N/A</v>
      </c>
      <c r="AD820">
        <f t="shared" si="13"/>
        <v>0</v>
      </c>
    </row>
    <row r="821" spans="13:30" x14ac:dyDescent="0.25">
      <c r="M821" t="e">
        <f>MATCH(C821,script.out!B:B,0)</f>
        <v>#N/A</v>
      </c>
      <c r="N821" t="e">
        <f>INDEX(script.out!B:B,results.txt!$M821)</f>
        <v>#N/A</v>
      </c>
      <c r="O821" t="e">
        <f>INDEX(script.out!C:C,results.txt!$M821)</f>
        <v>#N/A</v>
      </c>
      <c r="P821" t="e">
        <f>INDEX(script.out!D:D,results.txt!$M821)</f>
        <v>#N/A</v>
      </c>
      <c r="Q821" t="e">
        <f>INDEX(script.out!E:E,results.txt!$M821)</f>
        <v>#N/A</v>
      </c>
      <c r="R821" t="e">
        <f>INDEX(script.out!F:F,results.txt!$M821)</f>
        <v>#N/A</v>
      </c>
      <c r="S821" t="e">
        <f>INDEX(script.out!G:G,results.txt!$M821)</f>
        <v>#N/A</v>
      </c>
      <c r="T821" t="e">
        <f>INDEX(script.out!H:H,results.txt!$M821)</f>
        <v>#N/A</v>
      </c>
      <c r="U821" t="e">
        <f>INDEX(script.out!I:I,results.txt!$M821)</f>
        <v>#N/A</v>
      </c>
      <c r="V821" t="e">
        <f>INDEX(script.out!J:J,results.txt!$M821)</f>
        <v>#N/A</v>
      </c>
      <c r="W821" t="e">
        <f>INDEX(script.out!K:K,results.txt!$M821)</f>
        <v>#N/A</v>
      </c>
      <c r="X821" t="e">
        <f>INDEX(script.out!L:L,results.txt!$M821)</f>
        <v>#N/A</v>
      </c>
      <c r="Y821" t="e">
        <f>INDEX(script.out!M:M,results.txt!$M821)</f>
        <v>#N/A</v>
      </c>
      <c r="Z821" t="e">
        <f>INDEX(script.out!N:N,results.txt!$M821)</f>
        <v>#N/A</v>
      </c>
      <c r="AA821" t="e">
        <f>INDEX(script.out!O:O,results.txt!$M821)</f>
        <v>#N/A</v>
      </c>
      <c r="AB821" t="e">
        <f>INDEX(script.out!P:P,results.txt!$M821)</f>
        <v>#N/A</v>
      </c>
      <c r="AC821" t="e">
        <f>INDEX(script.out!Q:Q,results.txt!$M821)</f>
        <v>#N/A</v>
      </c>
      <c r="AD821">
        <f t="shared" si="13"/>
        <v>0</v>
      </c>
    </row>
    <row r="822" spans="13:30" x14ac:dyDescent="0.25">
      <c r="M822" t="e">
        <f>MATCH(C822,script.out!B:B,0)</f>
        <v>#N/A</v>
      </c>
      <c r="N822" t="e">
        <f>INDEX(script.out!B:B,results.txt!$M822)</f>
        <v>#N/A</v>
      </c>
      <c r="O822" t="e">
        <f>INDEX(script.out!C:C,results.txt!$M822)</f>
        <v>#N/A</v>
      </c>
      <c r="P822" t="e">
        <f>INDEX(script.out!D:D,results.txt!$M822)</f>
        <v>#N/A</v>
      </c>
      <c r="Q822" t="e">
        <f>INDEX(script.out!E:E,results.txt!$M822)</f>
        <v>#N/A</v>
      </c>
      <c r="R822" t="e">
        <f>INDEX(script.out!F:F,results.txt!$M822)</f>
        <v>#N/A</v>
      </c>
      <c r="S822" t="e">
        <f>INDEX(script.out!G:G,results.txt!$M822)</f>
        <v>#N/A</v>
      </c>
      <c r="T822" t="e">
        <f>INDEX(script.out!H:H,results.txt!$M822)</f>
        <v>#N/A</v>
      </c>
      <c r="U822" t="e">
        <f>INDEX(script.out!I:I,results.txt!$M822)</f>
        <v>#N/A</v>
      </c>
      <c r="V822" t="e">
        <f>INDEX(script.out!J:J,results.txt!$M822)</f>
        <v>#N/A</v>
      </c>
      <c r="W822" t="e">
        <f>INDEX(script.out!K:K,results.txt!$M822)</f>
        <v>#N/A</v>
      </c>
      <c r="X822" t="e">
        <f>INDEX(script.out!L:L,results.txt!$M822)</f>
        <v>#N/A</v>
      </c>
      <c r="Y822" t="e">
        <f>INDEX(script.out!M:M,results.txt!$M822)</f>
        <v>#N/A</v>
      </c>
      <c r="Z822" t="e">
        <f>INDEX(script.out!N:N,results.txt!$M822)</f>
        <v>#N/A</v>
      </c>
      <c r="AA822" t="e">
        <f>INDEX(script.out!O:O,results.txt!$M822)</f>
        <v>#N/A</v>
      </c>
      <c r="AB822" t="e">
        <f>INDEX(script.out!P:P,results.txt!$M822)</f>
        <v>#N/A</v>
      </c>
      <c r="AC822" t="e">
        <f>INDEX(script.out!Q:Q,results.txt!$M822)</f>
        <v>#N/A</v>
      </c>
      <c r="AD822">
        <f t="shared" si="13"/>
        <v>0</v>
      </c>
    </row>
    <row r="823" spans="13:30" x14ac:dyDescent="0.25">
      <c r="M823" t="e">
        <f>MATCH(C823,script.out!B:B,0)</f>
        <v>#N/A</v>
      </c>
      <c r="N823" t="e">
        <f>INDEX(script.out!B:B,results.txt!$M823)</f>
        <v>#N/A</v>
      </c>
      <c r="O823" t="e">
        <f>INDEX(script.out!C:C,results.txt!$M823)</f>
        <v>#N/A</v>
      </c>
      <c r="P823" t="e">
        <f>INDEX(script.out!D:D,results.txt!$M823)</f>
        <v>#N/A</v>
      </c>
      <c r="Q823" t="e">
        <f>INDEX(script.out!E:E,results.txt!$M823)</f>
        <v>#N/A</v>
      </c>
      <c r="R823" t="e">
        <f>INDEX(script.out!F:F,results.txt!$M823)</f>
        <v>#N/A</v>
      </c>
      <c r="S823" t="e">
        <f>INDEX(script.out!G:G,results.txt!$M823)</f>
        <v>#N/A</v>
      </c>
      <c r="T823" t="e">
        <f>INDEX(script.out!H:H,results.txt!$M823)</f>
        <v>#N/A</v>
      </c>
      <c r="U823" t="e">
        <f>INDEX(script.out!I:I,results.txt!$M823)</f>
        <v>#N/A</v>
      </c>
      <c r="V823" t="e">
        <f>INDEX(script.out!J:J,results.txt!$M823)</f>
        <v>#N/A</v>
      </c>
      <c r="W823" t="e">
        <f>INDEX(script.out!K:K,results.txt!$M823)</f>
        <v>#N/A</v>
      </c>
      <c r="X823" t="e">
        <f>INDEX(script.out!L:L,results.txt!$M823)</f>
        <v>#N/A</v>
      </c>
      <c r="Y823" t="e">
        <f>INDEX(script.out!M:M,results.txt!$M823)</f>
        <v>#N/A</v>
      </c>
      <c r="Z823" t="e">
        <f>INDEX(script.out!N:N,results.txt!$M823)</f>
        <v>#N/A</v>
      </c>
      <c r="AA823" t="e">
        <f>INDEX(script.out!O:O,results.txt!$M823)</f>
        <v>#N/A</v>
      </c>
      <c r="AB823" t="e">
        <f>INDEX(script.out!P:P,results.txt!$M823)</f>
        <v>#N/A</v>
      </c>
      <c r="AC823" t="e">
        <f>INDEX(script.out!Q:Q,results.txt!$M823)</f>
        <v>#N/A</v>
      </c>
      <c r="AD823">
        <f t="shared" si="13"/>
        <v>0</v>
      </c>
    </row>
    <row r="824" spans="13:30" x14ac:dyDescent="0.25">
      <c r="M824" t="e">
        <f>MATCH(C824,script.out!B:B,0)</f>
        <v>#N/A</v>
      </c>
      <c r="N824" t="e">
        <f>INDEX(script.out!B:B,results.txt!$M824)</f>
        <v>#N/A</v>
      </c>
      <c r="O824" t="e">
        <f>INDEX(script.out!C:C,results.txt!$M824)</f>
        <v>#N/A</v>
      </c>
      <c r="P824" t="e">
        <f>INDEX(script.out!D:D,results.txt!$M824)</f>
        <v>#N/A</v>
      </c>
      <c r="Q824" t="e">
        <f>INDEX(script.out!E:E,results.txt!$M824)</f>
        <v>#N/A</v>
      </c>
      <c r="R824" t="e">
        <f>INDEX(script.out!F:F,results.txt!$M824)</f>
        <v>#N/A</v>
      </c>
      <c r="S824" t="e">
        <f>INDEX(script.out!G:G,results.txt!$M824)</f>
        <v>#N/A</v>
      </c>
      <c r="T824" t="e">
        <f>INDEX(script.out!H:H,results.txt!$M824)</f>
        <v>#N/A</v>
      </c>
      <c r="U824" t="e">
        <f>INDEX(script.out!I:I,results.txt!$M824)</f>
        <v>#N/A</v>
      </c>
      <c r="V824" t="e">
        <f>INDEX(script.out!J:J,results.txt!$M824)</f>
        <v>#N/A</v>
      </c>
      <c r="W824" t="e">
        <f>INDEX(script.out!K:K,results.txt!$M824)</f>
        <v>#N/A</v>
      </c>
      <c r="X824" t="e">
        <f>INDEX(script.out!L:L,results.txt!$M824)</f>
        <v>#N/A</v>
      </c>
      <c r="Y824" t="e">
        <f>INDEX(script.out!M:M,results.txt!$M824)</f>
        <v>#N/A</v>
      </c>
      <c r="Z824" t="e">
        <f>INDEX(script.out!N:N,results.txt!$M824)</f>
        <v>#N/A</v>
      </c>
      <c r="AA824" t="e">
        <f>INDEX(script.out!O:O,results.txt!$M824)</f>
        <v>#N/A</v>
      </c>
      <c r="AB824" t="e">
        <f>INDEX(script.out!P:P,results.txt!$M824)</f>
        <v>#N/A</v>
      </c>
      <c r="AC824" t="e">
        <f>INDEX(script.out!Q:Q,results.txt!$M824)</f>
        <v>#N/A</v>
      </c>
      <c r="AD824">
        <f t="shared" si="13"/>
        <v>0</v>
      </c>
    </row>
    <row r="825" spans="13:30" x14ac:dyDescent="0.25">
      <c r="M825" t="e">
        <f>MATCH(C825,script.out!B:B,0)</f>
        <v>#N/A</v>
      </c>
      <c r="N825" t="e">
        <f>INDEX(script.out!B:B,results.txt!$M825)</f>
        <v>#N/A</v>
      </c>
      <c r="O825" t="e">
        <f>INDEX(script.out!C:C,results.txt!$M825)</f>
        <v>#N/A</v>
      </c>
      <c r="P825" t="e">
        <f>INDEX(script.out!D:D,results.txt!$M825)</f>
        <v>#N/A</v>
      </c>
      <c r="Q825" t="e">
        <f>INDEX(script.out!E:E,results.txt!$M825)</f>
        <v>#N/A</v>
      </c>
      <c r="R825" t="e">
        <f>INDEX(script.out!F:F,results.txt!$M825)</f>
        <v>#N/A</v>
      </c>
      <c r="S825" t="e">
        <f>INDEX(script.out!G:G,results.txt!$M825)</f>
        <v>#N/A</v>
      </c>
      <c r="T825" t="e">
        <f>INDEX(script.out!H:H,results.txt!$M825)</f>
        <v>#N/A</v>
      </c>
      <c r="U825" t="e">
        <f>INDEX(script.out!I:I,results.txt!$M825)</f>
        <v>#N/A</v>
      </c>
      <c r="V825" t="e">
        <f>INDEX(script.out!J:J,results.txt!$M825)</f>
        <v>#N/A</v>
      </c>
      <c r="W825" t="e">
        <f>INDEX(script.out!K:K,results.txt!$M825)</f>
        <v>#N/A</v>
      </c>
      <c r="X825" t="e">
        <f>INDEX(script.out!L:L,results.txt!$M825)</f>
        <v>#N/A</v>
      </c>
      <c r="Y825" t="e">
        <f>INDEX(script.out!M:M,results.txt!$M825)</f>
        <v>#N/A</v>
      </c>
      <c r="Z825" t="e">
        <f>INDEX(script.out!N:N,results.txt!$M825)</f>
        <v>#N/A</v>
      </c>
      <c r="AA825" t="e">
        <f>INDEX(script.out!O:O,results.txt!$M825)</f>
        <v>#N/A</v>
      </c>
      <c r="AB825" t="e">
        <f>INDEX(script.out!P:P,results.txt!$M825)</f>
        <v>#N/A</v>
      </c>
      <c r="AC825" t="e">
        <f>INDEX(script.out!Q:Q,results.txt!$M825)</f>
        <v>#N/A</v>
      </c>
      <c r="AD825">
        <f t="shared" si="13"/>
        <v>0</v>
      </c>
    </row>
    <row r="826" spans="13:30" x14ac:dyDescent="0.25">
      <c r="M826" t="e">
        <f>MATCH(C826,script.out!B:B,0)</f>
        <v>#N/A</v>
      </c>
      <c r="N826" t="e">
        <f>INDEX(script.out!B:B,results.txt!$M826)</f>
        <v>#N/A</v>
      </c>
      <c r="O826" t="e">
        <f>INDEX(script.out!C:C,results.txt!$M826)</f>
        <v>#N/A</v>
      </c>
      <c r="P826" t="e">
        <f>INDEX(script.out!D:D,results.txt!$M826)</f>
        <v>#N/A</v>
      </c>
      <c r="Q826" t="e">
        <f>INDEX(script.out!E:E,results.txt!$M826)</f>
        <v>#N/A</v>
      </c>
      <c r="R826" t="e">
        <f>INDEX(script.out!F:F,results.txt!$M826)</f>
        <v>#N/A</v>
      </c>
      <c r="S826" t="e">
        <f>INDEX(script.out!G:G,results.txt!$M826)</f>
        <v>#N/A</v>
      </c>
      <c r="T826" t="e">
        <f>INDEX(script.out!H:H,results.txt!$M826)</f>
        <v>#N/A</v>
      </c>
      <c r="U826" t="e">
        <f>INDEX(script.out!I:I,results.txt!$M826)</f>
        <v>#N/A</v>
      </c>
      <c r="V826" t="e">
        <f>INDEX(script.out!J:J,results.txt!$M826)</f>
        <v>#N/A</v>
      </c>
      <c r="W826" t="e">
        <f>INDEX(script.out!K:K,results.txt!$M826)</f>
        <v>#N/A</v>
      </c>
      <c r="X826" t="e">
        <f>INDEX(script.out!L:L,results.txt!$M826)</f>
        <v>#N/A</v>
      </c>
      <c r="Y826" t="e">
        <f>INDEX(script.out!M:M,results.txt!$M826)</f>
        <v>#N/A</v>
      </c>
      <c r="Z826" t="e">
        <f>INDEX(script.out!N:N,results.txt!$M826)</f>
        <v>#N/A</v>
      </c>
      <c r="AA826" t="e">
        <f>INDEX(script.out!O:O,results.txt!$M826)</f>
        <v>#N/A</v>
      </c>
      <c r="AB826" t="e">
        <f>INDEX(script.out!P:P,results.txt!$M826)</f>
        <v>#N/A</v>
      </c>
      <c r="AC826" t="e">
        <f>INDEX(script.out!Q:Q,results.txt!$M826)</f>
        <v>#N/A</v>
      </c>
      <c r="AD826">
        <f t="shared" si="13"/>
        <v>0</v>
      </c>
    </row>
    <row r="827" spans="13:30" x14ac:dyDescent="0.25">
      <c r="M827" t="e">
        <f>MATCH(C827,script.out!B:B,0)</f>
        <v>#N/A</v>
      </c>
      <c r="N827" t="e">
        <f>INDEX(script.out!B:B,results.txt!$M827)</f>
        <v>#N/A</v>
      </c>
      <c r="O827" t="e">
        <f>INDEX(script.out!C:C,results.txt!$M827)</f>
        <v>#N/A</v>
      </c>
      <c r="P827" t="e">
        <f>INDEX(script.out!D:D,results.txt!$M827)</f>
        <v>#N/A</v>
      </c>
      <c r="Q827" t="e">
        <f>INDEX(script.out!E:E,results.txt!$M827)</f>
        <v>#N/A</v>
      </c>
      <c r="R827" t="e">
        <f>INDEX(script.out!F:F,results.txt!$M827)</f>
        <v>#N/A</v>
      </c>
      <c r="S827" t="e">
        <f>INDEX(script.out!G:G,results.txt!$M827)</f>
        <v>#N/A</v>
      </c>
      <c r="T827" t="e">
        <f>INDEX(script.out!H:H,results.txt!$M827)</f>
        <v>#N/A</v>
      </c>
      <c r="U827" t="e">
        <f>INDEX(script.out!I:I,results.txt!$M827)</f>
        <v>#N/A</v>
      </c>
      <c r="V827" t="e">
        <f>INDEX(script.out!J:J,results.txt!$M827)</f>
        <v>#N/A</v>
      </c>
      <c r="W827" t="e">
        <f>INDEX(script.out!K:K,results.txt!$M827)</f>
        <v>#N/A</v>
      </c>
      <c r="X827" t="e">
        <f>INDEX(script.out!L:L,results.txt!$M827)</f>
        <v>#N/A</v>
      </c>
      <c r="Y827" t="e">
        <f>INDEX(script.out!M:M,results.txt!$M827)</f>
        <v>#N/A</v>
      </c>
      <c r="Z827" t="e">
        <f>INDEX(script.out!N:N,results.txt!$M827)</f>
        <v>#N/A</v>
      </c>
      <c r="AA827" t="e">
        <f>INDEX(script.out!O:O,results.txt!$M827)</f>
        <v>#N/A</v>
      </c>
      <c r="AB827" t="e">
        <f>INDEX(script.out!P:P,results.txt!$M827)</f>
        <v>#N/A</v>
      </c>
      <c r="AC827" t="e">
        <f>INDEX(script.out!Q:Q,results.txt!$M827)</f>
        <v>#N/A</v>
      </c>
      <c r="AD827">
        <f t="shared" si="13"/>
        <v>0</v>
      </c>
    </row>
    <row r="828" spans="13:30" x14ac:dyDescent="0.25">
      <c r="M828" t="e">
        <f>MATCH(C828,script.out!B:B,0)</f>
        <v>#N/A</v>
      </c>
      <c r="N828" t="e">
        <f>INDEX(script.out!B:B,results.txt!$M828)</f>
        <v>#N/A</v>
      </c>
      <c r="O828" t="e">
        <f>INDEX(script.out!C:C,results.txt!$M828)</f>
        <v>#N/A</v>
      </c>
      <c r="P828" t="e">
        <f>INDEX(script.out!D:D,results.txt!$M828)</f>
        <v>#N/A</v>
      </c>
      <c r="Q828" t="e">
        <f>INDEX(script.out!E:E,results.txt!$M828)</f>
        <v>#N/A</v>
      </c>
      <c r="R828" t="e">
        <f>INDEX(script.out!F:F,results.txt!$M828)</f>
        <v>#N/A</v>
      </c>
      <c r="S828" t="e">
        <f>INDEX(script.out!G:G,results.txt!$M828)</f>
        <v>#N/A</v>
      </c>
      <c r="T828" t="e">
        <f>INDEX(script.out!H:H,results.txt!$M828)</f>
        <v>#N/A</v>
      </c>
      <c r="U828" t="e">
        <f>INDEX(script.out!I:I,results.txt!$M828)</f>
        <v>#N/A</v>
      </c>
      <c r="V828" t="e">
        <f>INDEX(script.out!J:J,results.txt!$M828)</f>
        <v>#N/A</v>
      </c>
      <c r="W828" t="e">
        <f>INDEX(script.out!K:K,results.txt!$M828)</f>
        <v>#N/A</v>
      </c>
      <c r="X828" t="e">
        <f>INDEX(script.out!L:L,results.txt!$M828)</f>
        <v>#N/A</v>
      </c>
      <c r="Y828" t="e">
        <f>INDEX(script.out!M:M,results.txt!$M828)</f>
        <v>#N/A</v>
      </c>
      <c r="Z828" t="e">
        <f>INDEX(script.out!N:N,results.txt!$M828)</f>
        <v>#N/A</v>
      </c>
      <c r="AA828" t="e">
        <f>INDEX(script.out!O:O,results.txt!$M828)</f>
        <v>#N/A</v>
      </c>
      <c r="AB828" t="e">
        <f>INDEX(script.out!P:P,results.txt!$M828)</f>
        <v>#N/A</v>
      </c>
      <c r="AC828" t="e">
        <f>INDEX(script.out!Q:Q,results.txt!$M828)</f>
        <v>#N/A</v>
      </c>
      <c r="AD828">
        <f t="shared" si="13"/>
        <v>0</v>
      </c>
    </row>
    <row r="829" spans="13:30" x14ac:dyDescent="0.25">
      <c r="M829" t="e">
        <f>MATCH(C829,script.out!B:B,0)</f>
        <v>#N/A</v>
      </c>
      <c r="N829" t="e">
        <f>INDEX(script.out!B:B,results.txt!$M829)</f>
        <v>#N/A</v>
      </c>
      <c r="O829" t="e">
        <f>INDEX(script.out!C:C,results.txt!$M829)</f>
        <v>#N/A</v>
      </c>
      <c r="P829" t="e">
        <f>INDEX(script.out!D:D,results.txt!$M829)</f>
        <v>#N/A</v>
      </c>
      <c r="Q829" t="e">
        <f>INDEX(script.out!E:E,results.txt!$M829)</f>
        <v>#N/A</v>
      </c>
      <c r="R829" t="e">
        <f>INDEX(script.out!F:F,results.txt!$M829)</f>
        <v>#N/A</v>
      </c>
      <c r="S829" t="e">
        <f>INDEX(script.out!G:G,results.txt!$M829)</f>
        <v>#N/A</v>
      </c>
      <c r="T829" t="e">
        <f>INDEX(script.out!H:H,results.txt!$M829)</f>
        <v>#N/A</v>
      </c>
      <c r="U829" t="e">
        <f>INDEX(script.out!I:I,results.txt!$M829)</f>
        <v>#N/A</v>
      </c>
      <c r="V829" t="e">
        <f>INDEX(script.out!J:J,results.txt!$M829)</f>
        <v>#N/A</v>
      </c>
      <c r="W829" t="e">
        <f>INDEX(script.out!K:K,results.txt!$M829)</f>
        <v>#N/A</v>
      </c>
      <c r="X829" t="e">
        <f>INDEX(script.out!L:L,results.txt!$M829)</f>
        <v>#N/A</v>
      </c>
      <c r="Y829" t="e">
        <f>INDEX(script.out!M:M,results.txt!$M829)</f>
        <v>#N/A</v>
      </c>
      <c r="Z829" t="e">
        <f>INDEX(script.out!N:N,results.txt!$M829)</f>
        <v>#N/A</v>
      </c>
      <c r="AA829" t="e">
        <f>INDEX(script.out!O:O,results.txt!$M829)</f>
        <v>#N/A</v>
      </c>
      <c r="AB829" t="e">
        <f>INDEX(script.out!P:P,results.txt!$M829)</f>
        <v>#N/A</v>
      </c>
      <c r="AC829" t="e">
        <f>INDEX(script.out!Q:Q,results.txt!$M829)</f>
        <v>#N/A</v>
      </c>
      <c r="AD829">
        <f t="shared" si="13"/>
        <v>0</v>
      </c>
    </row>
    <row r="830" spans="13:30" x14ac:dyDescent="0.25">
      <c r="M830" t="e">
        <f>MATCH(C830,script.out!B:B,0)</f>
        <v>#N/A</v>
      </c>
      <c r="N830" t="e">
        <f>INDEX(script.out!B:B,results.txt!$M830)</f>
        <v>#N/A</v>
      </c>
      <c r="O830" t="e">
        <f>INDEX(script.out!C:C,results.txt!$M830)</f>
        <v>#N/A</v>
      </c>
      <c r="P830" t="e">
        <f>INDEX(script.out!D:D,results.txt!$M830)</f>
        <v>#N/A</v>
      </c>
      <c r="Q830" t="e">
        <f>INDEX(script.out!E:E,results.txt!$M830)</f>
        <v>#N/A</v>
      </c>
      <c r="R830" t="e">
        <f>INDEX(script.out!F:F,results.txt!$M830)</f>
        <v>#N/A</v>
      </c>
      <c r="S830" t="e">
        <f>INDEX(script.out!G:G,results.txt!$M830)</f>
        <v>#N/A</v>
      </c>
      <c r="T830" t="e">
        <f>INDEX(script.out!H:H,results.txt!$M830)</f>
        <v>#N/A</v>
      </c>
      <c r="U830" t="e">
        <f>INDEX(script.out!I:I,results.txt!$M830)</f>
        <v>#N/A</v>
      </c>
      <c r="V830" t="e">
        <f>INDEX(script.out!J:J,results.txt!$M830)</f>
        <v>#N/A</v>
      </c>
      <c r="W830" t="e">
        <f>INDEX(script.out!K:K,results.txt!$M830)</f>
        <v>#N/A</v>
      </c>
      <c r="X830" t="e">
        <f>INDEX(script.out!L:L,results.txt!$M830)</f>
        <v>#N/A</v>
      </c>
      <c r="Y830" t="e">
        <f>INDEX(script.out!M:M,results.txt!$M830)</f>
        <v>#N/A</v>
      </c>
      <c r="Z830" t="e">
        <f>INDEX(script.out!N:N,results.txt!$M830)</f>
        <v>#N/A</v>
      </c>
      <c r="AA830" t="e">
        <f>INDEX(script.out!O:O,results.txt!$M830)</f>
        <v>#N/A</v>
      </c>
      <c r="AB830" t="e">
        <f>INDEX(script.out!P:P,results.txt!$M830)</f>
        <v>#N/A</v>
      </c>
      <c r="AC830" t="e">
        <f>INDEX(script.out!Q:Q,results.txt!$M830)</f>
        <v>#N/A</v>
      </c>
      <c r="AD830">
        <f t="shared" si="13"/>
        <v>0</v>
      </c>
    </row>
    <row r="831" spans="13:30" x14ac:dyDescent="0.25">
      <c r="M831" t="e">
        <f>MATCH(C831,script.out!B:B,0)</f>
        <v>#N/A</v>
      </c>
      <c r="N831" t="e">
        <f>INDEX(script.out!B:B,results.txt!$M831)</f>
        <v>#N/A</v>
      </c>
      <c r="O831" t="e">
        <f>INDEX(script.out!C:C,results.txt!$M831)</f>
        <v>#N/A</v>
      </c>
      <c r="P831" t="e">
        <f>INDEX(script.out!D:D,results.txt!$M831)</f>
        <v>#N/A</v>
      </c>
      <c r="Q831" t="e">
        <f>INDEX(script.out!E:E,results.txt!$M831)</f>
        <v>#N/A</v>
      </c>
      <c r="R831" t="e">
        <f>INDEX(script.out!F:F,results.txt!$M831)</f>
        <v>#N/A</v>
      </c>
      <c r="S831" t="e">
        <f>INDEX(script.out!G:G,results.txt!$M831)</f>
        <v>#N/A</v>
      </c>
      <c r="T831" t="e">
        <f>INDEX(script.out!H:H,results.txt!$M831)</f>
        <v>#N/A</v>
      </c>
      <c r="U831" t="e">
        <f>INDEX(script.out!I:I,results.txt!$M831)</f>
        <v>#N/A</v>
      </c>
      <c r="V831" t="e">
        <f>INDEX(script.out!J:J,results.txt!$M831)</f>
        <v>#N/A</v>
      </c>
      <c r="W831" t="e">
        <f>INDEX(script.out!K:K,results.txt!$M831)</f>
        <v>#N/A</v>
      </c>
      <c r="X831" t="e">
        <f>INDEX(script.out!L:L,results.txt!$M831)</f>
        <v>#N/A</v>
      </c>
      <c r="Y831" t="e">
        <f>INDEX(script.out!M:M,results.txt!$M831)</f>
        <v>#N/A</v>
      </c>
      <c r="Z831" t="e">
        <f>INDEX(script.out!N:N,results.txt!$M831)</f>
        <v>#N/A</v>
      </c>
      <c r="AA831" t="e">
        <f>INDEX(script.out!O:O,results.txt!$M831)</f>
        <v>#N/A</v>
      </c>
      <c r="AB831" t="e">
        <f>INDEX(script.out!P:P,results.txt!$M831)</f>
        <v>#N/A</v>
      </c>
      <c r="AC831" t="e">
        <f>INDEX(script.out!Q:Q,results.txt!$M831)</f>
        <v>#N/A</v>
      </c>
      <c r="AD831">
        <f t="shared" si="13"/>
        <v>0</v>
      </c>
    </row>
    <row r="832" spans="13:30" x14ac:dyDescent="0.25">
      <c r="M832" t="e">
        <f>MATCH(C832,script.out!B:B,0)</f>
        <v>#N/A</v>
      </c>
      <c r="N832" t="e">
        <f>INDEX(script.out!B:B,results.txt!$M832)</f>
        <v>#N/A</v>
      </c>
      <c r="O832" t="e">
        <f>INDEX(script.out!C:C,results.txt!$M832)</f>
        <v>#N/A</v>
      </c>
      <c r="P832" t="e">
        <f>INDEX(script.out!D:D,results.txt!$M832)</f>
        <v>#N/A</v>
      </c>
      <c r="Q832" t="e">
        <f>INDEX(script.out!E:E,results.txt!$M832)</f>
        <v>#N/A</v>
      </c>
      <c r="R832" t="e">
        <f>INDEX(script.out!F:F,results.txt!$M832)</f>
        <v>#N/A</v>
      </c>
      <c r="S832" t="e">
        <f>INDEX(script.out!G:G,results.txt!$M832)</f>
        <v>#N/A</v>
      </c>
      <c r="T832" t="e">
        <f>INDEX(script.out!H:H,results.txt!$M832)</f>
        <v>#N/A</v>
      </c>
      <c r="U832" t="e">
        <f>INDEX(script.out!I:I,results.txt!$M832)</f>
        <v>#N/A</v>
      </c>
      <c r="V832" t="e">
        <f>INDEX(script.out!J:J,results.txt!$M832)</f>
        <v>#N/A</v>
      </c>
      <c r="W832" t="e">
        <f>INDEX(script.out!K:K,results.txt!$M832)</f>
        <v>#N/A</v>
      </c>
      <c r="X832" t="e">
        <f>INDEX(script.out!L:L,results.txt!$M832)</f>
        <v>#N/A</v>
      </c>
      <c r="Y832" t="e">
        <f>INDEX(script.out!M:M,results.txt!$M832)</f>
        <v>#N/A</v>
      </c>
      <c r="Z832" t="e">
        <f>INDEX(script.out!N:N,results.txt!$M832)</f>
        <v>#N/A</v>
      </c>
      <c r="AA832" t="e">
        <f>INDEX(script.out!O:O,results.txt!$M832)</f>
        <v>#N/A</v>
      </c>
      <c r="AB832" t="e">
        <f>INDEX(script.out!P:P,results.txt!$M832)</f>
        <v>#N/A</v>
      </c>
      <c r="AC832" t="e">
        <f>INDEX(script.out!Q:Q,results.txt!$M832)</f>
        <v>#N/A</v>
      </c>
      <c r="AD832">
        <f t="shared" si="13"/>
        <v>0</v>
      </c>
    </row>
    <row r="833" spans="13:30" x14ac:dyDescent="0.25">
      <c r="M833" t="e">
        <f>MATCH(C833,script.out!B:B,0)</f>
        <v>#N/A</v>
      </c>
      <c r="N833" t="e">
        <f>INDEX(script.out!B:B,results.txt!$M833)</f>
        <v>#N/A</v>
      </c>
      <c r="O833" t="e">
        <f>INDEX(script.out!C:C,results.txt!$M833)</f>
        <v>#N/A</v>
      </c>
      <c r="P833" t="e">
        <f>INDEX(script.out!D:D,results.txt!$M833)</f>
        <v>#N/A</v>
      </c>
      <c r="Q833" t="e">
        <f>INDEX(script.out!E:E,results.txt!$M833)</f>
        <v>#N/A</v>
      </c>
      <c r="R833" t="e">
        <f>INDEX(script.out!F:F,results.txt!$M833)</f>
        <v>#N/A</v>
      </c>
      <c r="S833" t="e">
        <f>INDEX(script.out!G:G,results.txt!$M833)</f>
        <v>#N/A</v>
      </c>
      <c r="T833" t="e">
        <f>INDEX(script.out!H:H,results.txt!$M833)</f>
        <v>#N/A</v>
      </c>
      <c r="U833" t="e">
        <f>INDEX(script.out!I:I,results.txt!$M833)</f>
        <v>#N/A</v>
      </c>
      <c r="V833" t="e">
        <f>INDEX(script.out!J:J,results.txt!$M833)</f>
        <v>#N/A</v>
      </c>
      <c r="W833" t="e">
        <f>INDEX(script.out!K:K,results.txt!$M833)</f>
        <v>#N/A</v>
      </c>
      <c r="X833" t="e">
        <f>INDEX(script.out!L:L,results.txt!$M833)</f>
        <v>#N/A</v>
      </c>
      <c r="Y833" t="e">
        <f>INDEX(script.out!M:M,results.txt!$M833)</f>
        <v>#N/A</v>
      </c>
      <c r="Z833" t="e">
        <f>INDEX(script.out!N:N,results.txt!$M833)</f>
        <v>#N/A</v>
      </c>
      <c r="AA833" t="e">
        <f>INDEX(script.out!O:O,results.txt!$M833)</f>
        <v>#N/A</v>
      </c>
      <c r="AB833" t="e">
        <f>INDEX(script.out!P:P,results.txt!$M833)</f>
        <v>#N/A</v>
      </c>
      <c r="AC833" t="e">
        <f>INDEX(script.out!Q:Q,results.txt!$M833)</f>
        <v>#N/A</v>
      </c>
      <c r="AD833">
        <f t="shared" si="13"/>
        <v>0</v>
      </c>
    </row>
    <row r="834" spans="13:30" x14ac:dyDescent="0.25">
      <c r="M834" t="e">
        <f>MATCH(C834,script.out!B:B,0)</f>
        <v>#N/A</v>
      </c>
      <c r="N834" t="e">
        <f>INDEX(script.out!B:B,results.txt!$M834)</f>
        <v>#N/A</v>
      </c>
      <c r="O834" t="e">
        <f>INDEX(script.out!C:C,results.txt!$M834)</f>
        <v>#N/A</v>
      </c>
      <c r="P834" t="e">
        <f>INDEX(script.out!D:D,results.txt!$M834)</f>
        <v>#N/A</v>
      </c>
      <c r="Q834" t="e">
        <f>INDEX(script.out!E:E,results.txt!$M834)</f>
        <v>#N/A</v>
      </c>
      <c r="R834" t="e">
        <f>INDEX(script.out!F:F,results.txt!$M834)</f>
        <v>#N/A</v>
      </c>
      <c r="S834" t="e">
        <f>INDEX(script.out!G:G,results.txt!$M834)</f>
        <v>#N/A</v>
      </c>
      <c r="T834" t="e">
        <f>INDEX(script.out!H:H,results.txt!$M834)</f>
        <v>#N/A</v>
      </c>
      <c r="U834" t="e">
        <f>INDEX(script.out!I:I,results.txt!$M834)</f>
        <v>#N/A</v>
      </c>
      <c r="V834" t="e">
        <f>INDEX(script.out!J:J,results.txt!$M834)</f>
        <v>#N/A</v>
      </c>
      <c r="W834" t="e">
        <f>INDEX(script.out!K:K,results.txt!$M834)</f>
        <v>#N/A</v>
      </c>
      <c r="X834" t="e">
        <f>INDEX(script.out!L:L,results.txt!$M834)</f>
        <v>#N/A</v>
      </c>
      <c r="Y834" t="e">
        <f>INDEX(script.out!M:M,results.txt!$M834)</f>
        <v>#N/A</v>
      </c>
      <c r="Z834" t="e">
        <f>INDEX(script.out!N:N,results.txt!$M834)</f>
        <v>#N/A</v>
      </c>
      <c r="AA834" t="e">
        <f>INDEX(script.out!O:O,results.txt!$M834)</f>
        <v>#N/A</v>
      </c>
      <c r="AB834" t="e">
        <f>INDEX(script.out!P:P,results.txt!$M834)</f>
        <v>#N/A</v>
      </c>
      <c r="AC834" t="e">
        <f>INDEX(script.out!Q:Q,results.txt!$M834)</f>
        <v>#N/A</v>
      </c>
      <c r="AD834">
        <f t="shared" si="13"/>
        <v>0</v>
      </c>
    </row>
    <row r="835" spans="13:30" x14ac:dyDescent="0.25">
      <c r="M835" t="e">
        <f>MATCH(C835,script.out!B:B,0)</f>
        <v>#N/A</v>
      </c>
      <c r="N835" t="e">
        <f>INDEX(script.out!B:B,results.txt!$M835)</f>
        <v>#N/A</v>
      </c>
      <c r="O835" t="e">
        <f>INDEX(script.out!C:C,results.txt!$M835)</f>
        <v>#N/A</v>
      </c>
      <c r="P835" t="e">
        <f>INDEX(script.out!D:D,results.txt!$M835)</f>
        <v>#N/A</v>
      </c>
      <c r="Q835" t="e">
        <f>INDEX(script.out!E:E,results.txt!$M835)</f>
        <v>#N/A</v>
      </c>
      <c r="R835" t="e">
        <f>INDEX(script.out!F:F,results.txt!$M835)</f>
        <v>#N/A</v>
      </c>
      <c r="S835" t="e">
        <f>INDEX(script.out!G:G,results.txt!$M835)</f>
        <v>#N/A</v>
      </c>
      <c r="T835" t="e">
        <f>INDEX(script.out!H:H,results.txt!$M835)</f>
        <v>#N/A</v>
      </c>
      <c r="U835" t="e">
        <f>INDEX(script.out!I:I,results.txt!$M835)</f>
        <v>#N/A</v>
      </c>
      <c r="V835" t="e">
        <f>INDEX(script.out!J:J,results.txt!$M835)</f>
        <v>#N/A</v>
      </c>
      <c r="W835" t="e">
        <f>INDEX(script.out!K:K,results.txt!$M835)</f>
        <v>#N/A</v>
      </c>
      <c r="X835" t="e">
        <f>INDEX(script.out!L:L,results.txt!$M835)</f>
        <v>#N/A</v>
      </c>
      <c r="Y835" t="e">
        <f>INDEX(script.out!M:M,results.txt!$M835)</f>
        <v>#N/A</v>
      </c>
      <c r="Z835" t="e">
        <f>INDEX(script.out!N:N,results.txt!$M835)</f>
        <v>#N/A</v>
      </c>
      <c r="AA835" t="e">
        <f>INDEX(script.out!O:O,results.txt!$M835)</f>
        <v>#N/A</v>
      </c>
      <c r="AB835" t="e">
        <f>INDEX(script.out!P:P,results.txt!$M835)</f>
        <v>#N/A</v>
      </c>
      <c r="AC835" t="e">
        <f>INDEX(script.out!Q:Q,results.txt!$M835)</f>
        <v>#N/A</v>
      </c>
      <c r="AD835">
        <f t="shared" si="13"/>
        <v>0</v>
      </c>
    </row>
    <row r="836" spans="13:30" x14ac:dyDescent="0.25">
      <c r="M836" t="e">
        <f>MATCH(C836,script.out!B:B,0)</f>
        <v>#N/A</v>
      </c>
      <c r="N836" t="e">
        <f>INDEX(script.out!B:B,results.txt!$M836)</f>
        <v>#N/A</v>
      </c>
      <c r="O836" t="e">
        <f>INDEX(script.out!C:C,results.txt!$M836)</f>
        <v>#N/A</v>
      </c>
      <c r="P836" t="e">
        <f>INDEX(script.out!D:D,results.txt!$M836)</f>
        <v>#N/A</v>
      </c>
      <c r="Q836" t="e">
        <f>INDEX(script.out!E:E,results.txt!$M836)</f>
        <v>#N/A</v>
      </c>
      <c r="R836" t="e">
        <f>INDEX(script.out!F:F,results.txt!$M836)</f>
        <v>#N/A</v>
      </c>
      <c r="S836" t="e">
        <f>INDEX(script.out!G:G,results.txt!$M836)</f>
        <v>#N/A</v>
      </c>
      <c r="T836" t="e">
        <f>INDEX(script.out!H:H,results.txt!$M836)</f>
        <v>#N/A</v>
      </c>
      <c r="U836" t="e">
        <f>INDEX(script.out!I:I,results.txt!$M836)</f>
        <v>#N/A</v>
      </c>
      <c r="V836" t="e">
        <f>INDEX(script.out!J:J,results.txt!$M836)</f>
        <v>#N/A</v>
      </c>
      <c r="W836" t="e">
        <f>INDEX(script.out!K:K,results.txt!$M836)</f>
        <v>#N/A</v>
      </c>
      <c r="X836" t="e">
        <f>INDEX(script.out!L:L,results.txt!$M836)</f>
        <v>#N/A</v>
      </c>
      <c r="Y836" t="e">
        <f>INDEX(script.out!M:M,results.txt!$M836)</f>
        <v>#N/A</v>
      </c>
      <c r="Z836" t="e">
        <f>INDEX(script.out!N:N,results.txt!$M836)</f>
        <v>#N/A</v>
      </c>
      <c r="AA836" t="e">
        <f>INDEX(script.out!O:O,results.txt!$M836)</f>
        <v>#N/A</v>
      </c>
      <c r="AB836" t="e">
        <f>INDEX(script.out!P:P,results.txt!$M836)</f>
        <v>#N/A</v>
      </c>
      <c r="AC836" t="e">
        <f>INDEX(script.out!Q:Q,results.txt!$M836)</f>
        <v>#N/A</v>
      </c>
      <c r="AD836">
        <f t="shared" si="13"/>
        <v>0</v>
      </c>
    </row>
    <row r="837" spans="13:30" x14ac:dyDescent="0.25">
      <c r="M837" t="e">
        <f>MATCH(C837,script.out!B:B,0)</f>
        <v>#N/A</v>
      </c>
      <c r="N837" t="e">
        <f>INDEX(script.out!B:B,results.txt!$M837)</f>
        <v>#N/A</v>
      </c>
      <c r="O837" t="e">
        <f>INDEX(script.out!C:C,results.txt!$M837)</f>
        <v>#N/A</v>
      </c>
      <c r="P837" t="e">
        <f>INDEX(script.out!D:D,results.txt!$M837)</f>
        <v>#N/A</v>
      </c>
      <c r="Q837" t="e">
        <f>INDEX(script.out!E:E,results.txt!$M837)</f>
        <v>#N/A</v>
      </c>
      <c r="R837" t="e">
        <f>INDEX(script.out!F:F,results.txt!$M837)</f>
        <v>#N/A</v>
      </c>
      <c r="S837" t="e">
        <f>INDEX(script.out!G:G,results.txt!$M837)</f>
        <v>#N/A</v>
      </c>
      <c r="T837" t="e">
        <f>INDEX(script.out!H:H,results.txt!$M837)</f>
        <v>#N/A</v>
      </c>
      <c r="U837" t="e">
        <f>INDEX(script.out!I:I,results.txt!$M837)</f>
        <v>#N/A</v>
      </c>
      <c r="V837" t="e">
        <f>INDEX(script.out!J:J,results.txt!$M837)</f>
        <v>#N/A</v>
      </c>
      <c r="W837" t="e">
        <f>INDEX(script.out!K:K,results.txt!$M837)</f>
        <v>#N/A</v>
      </c>
      <c r="X837" t="e">
        <f>INDEX(script.out!L:L,results.txt!$M837)</f>
        <v>#N/A</v>
      </c>
      <c r="Y837" t="e">
        <f>INDEX(script.out!M:M,results.txt!$M837)</f>
        <v>#N/A</v>
      </c>
      <c r="Z837" t="e">
        <f>INDEX(script.out!N:N,results.txt!$M837)</f>
        <v>#N/A</v>
      </c>
      <c r="AA837" t="e">
        <f>INDEX(script.out!O:O,results.txt!$M837)</f>
        <v>#N/A</v>
      </c>
      <c r="AB837" t="e">
        <f>INDEX(script.out!P:P,results.txt!$M837)</f>
        <v>#N/A</v>
      </c>
      <c r="AC837" t="e">
        <f>INDEX(script.out!Q:Q,results.txt!$M837)</f>
        <v>#N/A</v>
      </c>
      <c r="AD837">
        <f t="shared" si="13"/>
        <v>0</v>
      </c>
    </row>
    <row r="838" spans="13:30" x14ac:dyDescent="0.25">
      <c r="M838" t="e">
        <f>MATCH(C838,script.out!B:B,0)</f>
        <v>#N/A</v>
      </c>
      <c r="N838" t="e">
        <f>INDEX(script.out!B:B,results.txt!$M838)</f>
        <v>#N/A</v>
      </c>
      <c r="O838" t="e">
        <f>INDEX(script.out!C:C,results.txt!$M838)</f>
        <v>#N/A</v>
      </c>
      <c r="P838" t="e">
        <f>INDEX(script.out!D:D,results.txt!$M838)</f>
        <v>#N/A</v>
      </c>
      <c r="Q838" t="e">
        <f>INDEX(script.out!E:E,results.txt!$M838)</f>
        <v>#N/A</v>
      </c>
      <c r="R838" t="e">
        <f>INDEX(script.out!F:F,results.txt!$M838)</f>
        <v>#N/A</v>
      </c>
      <c r="S838" t="e">
        <f>INDEX(script.out!G:G,results.txt!$M838)</f>
        <v>#N/A</v>
      </c>
      <c r="T838" t="e">
        <f>INDEX(script.out!H:H,results.txt!$M838)</f>
        <v>#N/A</v>
      </c>
      <c r="U838" t="e">
        <f>INDEX(script.out!I:I,results.txt!$M838)</f>
        <v>#N/A</v>
      </c>
      <c r="V838" t="e">
        <f>INDEX(script.out!J:J,results.txt!$M838)</f>
        <v>#N/A</v>
      </c>
      <c r="W838" t="e">
        <f>INDEX(script.out!K:K,results.txt!$M838)</f>
        <v>#N/A</v>
      </c>
      <c r="X838" t="e">
        <f>INDEX(script.out!L:L,results.txt!$M838)</f>
        <v>#N/A</v>
      </c>
      <c r="Y838" t="e">
        <f>INDEX(script.out!M:M,results.txt!$M838)</f>
        <v>#N/A</v>
      </c>
      <c r="Z838" t="e">
        <f>INDEX(script.out!N:N,results.txt!$M838)</f>
        <v>#N/A</v>
      </c>
      <c r="AA838" t="e">
        <f>INDEX(script.out!O:O,results.txt!$M838)</f>
        <v>#N/A</v>
      </c>
      <c r="AB838" t="e">
        <f>INDEX(script.out!P:P,results.txt!$M838)</f>
        <v>#N/A</v>
      </c>
      <c r="AC838" t="e">
        <f>INDEX(script.out!Q:Q,results.txt!$M838)</f>
        <v>#N/A</v>
      </c>
      <c r="AD838">
        <f t="shared" si="13"/>
        <v>0</v>
      </c>
    </row>
    <row r="839" spans="13:30" x14ac:dyDescent="0.25">
      <c r="M839" t="e">
        <f>MATCH(C839,script.out!B:B,0)</f>
        <v>#N/A</v>
      </c>
      <c r="N839" t="e">
        <f>INDEX(script.out!B:B,results.txt!$M839)</f>
        <v>#N/A</v>
      </c>
      <c r="O839" t="e">
        <f>INDEX(script.out!C:C,results.txt!$M839)</f>
        <v>#N/A</v>
      </c>
      <c r="P839" t="e">
        <f>INDEX(script.out!D:D,results.txt!$M839)</f>
        <v>#N/A</v>
      </c>
      <c r="Q839" t="e">
        <f>INDEX(script.out!E:E,results.txt!$M839)</f>
        <v>#N/A</v>
      </c>
      <c r="R839" t="e">
        <f>INDEX(script.out!F:F,results.txt!$M839)</f>
        <v>#N/A</v>
      </c>
      <c r="S839" t="e">
        <f>INDEX(script.out!G:G,results.txt!$M839)</f>
        <v>#N/A</v>
      </c>
      <c r="T839" t="e">
        <f>INDEX(script.out!H:H,results.txt!$M839)</f>
        <v>#N/A</v>
      </c>
      <c r="U839" t="e">
        <f>INDEX(script.out!I:I,results.txt!$M839)</f>
        <v>#N/A</v>
      </c>
      <c r="V839" t="e">
        <f>INDEX(script.out!J:J,results.txt!$M839)</f>
        <v>#N/A</v>
      </c>
      <c r="W839" t="e">
        <f>INDEX(script.out!K:K,results.txt!$M839)</f>
        <v>#N/A</v>
      </c>
      <c r="X839" t="e">
        <f>INDEX(script.out!L:L,results.txt!$M839)</f>
        <v>#N/A</v>
      </c>
      <c r="Y839" t="e">
        <f>INDEX(script.out!M:M,results.txt!$M839)</f>
        <v>#N/A</v>
      </c>
      <c r="Z839" t="e">
        <f>INDEX(script.out!N:N,results.txt!$M839)</f>
        <v>#N/A</v>
      </c>
      <c r="AA839" t="e">
        <f>INDEX(script.out!O:O,results.txt!$M839)</f>
        <v>#N/A</v>
      </c>
      <c r="AB839" t="e">
        <f>INDEX(script.out!P:P,results.txt!$M839)</f>
        <v>#N/A</v>
      </c>
      <c r="AC839" t="e">
        <f>INDEX(script.out!Q:Q,results.txt!$M839)</f>
        <v>#N/A</v>
      </c>
      <c r="AD839">
        <f t="shared" si="13"/>
        <v>0</v>
      </c>
    </row>
    <row r="840" spans="13:30" x14ac:dyDescent="0.25">
      <c r="M840" t="e">
        <f>MATCH(C840,script.out!B:B,0)</f>
        <v>#N/A</v>
      </c>
      <c r="N840" t="e">
        <f>INDEX(script.out!B:B,results.txt!$M840)</f>
        <v>#N/A</v>
      </c>
      <c r="O840" t="e">
        <f>INDEX(script.out!C:C,results.txt!$M840)</f>
        <v>#N/A</v>
      </c>
      <c r="P840" t="e">
        <f>INDEX(script.out!D:D,results.txt!$M840)</f>
        <v>#N/A</v>
      </c>
      <c r="Q840" t="e">
        <f>INDEX(script.out!E:E,results.txt!$M840)</f>
        <v>#N/A</v>
      </c>
      <c r="R840" t="e">
        <f>INDEX(script.out!F:F,results.txt!$M840)</f>
        <v>#N/A</v>
      </c>
      <c r="S840" t="e">
        <f>INDEX(script.out!G:G,results.txt!$M840)</f>
        <v>#N/A</v>
      </c>
      <c r="T840" t="e">
        <f>INDEX(script.out!H:H,results.txt!$M840)</f>
        <v>#N/A</v>
      </c>
      <c r="U840" t="e">
        <f>INDEX(script.out!I:I,results.txt!$M840)</f>
        <v>#N/A</v>
      </c>
      <c r="V840" t="e">
        <f>INDEX(script.out!J:J,results.txt!$M840)</f>
        <v>#N/A</v>
      </c>
      <c r="W840" t="e">
        <f>INDEX(script.out!K:K,results.txt!$M840)</f>
        <v>#N/A</v>
      </c>
      <c r="X840" t="e">
        <f>INDEX(script.out!L:L,results.txt!$M840)</f>
        <v>#N/A</v>
      </c>
      <c r="Y840" t="e">
        <f>INDEX(script.out!M:M,results.txt!$M840)</f>
        <v>#N/A</v>
      </c>
      <c r="Z840" t="e">
        <f>INDEX(script.out!N:N,results.txt!$M840)</f>
        <v>#N/A</v>
      </c>
      <c r="AA840" t="e">
        <f>INDEX(script.out!O:O,results.txt!$M840)</f>
        <v>#N/A</v>
      </c>
      <c r="AB840" t="e">
        <f>INDEX(script.out!P:P,results.txt!$M840)</f>
        <v>#N/A</v>
      </c>
      <c r="AC840" t="e">
        <f>INDEX(script.out!Q:Q,results.txt!$M840)</f>
        <v>#N/A</v>
      </c>
      <c r="AD840">
        <f t="shared" si="13"/>
        <v>0</v>
      </c>
    </row>
    <row r="841" spans="13:30" x14ac:dyDescent="0.25">
      <c r="M841" t="e">
        <f>MATCH(C841,script.out!B:B,0)</f>
        <v>#N/A</v>
      </c>
      <c r="N841" t="e">
        <f>INDEX(script.out!B:B,results.txt!$M841)</f>
        <v>#N/A</v>
      </c>
      <c r="O841" t="e">
        <f>INDEX(script.out!C:C,results.txt!$M841)</f>
        <v>#N/A</v>
      </c>
      <c r="P841" t="e">
        <f>INDEX(script.out!D:D,results.txt!$M841)</f>
        <v>#N/A</v>
      </c>
      <c r="Q841" t="e">
        <f>INDEX(script.out!E:E,results.txt!$M841)</f>
        <v>#N/A</v>
      </c>
      <c r="R841" t="e">
        <f>INDEX(script.out!F:F,results.txt!$M841)</f>
        <v>#N/A</v>
      </c>
      <c r="S841" t="e">
        <f>INDEX(script.out!G:G,results.txt!$M841)</f>
        <v>#N/A</v>
      </c>
      <c r="T841" t="e">
        <f>INDEX(script.out!H:H,results.txt!$M841)</f>
        <v>#N/A</v>
      </c>
      <c r="U841" t="e">
        <f>INDEX(script.out!I:I,results.txt!$M841)</f>
        <v>#N/A</v>
      </c>
      <c r="V841" t="e">
        <f>INDEX(script.out!J:J,results.txt!$M841)</f>
        <v>#N/A</v>
      </c>
      <c r="W841" t="e">
        <f>INDEX(script.out!K:K,results.txt!$M841)</f>
        <v>#N/A</v>
      </c>
      <c r="X841" t="e">
        <f>INDEX(script.out!L:L,results.txt!$M841)</f>
        <v>#N/A</v>
      </c>
      <c r="Y841" t="e">
        <f>INDEX(script.out!M:M,results.txt!$M841)</f>
        <v>#N/A</v>
      </c>
      <c r="Z841" t="e">
        <f>INDEX(script.out!N:N,results.txt!$M841)</f>
        <v>#N/A</v>
      </c>
      <c r="AA841" t="e">
        <f>INDEX(script.out!O:O,results.txt!$M841)</f>
        <v>#N/A</v>
      </c>
      <c r="AB841" t="e">
        <f>INDEX(script.out!P:P,results.txt!$M841)</f>
        <v>#N/A</v>
      </c>
      <c r="AC841" t="e">
        <f>INDEX(script.out!Q:Q,results.txt!$M841)</f>
        <v>#N/A</v>
      </c>
      <c r="AD841">
        <f t="shared" si="13"/>
        <v>0</v>
      </c>
    </row>
    <row r="842" spans="13:30" x14ac:dyDescent="0.25">
      <c r="M842" t="e">
        <f>MATCH(C842,script.out!B:B,0)</f>
        <v>#N/A</v>
      </c>
      <c r="N842" t="e">
        <f>INDEX(script.out!B:B,results.txt!$M842)</f>
        <v>#N/A</v>
      </c>
      <c r="O842" t="e">
        <f>INDEX(script.out!C:C,results.txt!$M842)</f>
        <v>#N/A</v>
      </c>
      <c r="P842" t="e">
        <f>INDEX(script.out!D:D,results.txt!$M842)</f>
        <v>#N/A</v>
      </c>
      <c r="Q842" t="e">
        <f>INDEX(script.out!E:E,results.txt!$M842)</f>
        <v>#N/A</v>
      </c>
      <c r="R842" t="e">
        <f>INDEX(script.out!F:F,results.txt!$M842)</f>
        <v>#N/A</v>
      </c>
      <c r="S842" t="e">
        <f>INDEX(script.out!G:G,results.txt!$M842)</f>
        <v>#N/A</v>
      </c>
      <c r="T842" t="e">
        <f>INDEX(script.out!H:H,results.txt!$M842)</f>
        <v>#N/A</v>
      </c>
      <c r="U842" t="e">
        <f>INDEX(script.out!I:I,results.txt!$M842)</f>
        <v>#N/A</v>
      </c>
      <c r="V842" t="e">
        <f>INDEX(script.out!J:J,results.txt!$M842)</f>
        <v>#N/A</v>
      </c>
      <c r="W842" t="e">
        <f>INDEX(script.out!K:K,results.txt!$M842)</f>
        <v>#N/A</v>
      </c>
      <c r="X842" t="e">
        <f>INDEX(script.out!L:L,results.txt!$M842)</f>
        <v>#N/A</v>
      </c>
      <c r="Y842" t="e">
        <f>INDEX(script.out!M:M,results.txt!$M842)</f>
        <v>#N/A</v>
      </c>
      <c r="Z842" t="e">
        <f>INDEX(script.out!N:N,results.txt!$M842)</f>
        <v>#N/A</v>
      </c>
      <c r="AA842" t="e">
        <f>INDEX(script.out!O:O,results.txt!$M842)</f>
        <v>#N/A</v>
      </c>
      <c r="AB842" t="e">
        <f>INDEX(script.out!P:P,results.txt!$M842)</f>
        <v>#N/A</v>
      </c>
      <c r="AC842" t="e">
        <f>INDEX(script.out!Q:Q,results.txt!$M842)</f>
        <v>#N/A</v>
      </c>
      <c r="AD842">
        <f t="shared" si="13"/>
        <v>0</v>
      </c>
    </row>
    <row r="843" spans="13:30" x14ac:dyDescent="0.25">
      <c r="M843" t="e">
        <f>MATCH(C843,script.out!B:B,0)</f>
        <v>#N/A</v>
      </c>
      <c r="N843" t="e">
        <f>INDEX(script.out!B:B,results.txt!$M843)</f>
        <v>#N/A</v>
      </c>
      <c r="O843" t="e">
        <f>INDEX(script.out!C:C,results.txt!$M843)</f>
        <v>#N/A</v>
      </c>
      <c r="P843" t="e">
        <f>INDEX(script.out!D:D,results.txt!$M843)</f>
        <v>#N/A</v>
      </c>
      <c r="Q843" t="e">
        <f>INDEX(script.out!E:E,results.txt!$M843)</f>
        <v>#N/A</v>
      </c>
      <c r="R843" t="e">
        <f>INDEX(script.out!F:F,results.txt!$M843)</f>
        <v>#N/A</v>
      </c>
      <c r="S843" t="e">
        <f>INDEX(script.out!G:G,results.txt!$M843)</f>
        <v>#N/A</v>
      </c>
      <c r="T843" t="e">
        <f>INDEX(script.out!H:H,results.txt!$M843)</f>
        <v>#N/A</v>
      </c>
      <c r="U843" t="e">
        <f>INDEX(script.out!I:I,results.txt!$M843)</f>
        <v>#N/A</v>
      </c>
      <c r="V843" t="e">
        <f>INDEX(script.out!J:J,results.txt!$M843)</f>
        <v>#N/A</v>
      </c>
      <c r="W843" t="e">
        <f>INDEX(script.out!K:K,results.txt!$M843)</f>
        <v>#N/A</v>
      </c>
      <c r="X843" t="e">
        <f>INDEX(script.out!L:L,results.txt!$M843)</f>
        <v>#N/A</v>
      </c>
      <c r="Y843" t="e">
        <f>INDEX(script.out!M:M,results.txt!$M843)</f>
        <v>#N/A</v>
      </c>
      <c r="Z843" t="e">
        <f>INDEX(script.out!N:N,results.txt!$M843)</f>
        <v>#N/A</v>
      </c>
      <c r="AA843" t="e">
        <f>INDEX(script.out!O:O,results.txt!$M843)</f>
        <v>#N/A</v>
      </c>
      <c r="AB843" t="e">
        <f>INDEX(script.out!P:P,results.txt!$M843)</f>
        <v>#N/A</v>
      </c>
      <c r="AC843" t="e">
        <f>INDEX(script.out!Q:Q,results.txt!$M843)</f>
        <v>#N/A</v>
      </c>
      <c r="AD843">
        <f t="shared" si="13"/>
        <v>0</v>
      </c>
    </row>
    <row r="844" spans="13:30" x14ac:dyDescent="0.25">
      <c r="M844" t="e">
        <f>MATCH(C844,script.out!B:B,0)</f>
        <v>#N/A</v>
      </c>
      <c r="N844" t="e">
        <f>INDEX(script.out!B:B,results.txt!$M844)</f>
        <v>#N/A</v>
      </c>
      <c r="O844" t="e">
        <f>INDEX(script.out!C:C,results.txt!$M844)</f>
        <v>#N/A</v>
      </c>
      <c r="P844" t="e">
        <f>INDEX(script.out!D:D,results.txt!$M844)</f>
        <v>#N/A</v>
      </c>
      <c r="Q844" t="e">
        <f>INDEX(script.out!E:E,results.txt!$M844)</f>
        <v>#N/A</v>
      </c>
      <c r="R844" t="e">
        <f>INDEX(script.out!F:F,results.txt!$M844)</f>
        <v>#N/A</v>
      </c>
      <c r="S844" t="e">
        <f>INDEX(script.out!G:G,results.txt!$M844)</f>
        <v>#N/A</v>
      </c>
      <c r="T844" t="e">
        <f>INDEX(script.out!H:H,results.txt!$M844)</f>
        <v>#N/A</v>
      </c>
      <c r="U844" t="e">
        <f>INDEX(script.out!I:I,results.txt!$M844)</f>
        <v>#N/A</v>
      </c>
      <c r="V844" t="e">
        <f>INDEX(script.out!J:J,results.txt!$M844)</f>
        <v>#N/A</v>
      </c>
      <c r="W844" t="e">
        <f>INDEX(script.out!K:K,results.txt!$M844)</f>
        <v>#N/A</v>
      </c>
      <c r="X844" t="e">
        <f>INDEX(script.out!L:L,results.txt!$M844)</f>
        <v>#N/A</v>
      </c>
      <c r="Y844" t="e">
        <f>INDEX(script.out!M:M,results.txt!$M844)</f>
        <v>#N/A</v>
      </c>
      <c r="Z844" t="e">
        <f>INDEX(script.out!N:N,results.txt!$M844)</f>
        <v>#N/A</v>
      </c>
      <c r="AA844" t="e">
        <f>INDEX(script.out!O:O,results.txt!$M844)</f>
        <v>#N/A</v>
      </c>
      <c r="AB844" t="e">
        <f>INDEX(script.out!P:P,results.txt!$M844)</f>
        <v>#N/A</v>
      </c>
      <c r="AC844" t="e">
        <f>INDEX(script.out!Q:Q,results.txt!$M844)</f>
        <v>#N/A</v>
      </c>
      <c r="AD844">
        <f t="shared" si="13"/>
        <v>0</v>
      </c>
    </row>
    <row r="845" spans="13:30" x14ac:dyDescent="0.25">
      <c r="M845" t="e">
        <f>MATCH(C845,script.out!B:B,0)</f>
        <v>#N/A</v>
      </c>
      <c r="N845" t="e">
        <f>INDEX(script.out!B:B,results.txt!$M845)</f>
        <v>#N/A</v>
      </c>
      <c r="O845" t="e">
        <f>INDEX(script.out!C:C,results.txt!$M845)</f>
        <v>#N/A</v>
      </c>
      <c r="P845" t="e">
        <f>INDEX(script.out!D:D,results.txt!$M845)</f>
        <v>#N/A</v>
      </c>
      <c r="Q845" t="e">
        <f>INDEX(script.out!E:E,results.txt!$M845)</f>
        <v>#N/A</v>
      </c>
      <c r="R845" t="e">
        <f>INDEX(script.out!F:F,results.txt!$M845)</f>
        <v>#N/A</v>
      </c>
      <c r="S845" t="e">
        <f>INDEX(script.out!G:G,results.txt!$M845)</f>
        <v>#N/A</v>
      </c>
      <c r="T845" t="e">
        <f>INDEX(script.out!H:H,results.txt!$M845)</f>
        <v>#N/A</v>
      </c>
      <c r="U845" t="e">
        <f>INDEX(script.out!I:I,results.txt!$M845)</f>
        <v>#N/A</v>
      </c>
      <c r="V845" t="e">
        <f>INDEX(script.out!J:J,results.txt!$M845)</f>
        <v>#N/A</v>
      </c>
      <c r="W845" t="e">
        <f>INDEX(script.out!K:K,results.txt!$M845)</f>
        <v>#N/A</v>
      </c>
      <c r="X845" t="e">
        <f>INDEX(script.out!L:L,results.txt!$M845)</f>
        <v>#N/A</v>
      </c>
      <c r="Y845" t="e">
        <f>INDEX(script.out!M:M,results.txt!$M845)</f>
        <v>#N/A</v>
      </c>
      <c r="Z845" t="e">
        <f>INDEX(script.out!N:N,results.txt!$M845)</f>
        <v>#N/A</v>
      </c>
      <c r="AA845" t="e">
        <f>INDEX(script.out!O:O,results.txt!$M845)</f>
        <v>#N/A</v>
      </c>
      <c r="AB845" t="e">
        <f>INDEX(script.out!P:P,results.txt!$M845)</f>
        <v>#N/A</v>
      </c>
      <c r="AC845" t="e">
        <f>INDEX(script.out!Q:Q,results.txt!$M845)</f>
        <v>#N/A</v>
      </c>
      <c r="AD845">
        <f t="shared" si="13"/>
        <v>0</v>
      </c>
    </row>
    <row r="846" spans="13:30" x14ac:dyDescent="0.25">
      <c r="M846" t="e">
        <f>MATCH(C846,script.out!B:B,0)</f>
        <v>#N/A</v>
      </c>
      <c r="N846" t="e">
        <f>INDEX(script.out!B:B,results.txt!$M846)</f>
        <v>#N/A</v>
      </c>
      <c r="O846" t="e">
        <f>INDEX(script.out!C:C,results.txt!$M846)</f>
        <v>#N/A</v>
      </c>
      <c r="P846" t="e">
        <f>INDEX(script.out!D:D,results.txt!$M846)</f>
        <v>#N/A</v>
      </c>
      <c r="Q846" t="e">
        <f>INDEX(script.out!E:E,results.txt!$M846)</f>
        <v>#N/A</v>
      </c>
      <c r="R846" t="e">
        <f>INDEX(script.out!F:F,results.txt!$M846)</f>
        <v>#N/A</v>
      </c>
      <c r="S846" t="e">
        <f>INDEX(script.out!G:G,results.txt!$M846)</f>
        <v>#N/A</v>
      </c>
      <c r="T846" t="e">
        <f>INDEX(script.out!H:H,results.txt!$M846)</f>
        <v>#N/A</v>
      </c>
      <c r="U846" t="e">
        <f>INDEX(script.out!I:I,results.txt!$M846)</f>
        <v>#N/A</v>
      </c>
      <c r="V846" t="e">
        <f>INDEX(script.out!J:J,results.txt!$M846)</f>
        <v>#N/A</v>
      </c>
      <c r="W846" t="e">
        <f>INDEX(script.out!K:K,results.txt!$M846)</f>
        <v>#N/A</v>
      </c>
      <c r="X846" t="e">
        <f>INDEX(script.out!L:L,results.txt!$M846)</f>
        <v>#N/A</v>
      </c>
      <c r="Y846" t="e">
        <f>INDEX(script.out!M:M,results.txt!$M846)</f>
        <v>#N/A</v>
      </c>
      <c r="Z846" t="e">
        <f>INDEX(script.out!N:N,results.txt!$M846)</f>
        <v>#N/A</v>
      </c>
      <c r="AA846" t="e">
        <f>INDEX(script.out!O:O,results.txt!$M846)</f>
        <v>#N/A</v>
      </c>
      <c r="AB846" t="e">
        <f>INDEX(script.out!P:P,results.txt!$M846)</f>
        <v>#N/A</v>
      </c>
      <c r="AC846" t="e">
        <f>INDEX(script.out!Q:Q,results.txt!$M846)</f>
        <v>#N/A</v>
      </c>
      <c r="AD846">
        <f t="shared" si="13"/>
        <v>0</v>
      </c>
    </row>
    <row r="847" spans="13:30" x14ac:dyDescent="0.25">
      <c r="M847" t="e">
        <f>MATCH(C847,script.out!B:B,0)</f>
        <v>#N/A</v>
      </c>
      <c r="N847" t="e">
        <f>INDEX(script.out!B:B,results.txt!$M847)</f>
        <v>#N/A</v>
      </c>
      <c r="O847" t="e">
        <f>INDEX(script.out!C:C,results.txt!$M847)</f>
        <v>#N/A</v>
      </c>
      <c r="P847" t="e">
        <f>INDEX(script.out!D:D,results.txt!$M847)</f>
        <v>#N/A</v>
      </c>
      <c r="Q847" t="e">
        <f>INDEX(script.out!E:E,results.txt!$M847)</f>
        <v>#N/A</v>
      </c>
      <c r="R847" t="e">
        <f>INDEX(script.out!F:F,results.txt!$M847)</f>
        <v>#N/A</v>
      </c>
      <c r="S847" t="e">
        <f>INDEX(script.out!G:G,results.txt!$M847)</f>
        <v>#N/A</v>
      </c>
      <c r="T847" t="e">
        <f>INDEX(script.out!H:H,results.txt!$M847)</f>
        <v>#N/A</v>
      </c>
      <c r="U847" t="e">
        <f>INDEX(script.out!I:I,results.txt!$M847)</f>
        <v>#N/A</v>
      </c>
      <c r="V847" t="e">
        <f>INDEX(script.out!J:J,results.txt!$M847)</f>
        <v>#N/A</v>
      </c>
      <c r="W847" t="e">
        <f>INDEX(script.out!K:K,results.txt!$M847)</f>
        <v>#N/A</v>
      </c>
      <c r="X847" t="e">
        <f>INDEX(script.out!L:L,results.txt!$M847)</f>
        <v>#N/A</v>
      </c>
      <c r="Y847" t="e">
        <f>INDEX(script.out!M:M,results.txt!$M847)</f>
        <v>#N/A</v>
      </c>
      <c r="Z847" t="e">
        <f>INDEX(script.out!N:N,results.txt!$M847)</f>
        <v>#N/A</v>
      </c>
      <c r="AA847" t="e">
        <f>INDEX(script.out!O:O,results.txt!$M847)</f>
        <v>#N/A</v>
      </c>
      <c r="AB847" t="e">
        <f>INDEX(script.out!P:P,results.txt!$M847)</f>
        <v>#N/A</v>
      </c>
      <c r="AC847" t="e">
        <f>INDEX(script.out!Q:Q,results.txt!$M847)</f>
        <v>#N/A</v>
      </c>
      <c r="AD847">
        <f t="shared" si="13"/>
        <v>0</v>
      </c>
    </row>
    <row r="848" spans="13:30" x14ac:dyDescent="0.25">
      <c r="M848" t="e">
        <f>MATCH(C848,script.out!B:B,0)</f>
        <v>#N/A</v>
      </c>
      <c r="N848" t="e">
        <f>INDEX(script.out!B:B,results.txt!$M848)</f>
        <v>#N/A</v>
      </c>
      <c r="O848" t="e">
        <f>INDEX(script.out!C:C,results.txt!$M848)</f>
        <v>#N/A</v>
      </c>
      <c r="P848" t="e">
        <f>INDEX(script.out!D:D,results.txt!$M848)</f>
        <v>#N/A</v>
      </c>
      <c r="Q848" t="e">
        <f>INDEX(script.out!E:E,results.txt!$M848)</f>
        <v>#N/A</v>
      </c>
      <c r="R848" t="e">
        <f>INDEX(script.out!F:F,results.txt!$M848)</f>
        <v>#N/A</v>
      </c>
      <c r="S848" t="e">
        <f>INDEX(script.out!G:G,results.txt!$M848)</f>
        <v>#N/A</v>
      </c>
      <c r="T848" t="e">
        <f>INDEX(script.out!H:H,results.txt!$M848)</f>
        <v>#N/A</v>
      </c>
      <c r="U848" t="e">
        <f>INDEX(script.out!I:I,results.txt!$M848)</f>
        <v>#N/A</v>
      </c>
      <c r="V848" t="e">
        <f>INDEX(script.out!J:J,results.txt!$M848)</f>
        <v>#N/A</v>
      </c>
      <c r="W848" t="e">
        <f>INDEX(script.out!K:K,results.txt!$M848)</f>
        <v>#N/A</v>
      </c>
      <c r="X848" t="e">
        <f>INDEX(script.out!L:L,results.txt!$M848)</f>
        <v>#N/A</v>
      </c>
      <c r="Y848" t="e">
        <f>INDEX(script.out!M:M,results.txt!$M848)</f>
        <v>#N/A</v>
      </c>
      <c r="Z848" t="e">
        <f>INDEX(script.out!N:N,results.txt!$M848)</f>
        <v>#N/A</v>
      </c>
      <c r="AA848" t="e">
        <f>INDEX(script.out!O:O,results.txt!$M848)</f>
        <v>#N/A</v>
      </c>
      <c r="AB848" t="e">
        <f>INDEX(script.out!P:P,results.txt!$M848)</f>
        <v>#N/A</v>
      </c>
      <c r="AC848" t="e">
        <f>INDEX(script.out!Q:Q,results.txt!$M848)</f>
        <v>#N/A</v>
      </c>
      <c r="AD848">
        <f t="shared" si="13"/>
        <v>0</v>
      </c>
    </row>
    <row r="849" spans="13:30" x14ac:dyDescent="0.25">
      <c r="M849" t="e">
        <f>MATCH(C849,script.out!B:B,0)</f>
        <v>#N/A</v>
      </c>
      <c r="N849" t="e">
        <f>INDEX(script.out!B:B,results.txt!$M849)</f>
        <v>#N/A</v>
      </c>
      <c r="O849" t="e">
        <f>INDEX(script.out!C:C,results.txt!$M849)</f>
        <v>#N/A</v>
      </c>
      <c r="P849" t="e">
        <f>INDEX(script.out!D:D,results.txt!$M849)</f>
        <v>#N/A</v>
      </c>
      <c r="Q849" t="e">
        <f>INDEX(script.out!E:E,results.txt!$M849)</f>
        <v>#N/A</v>
      </c>
      <c r="R849" t="e">
        <f>INDEX(script.out!F:F,results.txt!$M849)</f>
        <v>#N/A</v>
      </c>
      <c r="S849" t="e">
        <f>INDEX(script.out!G:G,results.txt!$M849)</f>
        <v>#N/A</v>
      </c>
      <c r="T849" t="e">
        <f>INDEX(script.out!H:H,results.txt!$M849)</f>
        <v>#N/A</v>
      </c>
      <c r="U849" t="e">
        <f>INDEX(script.out!I:I,results.txt!$M849)</f>
        <v>#N/A</v>
      </c>
      <c r="V849" t="e">
        <f>INDEX(script.out!J:J,results.txt!$M849)</f>
        <v>#N/A</v>
      </c>
      <c r="W849" t="e">
        <f>INDEX(script.out!K:K,results.txt!$M849)</f>
        <v>#N/A</v>
      </c>
      <c r="X849" t="e">
        <f>INDEX(script.out!L:L,results.txt!$M849)</f>
        <v>#N/A</v>
      </c>
      <c r="Y849" t="e">
        <f>INDEX(script.out!M:M,results.txt!$M849)</f>
        <v>#N/A</v>
      </c>
      <c r="Z849" t="e">
        <f>INDEX(script.out!N:N,results.txt!$M849)</f>
        <v>#N/A</v>
      </c>
      <c r="AA849" t="e">
        <f>INDEX(script.out!O:O,results.txt!$M849)</f>
        <v>#N/A</v>
      </c>
      <c r="AB849" t="e">
        <f>INDEX(script.out!P:P,results.txt!$M849)</f>
        <v>#N/A</v>
      </c>
      <c r="AC849" t="e">
        <f>INDEX(script.out!Q:Q,results.txt!$M849)</f>
        <v>#N/A</v>
      </c>
      <c r="AD849">
        <f t="shared" si="13"/>
        <v>0</v>
      </c>
    </row>
    <row r="850" spans="13:30" x14ac:dyDescent="0.25">
      <c r="M850" t="e">
        <f>MATCH(C850,script.out!B:B,0)</f>
        <v>#N/A</v>
      </c>
      <c r="N850" t="e">
        <f>INDEX(script.out!B:B,results.txt!$M850)</f>
        <v>#N/A</v>
      </c>
      <c r="O850" t="e">
        <f>INDEX(script.out!C:C,results.txt!$M850)</f>
        <v>#N/A</v>
      </c>
      <c r="P850" t="e">
        <f>INDEX(script.out!D:D,results.txt!$M850)</f>
        <v>#N/A</v>
      </c>
      <c r="Q850" t="e">
        <f>INDEX(script.out!E:E,results.txt!$M850)</f>
        <v>#N/A</v>
      </c>
      <c r="R850" t="e">
        <f>INDEX(script.out!F:F,results.txt!$M850)</f>
        <v>#N/A</v>
      </c>
      <c r="S850" t="e">
        <f>INDEX(script.out!G:G,results.txt!$M850)</f>
        <v>#N/A</v>
      </c>
      <c r="T850" t="e">
        <f>INDEX(script.out!H:H,results.txt!$M850)</f>
        <v>#N/A</v>
      </c>
      <c r="U850" t="e">
        <f>INDEX(script.out!I:I,results.txt!$M850)</f>
        <v>#N/A</v>
      </c>
      <c r="V850" t="e">
        <f>INDEX(script.out!J:J,results.txt!$M850)</f>
        <v>#N/A</v>
      </c>
      <c r="W850" t="e">
        <f>INDEX(script.out!K:K,results.txt!$M850)</f>
        <v>#N/A</v>
      </c>
      <c r="X850" t="e">
        <f>INDEX(script.out!L:L,results.txt!$M850)</f>
        <v>#N/A</v>
      </c>
      <c r="Y850" t="e">
        <f>INDEX(script.out!M:M,results.txt!$M850)</f>
        <v>#N/A</v>
      </c>
      <c r="Z850" t="e">
        <f>INDEX(script.out!N:N,results.txt!$M850)</f>
        <v>#N/A</v>
      </c>
      <c r="AA850" t="e">
        <f>INDEX(script.out!O:O,results.txt!$M850)</f>
        <v>#N/A</v>
      </c>
      <c r="AB850" t="e">
        <f>INDEX(script.out!P:P,results.txt!$M850)</f>
        <v>#N/A</v>
      </c>
      <c r="AC850" t="e">
        <f>INDEX(script.out!Q:Q,results.txt!$M850)</f>
        <v>#N/A</v>
      </c>
      <c r="AD850">
        <f t="shared" si="13"/>
        <v>0</v>
      </c>
    </row>
    <row r="851" spans="13:30" x14ac:dyDescent="0.25">
      <c r="M851" t="e">
        <f>MATCH(C851,script.out!B:B,0)</f>
        <v>#N/A</v>
      </c>
      <c r="N851" t="e">
        <f>INDEX(script.out!B:B,results.txt!$M851)</f>
        <v>#N/A</v>
      </c>
      <c r="O851" t="e">
        <f>INDEX(script.out!C:C,results.txt!$M851)</f>
        <v>#N/A</v>
      </c>
      <c r="P851" t="e">
        <f>INDEX(script.out!D:D,results.txt!$M851)</f>
        <v>#N/A</v>
      </c>
      <c r="Q851" t="e">
        <f>INDEX(script.out!E:E,results.txt!$M851)</f>
        <v>#N/A</v>
      </c>
      <c r="R851" t="e">
        <f>INDEX(script.out!F:F,results.txt!$M851)</f>
        <v>#N/A</v>
      </c>
      <c r="S851" t="e">
        <f>INDEX(script.out!G:G,results.txt!$M851)</f>
        <v>#N/A</v>
      </c>
      <c r="T851" t="e">
        <f>INDEX(script.out!H:H,results.txt!$M851)</f>
        <v>#N/A</v>
      </c>
      <c r="U851" t="e">
        <f>INDEX(script.out!I:I,results.txt!$M851)</f>
        <v>#N/A</v>
      </c>
      <c r="V851" t="e">
        <f>INDEX(script.out!J:J,results.txt!$M851)</f>
        <v>#N/A</v>
      </c>
      <c r="W851" t="e">
        <f>INDEX(script.out!K:K,results.txt!$M851)</f>
        <v>#N/A</v>
      </c>
      <c r="X851" t="e">
        <f>INDEX(script.out!L:L,results.txt!$M851)</f>
        <v>#N/A</v>
      </c>
      <c r="Y851" t="e">
        <f>INDEX(script.out!M:M,results.txt!$M851)</f>
        <v>#N/A</v>
      </c>
      <c r="Z851" t="e">
        <f>INDEX(script.out!N:N,results.txt!$M851)</f>
        <v>#N/A</v>
      </c>
      <c r="AA851" t="e">
        <f>INDEX(script.out!O:O,results.txt!$M851)</f>
        <v>#N/A</v>
      </c>
      <c r="AB851" t="e">
        <f>INDEX(script.out!P:P,results.txt!$M851)</f>
        <v>#N/A</v>
      </c>
      <c r="AC851" t="e">
        <f>INDEX(script.out!Q:Q,results.txt!$M851)</f>
        <v>#N/A</v>
      </c>
      <c r="AD851">
        <f t="shared" si="13"/>
        <v>0</v>
      </c>
    </row>
    <row r="852" spans="13:30" x14ac:dyDescent="0.25">
      <c r="M852" t="e">
        <f>MATCH(C852,script.out!B:B,0)</f>
        <v>#N/A</v>
      </c>
      <c r="N852" t="e">
        <f>INDEX(script.out!B:B,results.txt!$M852)</f>
        <v>#N/A</v>
      </c>
      <c r="O852" t="e">
        <f>INDEX(script.out!C:C,results.txt!$M852)</f>
        <v>#N/A</v>
      </c>
      <c r="P852" t="e">
        <f>INDEX(script.out!D:D,results.txt!$M852)</f>
        <v>#N/A</v>
      </c>
      <c r="Q852" t="e">
        <f>INDEX(script.out!E:E,results.txt!$M852)</f>
        <v>#N/A</v>
      </c>
      <c r="R852" t="e">
        <f>INDEX(script.out!F:F,results.txt!$M852)</f>
        <v>#N/A</v>
      </c>
      <c r="S852" t="e">
        <f>INDEX(script.out!G:G,results.txt!$M852)</f>
        <v>#N/A</v>
      </c>
      <c r="T852" t="e">
        <f>INDEX(script.out!H:H,results.txt!$M852)</f>
        <v>#N/A</v>
      </c>
      <c r="U852" t="e">
        <f>INDEX(script.out!I:I,results.txt!$M852)</f>
        <v>#N/A</v>
      </c>
      <c r="V852" t="e">
        <f>INDEX(script.out!J:J,results.txt!$M852)</f>
        <v>#N/A</v>
      </c>
      <c r="W852" t="e">
        <f>INDEX(script.out!K:K,results.txt!$M852)</f>
        <v>#N/A</v>
      </c>
      <c r="X852" t="e">
        <f>INDEX(script.out!L:L,results.txt!$M852)</f>
        <v>#N/A</v>
      </c>
      <c r="Y852" t="e">
        <f>INDEX(script.out!M:M,results.txt!$M852)</f>
        <v>#N/A</v>
      </c>
      <c r="Z852" t="e">
        <f>INDEX(script.out!N:N,results.txt!$M852)</f>
        <v>#N/A</v>
      </c>
      <c r="AA852" t="e">
        <f>INDEX(script.out!O:O,results.txt!$M852)</f>
        <v>#N/A</v>
      </c>
      <c r="AB852" t="e">
        <f>INDEX(script.out!P:P,results.txt!$M852)</f>
        <v>#N/A</v>
      </c>
      <c r="AC852" t="e">
        <f>INDEX(script.out!Q:Q,results.txt!$M852)</f>
        <v>#N/A</v>
      </c>
      <c r="AD852">
        <f t="shared" si="13"/>
        <v>0</v>
      </c>
    </row>
    <row r="853" spans="13:30" x14ac:dyDescent="0.25">
      <c r="M853" t="e">
        <f>MATCH(C853,script.out!B:B,0)</f>
        <v>#N/A</v>
      </c>
      <c r="N853" t="e">
        <f>INDEX(script.out!B:B,results.txt!$M853)</f>
        <v>#N/A</v>
      </c>
      <c r="O853" t="e">
        <f>INDEX(script.out!C:C,results.txt!$M853)</f>
        <v>#N/A</v>
      </c>
      <c r="P853" t="e">
        <f>INDEX(script.out!D:D,results.txt!$M853)</f>
        <v>#N/A</v>
      </c>
      <c r="Q853" t="e">
        <f>INDEX(script.out!E:E,results.txt!$M853)</f>
        <v>#N/A</v>
      </c>
      <c r="R853" t="e">
        <f>INDEX(script.out!F:F,results.txt!$M853)</f>
        <v>#N/A</v>
      </c>
      <c r="S853" t="e">
        <f>INDEX(script.out!G:G,results.txt!$M853)</f>
        <v>#N/A</v>
      </c>
      <c r="T853" t="e">
        <f>INDEX(script.out!H:H,results.txt!$M853)</f>
        <v>#N/A</v>
      </c>
      <c r="U853" t="e">
        <f>INDEX(script.out!I:I,results.txt!$M853)</f>
        <v>#N/A</v>
      </c>
      <c r="V853" t="e">
        <f>INDEX(script.out!J:J,results.txt!$M853)</f>
        <v>#N/A</v>
      </c>
      <c r="W853" t="e">
        <f>INDEX(script.out!K:K,results.txt!$M853)</f>
        <v>#N/A</v>
      </c>
      <c r="X853" t="e">
        <f>INDEX(script.out!L:L,results.txt!$M853)</f>
        <v>#N/A</v>
      </c>
      <c r="Y853" t="e">
        <f>INDEX(script.out!M:M,results.txt!$M853)</f>
        <v>#N/A</v>
      </c>
      <c r="Z853" t="e">
        <f>INDEX(script.out!N:N,results.txt!$M853)</f>
        <v>#N/A</v>
      </c>
      <c r="AA853" t="e">
        <f>INDEX(script.out!O:O,results.txt!$M853)</f>
        <v>#N/A</v>
      </c>
      <c r="AB853" t="e">
        <f>INDEX(script.out!P:P,results.txt!$M853)</f>
        <v>#N/A</v>
      </c>
      <c r="AC853" t="e">
        <f>INDEX(script.out!Q:Q,results.txt!$M853)</f>
        <v>#N/A</v>
      </c>
      <c r="AD853">
        <f t="shared" si="13"/>
        <v>0</v>
      </c>
    </row>
    <row r="854" spans="13:30" x14ac:dyDescent="0.25">
      <c r="M854" t="e">
        <f>MATCH(C854,script.out!B:B,0)</f>
        <v>#N/A</v>
      </c>
      <c r="N854" t="e">
        <f>INDEX(script.out!B:B,results.txt!$M854)</f>
        <v>#N/A</v>
      </c>
      <c r="O854" t="e">
        <f>INDEX(script.out!C:C,results.txt!$M854)</f>
        <v>#N/A</v>
      </c>
      <c r="P854" t="e">
        <f>INDEX(script.out!D:D,results.txt!$M854)</f>
        <v>#N/A</v>
      </c>
      <c r="Q854" t="e">
        <f>INDEX(script.out!E:E,results.txt!$M854)</f>
        <v>#N/A</v>
      </c>
      <c r="R854" t="e">
        <f>INDEX(script.out!F:F,results.txt!$M854)</f>
        <v>#N/A</v>
      </c>
      <c r="S854" t="e">
        <f>INDEX(script.out!G:G,results.txt!$M854)</f>
        <v>#N/A</v>
      </c>
      <c r="T854" t="e">
        <f>INDEX(script.out!H:H,results.txt!$M854)</f>
        <v>#N/A</v>
      </c>
      <c r="U854" t="e">
        <f>INDEX(script.out!I:I,results.txt!$M854)</f>
        <v>#N/A</v>
      </c>
      <c r="V854" t="e">
        <f>INDEX(script.out!J:J,results.txt!$M854)</f>
        <v>#N/A</v>
      </c>
      <c r="W854" t="e">
        <f>INDEX(script.out!K:K,results.txt!$M854)</f>
        <v>#N/A</v>
      </c>
      <c r="X854" t="e">
        <f>INDEX(script.out!L:L,results.txt!$M854)</f>
        <v>#N/A</v>
      </c>
      <c r="Y854" t="e">
        <f>INDEX(script.out!M:M,results.txt!$M854)</f>
        <v>#N/A</v>
      </c>
      <c r="Z854" t="e">
        <f>INDEX(script.out!N:N,results.txt!$M854)</f>
        <v>#N/A</v>
      </c>
      <c r="AA854" t="e">
        <f>INDEX(script.out!O:O,results.txt!$M854)</f>
        <v>#N/A</v>
      </c>
      <c r="AB854" t="e">
        <f>INDEX(script.out!P:P,results.txt!$M854)</f>
        <v>#N/A</v>
      </c>
      <c r="AC854" t="e">
        <f>INDEX(script.out!Q:Q,results.txt!$M854)</f>
        <v>#N/A</v>
      </c>
      <c r="AD854">
        <f t="shared" si="13"/>
        <v>0</v>
      </c>
    </row>
    <row r="855" spans="13:30" x14ac:dyDescent="0.25">
      <c r="M855" t="e">
        <f>MATCH(C855,script.out!B:B,0)</f>
        <v>#N/A</v>
      </c>
      <c r="N855" t="e">
        <f>INDEX(script.out!B:B,results.txt!$M855)</f>
        <v>#N/A</v>
      </c>
      <c r="O855" t="e">
        <f>INDEX(script.out!C:C,results.txt!$M855)</f>
        <v>#N/A</v>
      </c>
      <c r="P855" t="e">
        <f>INDEX(script.out!D:D,results.txt!$M855)</f>
        <v>#N/A</v>
      </c>
      <c r="Q855" t="e">
        <f>INDEX(script.out!E:E,results.txt!$M855)</f>
        <v>#N/A</v>
      </c>
      <c r="R855" t="e">
        <f>INDEX(script.out!F:F,results.txt!$M855)</f>
        <v>#N/A</v>
      </c>
      <c r="S855" t="e">
        <f>INDEX(script.out!G:G,results.txt!$M855)</f>
        <v>#N/A</v>
      </c>
      <c r="T855" t="e">
        <f>INDEX(script.out!H:H,results.txt!$M855)</f>
        <v>#N/A</v>
      </c>
      <c r="U855" t="e">
        <f>INDEX(script.out!I:I,results.txt!$M855)</f>
        <v>#N/A</v>
      </c>
      <c r="V855" t="e">
        <f>INDEX(script.out!J:J,results.txt!$M855)</f>
        <v>#N/A</v>
      </c>
      <c r="W855" t="e">
        <f>INDEX(script.out!K:K,results.txt!$M855)</f>
        <v>#N/A</v>
      </c>
      <c r="X855" t="e">
        <f>INDEX(script.out!L:L,results.txt!$M855)</f>
        <v>#N/A</v>
      </c>
      <c r="Y855" t="e">
        <f>INDEX(script.out!M:M,results.txt!$M855)</f>
        <v>#N/A</v>
      </c>
      <c r="Z855" t="e">
        <f>INDEX(script.out!N:N,results.txt!$M855)</f>
        <v>#N/A</v>
      </c>
      <c r="AA855" t="e">
        <f>INDEX(script.out!O:O,results.txt!$M855)</f>
        <v>#N/A</v>
      </c>
      <c r="AB855" t="e">
        <f>INDEX(script.out!P:P,results.txt!$M855)</f>
        <v>#N/A</v>
      </c>
      <c r="AC855" t="e">
        <f>INDEX(script.out!Q:Q,results.txt!$M855)</f>
        <v>#N/A</v>
      </c>
      <c r="AD855">
        <f t="shared" si="13"/>
        <v>0</v>
      </c>
    </row>
    <row r="856" spans="13:30" x14ac:dyDescent="0.25">
      <c r="M856" t="e">
        <f>MATCH(C856,script.out!B:B,0)</f>
        <v>#N/A</v>
      </c>
      <c r="N856" t="e">
        <f>INDEX(script.out!B:B,results.txt!$M856)</f>
        <v>#N/A</v>
      </c>
      <c r="O856" t="e">
        <f>INDEX(script.out!C:C,results.txt!$M856)</f>
        <v>#N/A</v>
      </c>
      <c r="P856" t="e">
        <f>INDEX(script.out!D:D,results.txt!$M856)</f>
        <v>#N/A</v>
      </c>
      <c r="Q856" t="e">
        <f>INDEX(script.out!E:E,results.txt!$M856)</f>
        <v>#N/A</v>
      </c>
      <c r="R856" t="e">
        <f>INDEX(script.out!F:F,results.txt!$M856)</f>
        <v>#N/A</v>
      </c>
      <c r="S856" t="e">
        <f>INDEX(script.out!G:G,results.txt!$M856)</f>
        <v>#N/A</v>
      </c>
      <c r="T856" t="e">
        <f>INDEX(script.out!H:H,results.txt!$M856)</f>
        <v>#N/A</v>
      </c>
      <c r="U856" t="e">
        <f>INDEX(script.out!I:I,results.txt!$M856)</f>
        <v>#N/A</v>
      </c>
      <c r="V856" t="e">
        <f>INDEX(script.out!J:J,results.txt!$M856)</f>
        <v>#N/A</v>
      </c>
      <c r="W856" t="e">
        <f>INDEX(script.out!K:K,results.txt!$M856)</f>
        <v>#N/A</v>
      </c>
      <c r="X856" t="e">
        <f>INDEX(script.out!L:L,results.txt!$M856)</f>
        <v>#N/A</v>
      </c>
      <c r="Y856" t="e">
        <f>INDEX(script.out!M:M,results.txt!$M856)</f>
        <v>#N/A</v>
      </c>
      <c r="Z856" t="e">
        <f>INDEX(script.out!N:N,results.txt!$M856)</f>
        <v>#N/A</v>
      </c>
      <c r="AA856" t="e">
        <f>INDEX(script.out!O:O,results.txt!$M856)</f>
        <v>#N/A</v>
      </c>
      <c r="AB856" t="e">
        <f>INDEX(script.out!P:P,results.txt!$M856)</f>
        <v>#N/A</v>
      </c>
      <c r="AC856" t="e">
        <f>INDEX(script.out!Q:Q,results.txt!$M856)</f>
        <v>#N/A</v>
      </c>
      <c r="AD856">
        <f t="shared" si="13"/>
        <v>0</v>
      </c>
    </row>
    <row r="857" spans="13:30" x14ac:dyDescent="0.25">
      <c r="M857" t="e">
        <f>MATCH(C857,script.out!B:B,0)</f>
        <v>#N/A</v>
      </c>
      <c r="N857" t="e">
        <f>INDEX(script.out!B:B,results.txt!$M857)</f>
        <v>#N/A</v>
      </c>
      <c r="O857" t="e">
        <f>INDEX(script.out!C:C,results.txt!$M857)</f>
        <v>#N/A</v>
      </c>
      <c r="P857" t="e">
        <f>INDEX(script.out!D:D,results.txt!$M857)</f>
        <v>#N/A</v>
      </c>
      <c r="Q857" t="e">
        <f>INDEX(script.out!E:E,results.txt!$M857)</f>
        <v>#N/A</v>
      </c>
      <c r="R857" t="e">
        <f>INDEX(script.out!F:F,results.txt!$M857)</f>
        <v>#N/A</v>
      </c>
      <c r="S857" t="e">
        <f>INDEX(script.out!G:G,results.txt!$M857)</f>
        <v>#N/A</v>
      </c>
      <c r="T857" t="e">
        <f>INDEX(script.out!H:H,results.txt!$M857)</f>
        <v>#N/A</v>
      </c>
      <c r="U857" t="e">
        <f>INDEX(script.out!I:I,results.txt!$M857)</f>
        <v>#N/A</v>
      </c>
      <c r="V857" t="e">
        <f>INDEX(script.out!J:J,results.txt!$M857)</f>
        <v>#N/A</v>
      </c>
      <c r="W857" t="e">
        <f>INDEX(script.out!K:K,results.txt!$M857)</f>
        <v>#N/A</v>
      </c>
      <c r="X857" t="e">
        <f>INDEX(script.out!L:L,results.txt!$M857)</f>
        <v>#N/A</v>
      </c>
      <c r="Y857" t="e">
        <f>INDEX(script.out!M:M,results.txt!$M857)</f>
        <v>#N/A</v>
      </c>
      <c r="Z857" t="e">
        <f>INDEX(script.out!N:N,results.txt!$M857)</f>
        <v>#N/A</v>
      </c>
      <c r="AA857" t="e">
        <f>INDEX(script.out!O:O,results.txt!$M857)</f>
        <v>#N/A</v>
      </c>
      <c r="AB857" t="e">
        <f>INDEX(script.out!P:P,results.txt!$M857)</f>
        <v>#N/A</v>
      </c>
      <c r="AC857" t="e">
        <f>INDEX(script.out!Q:Q,results.txt!$M857)</f>
        <v>#N/A</v>
      </c>
      <c r="AD857">
        <f t="shared" si="13"/>
        <v>0</v>
      </c>
    </row>
    <row r="858" spans="13:30" x14ac:dyDescent="0.25">
      <c r="M858" t="e">
        <f>MATCH(C858,script.out!B:B,0)</f>
        <v>#N/A</v>
      </c>
      <c r="N858" t="e">
        <f>INDEX(script.out!B:B,results.txt!$M858)</f>
        <v>#N/A</v>
      </c>
      <c r="O858" t="e">
        <f>INDEX(script.out!C:C,results.txt!$M858)</f>
        <v>#N/A</v>
      </c>
      <c r="P858" t="e">
        <f>INDEX(script.out!D:D,results.txt!$M858)</f>
        <v>#N/A</v>
      </c>
      <c r="Q858" t="e">
        <f>INDEX(script.out!E:E,results.txt!$M858)</f>
        <v>#N/A</v>
      </c>
      <c r="R858" t="e">
        <f>INDEX(script.out!F:F,results.txt!$M858)</f>
        <v>#N/A</v>
      </c>
      <c r="S858" t="e">
        <f>INDEX(script.out!G:G,results.txt!$M858)</f>
        <v>#N/A</v>
      </c>
      <c r="T858" t="e">
        <f>INDEX(script.out!H:H,results.txt!$M858)</f>
        <v>#N/A</v>
      </c>
      <c r="U858" t="e">
        <f>INDEX(script.out!I:I,results.txt!$M858)</f>
        <v>#N/A</v>
      </c>
      <c r="V858" t="e">
        <f>INDEX(script.out!J:J,results.txt!$M858)</f>
        <v>#N/A</v>
      </c>
      <c r="W858" t="e">
        <f>INDEX(script.out!K:K,results.txt!$M858)</f>
        <v>#N/A</v>
      </c>
      <c r="X858" t="e">
        <f>INDEX(script.out!L:L,results.txt!$M858)</f>
        <v>#N/A</v>
      </c>
      <c r="Y858" t="e">
        <f>INDEX(script.out!M:M,results.txt!$M858)</f>
        <v>#N/A</v>
      </c>
      <c r="Z858" t="e">
        <f>INDEX(script.out!N:N,results.txt!$M858)</f>
        <v>#N/A</v>
      </c>
      <c r="AA858" t="e">
        <f>INDEX(script.out!O:O,results.txt!$M858)</f>
        <v>#N/A</v>
      </c>
      <c r="AB858" t="e">
        <f>INDEX(script.out!P:P,results.txt!$M858)</f>
        <v>#N/A</v>
      </c>
      <c r="AC858" t="e">
        <f>INDEX(script.out!Q:Q,results.txt!$M858)</f>
        <v>#N/A</v>
      </c>
      <c r="AD858">
        <f t="shared" si="13"/>
        <v>0</v>
      </c>
    </row>
    <row r="859" spans="13:30" x14ac:dyDescent="0.25">
      <c r="M859" t="e">
        <f>MATCH(C859,script.out!B:B,0)</f>
        <v>#N/A</v>
      </c>
      <c r="N859" t="e">
        <f>INDEX(script.out!B:B,results.txt!$M859)</f>
        <v>#N/A</v>
      </c>
      <c r="O859" t="e">
        <f>INDEX(script.out!C:C,results.txt!$M859)</f>
        <v>#N/A</v>
      </c>
      <c r="P859" t="e">
        <f>INDEX(script.out!D:D,results.txt!$M859)</f>
        <v>#N/A</v>
      </c>
      <c r="Q859" t="e">
        <f>INDEX(script.out!E:E,results.txt!$M859)</f>
        <v>#N/A</v>
      </c>
      <c r="R859" t="e">
        <f>INDEX(script.out!F:F,results.txt!$M859)</f>
        <v>#N/A</v>
      </c>
      <c r="S859" t="e">
        <f>INDEX(script.out!G:G,results.txt!$M859)</f>
        <v>#N/A</v>
      </c>
      <c r="T859" t="e">
        <f>INDEX(script.out!H:H,results.txt!$M859)</f>
        <v>#N/A</v>
      </c>
      <c r="U859" t="e">
        <f>INDEX(script.out!I:I,results.txt!$M859)</f>
        <v>#N/A</v>
      </c>
      <c r="V859" t="e">
        <f>INDEX(script.out!J:J,results.txt!$M859)</f>
        <v>#N/A</v>
      </c>
      <c r="W859" t="e">
        <f>INDEX(script.out!K:K,results.txt!$M859)</f>
        <v>#N/A</v>
      </c>
      <c r="X859" t="e">
        <f>INDEX(script.out!L:L,results.txt!$M859)</f>
        <v>#N/A</v>
      </c>
      <c r="Y859" t="e">
        <f>INDEX(script.out!M:M,results.txt!$M859)</f>
        <v>#N/A</v>
      </c>
      <c r="Z859" t="e">
        <f>INDEX(script.out!N:N,results.txt!$M859)</f>
        <v>#N/A</v>
      </c>
      <c r="AA859" t="e">
        <f>INDEX(script.out!O:O,results.txt!$M859)</f>
        <v>#N/A</v>
      </c>
      <c r="AB859" t="e">
        <f>INDEX(script.out!P:P,results.txt!$M859)</f>
        <v>#N/A</v>
      </c>
      <c r="AC859" t="e">
        <f>INDEX(script.out!Q:Q,results.txt!$M859)</f>
        <v>#N/A</v>
      </c>
      <c r="AD859">
        <f t="shared" si="13"/>
        <v>0</v>
      </c>
    </row>
    <row r="860" spans="13:30" x14ac:dyDescent="0.25">
      <c r="M860" t="e">
        <f>MATCH(C860,script.out!B:B,0)</f>
        <v>#N/A</v>
      </c>
      <c r="N860" t="e">
        <f>INDEX(script.out!B:B,results.txt!$M860)</f>
        <v>#N/A</v>
      </c>
      <c r="O860" t="e">
        <f>INDEX(script.out!C:C,results.txt!$M860)</f>
        <v>#N/A</v>
      </c>
      <c r="P860" t="e">
        <f>INDEX(script.out!D:D,results.txt!$M860)</f>
        <v>#N/A</v>
      </c>
      <c r="Q860" t="e">
        <f>INDEX(script.out!E:E,results.txt!$M860)</f>
        <v>#N/A</v>
      </c>
      <c r="R860" t="e">
        <f>INDEX(script.out!F:F,results.txt!$M860)</f>
        <v>#N/A</v>
      </c>
      <c r="S860" t="e">
        <f>INDEX(script.out!G:G,results.txt!$M860)</f>
        <v>#N/A</v>
      </c>
      <c r="T860" t="e">
        <f>INDEX(script.out!H:H,results.txt!$M860)</f>
        <v>#N/A</v>
      </c>
      <c r="U860" t="e">
        <f>INDEX(script.out!I:I,results.txt!$M860)</f>
        <v>#N/A</v>
      </c>
      <c r="V860" t="e">
        <f>INDEX(script.out!J:J,results.txt!$M860)</f>
        <v>#N/A</v>
      </c>
      <c r="W860" t="e">
        <f>INDEX(script.out!K:K,results.txt!$M860)</f>
        <v>#N/A</v>
      </c>
      <c r="X860" t="e">
        <f>INDEX(script.out!L:L,results.txt!$M860)</f>
        <v>#N/A</v>
      </c>
      <c r="Y860" t="e">
        <f>INDEX(script.out!M:M,results.txt!$M860)</f>
        <v>#N/A</v>
      </c>
      <c r="Z860" t="e">
        <f>INDEX(script.out!N:N,results.txt!$M860)</f>
        <v>#N/A</v>
      </c>
      <c r="AA860" t="e">
        <f>INDEX(script.out!O:O,results.txt!$M860)</f>
        <v>#N/A</v>
      </c>
      <c r="AB860" t="e">
        <f>INDEX(script.out!P:P,results.txt!$M860)</f>
        <v>#N/A</v>
      </c>
      <c r="AC860" t="e">
        <f>INDEX(script.out!Q:Q,results.txt!$M860)</f>
        <v>#N/A</v>
      </c>
      <c r="AD860">
        <f t="shared" si="13"/>
        <v>0</v>
      </c>
    </row>
    <row r="861" spans="13:30" x14ac:dyDescent="0.25">
      <c r="M861" t="e">
        <f>MATCH(C861,script.out!B:B,0)</f>
        <v>#N/A</v>
      </c>
      <c r="N861" t="e">
        <f>INDEX(script.out!B:B,results.txt!$M861)</f>
        <v>#N/A</v>
      </c>
      <c r="O861" t="e">
        <f>INDEX(script.out!C:C,results.txt!$M861)</f>
        <v>#N/A</v>
      </c>
      <c r="P861" t="e">
        <f>INDEX(script.out!D:D,results.txt!$M861)</f>
        <v>#N/A</v>
      </c>
      <c r="Q861" t="e">
        <f>INDEX(script.out!E:E,results.txt!$M861)</f>
        <v>#N/A</v>
      </c>
      <c r="R861" t="e">
        <f>INDEX(script.out!F:F,results.txt!$M861)</f>
        <v>#N/A</v>
      </c>
      <c r="S861" t="e">
        <f>INDEX(script.out!G:G,results.txt!$M861)</f>
        <v>#N/A</v>
      </c>
      <c r="T861" t="e">
        <f>INDEX(script.out!H:H,results.txt!$M861)</f>
        <v>#N/A</v>
      </c>
      <c r="U861" t="e">
        <f>INDEX(script.out!I:I,results.txt!$M861)</f>
        <v>#N/A</v>
      </c>
      <c r="V861" t="e">
        <f>INDEX(script.out!J:J,results.txt!$M861)</f>
        <v>#N/A</v>
      </c>
      <c r="W861" t="e">
        <f>INDEX(script.out!K:K,results.txt!$M861)</f>
        <v>#N/A</v>
      </c>
      <c r="X861" t="e">
        <f>INDEX(script.out!L:L,results.txt!$M861)</f>
        <v>#N/A</v>
      </c>
      <c r="Y861" t="e">
        <f>INDEX(script.out!M:M,results.txt!$M861)</f>
        <v>#N/A</v>
      </c>
      <c r="Z861" t="e">
        <f>INDEX(script.out!N:N,results.txt!$M861)</f>
        <v>#N/A</v>
      </c>
      <c r="AA861" t="e">
        <f>INDEX(script.out!O:O,results.txt!$M861)</f>
        <v>#N/A</v>
      </c>
      <c r="AB861" t="e">
        <f>INDEX(script.out!P:P,results.txt!$M861)</f>
        <v>#N/A</v>
      </c>
      <c r="AC861" t="e">
        <f>INDEX(script.out!Q:Q,results.txt!$M861)</f>
        <v>#N/A</v>
      </c>
      <c r="AD861">
        <f t="shared" si="13"/>
        <v>0</v>
      </c>
    </row>
    <row r="862" spans="13:30" x14ac:dyDescent="0.25">
      <c r="M862" t="e">
        <f>MATCH(C862,script.out!B:B,0)</f>
        <v>#N/A</v>
      </c>
      <c r="N862" t="e">
        <f>INDEX(script.out!B:B,results.txt!$M862)</f>
        <v>#N/A</v>
      </c>
      <c r="O862" t="e">
        <f>INDEX(script.out!C:C,results.txt!$M862)</f>
        <v>#N/A</v>
      </c>
      <c r="P862" t="e">
        <f>INDEX(script.out!D:D,results.txt!$M862)</f>
        <v>#N/A</v>
      </c>
      <c r="Q862" t="e">
        <f>INDEX(script.out!E:E,results.txt!$M862)</f>
        <v>#N/A</v>
      </c>
      <c r="R862" t="e">
        <f>INDEX(script.out!F:F,results.txt!$M862)</f>
        <v>#N/A</v>
      </c>
      <c r="S862" t="e">
        <f>INDEX(script.out!G:G,results.txt!$M862)</f>
        <v>#N/A</v>
      </c>
      <c r="T862" t="e">
        <f>INDEX(script.out!H:H,results.txt!$M862)</f>
        <v>#N/A</v>
      </c>
      <c r="U862" t="e">
        <f>INDEX(script.out!I:I,results.txt!$M862)</f>
        <v>#N/A</v>
      </c>
      <c r="V862" t="e">
        <f>INDEX(script.out!J:J,results.txt!$M862)</f>
        <v>#N/A</v>
      </c>
      <c r="W862" t="e">
        <f>INDEX(script.out!K:K,results.txt!$M862)</f>
        <v>#N/A</v>
      </c>
      <c r="X862" t="e">
        <f>INDEX(script.out!L:L,results.txt!$M862)</f>
        <v>#N/A</v>
      </c>
      <c r="Y862" t="e">
        <f>INDEX(script.out!M:M,results.txt!$M862)</f>
        <v>#N/A</v>
      </c>
      <c r="Z862" t="e">
        <f>INDEX(script.out!N:N,results.txt!$M862)</f>
        <v>#N/A</v>
      </c>
      <c r="AA862" t="e">
        <f>INDEX(script.out!O:O,results.txt!$M862)</f>
        <v>#N/A</v>
      </c>
      <c r="AB862" t="e">
        <f>INDEX(script.out!P:P,results.txt!$M862)</f>
        <v>#N/A</v>
      </c>
      <c r="AC862" t="e">
        <f>INDEX(script.out!Q:Q,results.txt!$M862)</f>
        <v>#N/A</v>
      </c>
      <c r="AD862">
        <f t="shared" si="13"/>
        <v>0</v>
      </c>
    </row>
    <row r="863" spans="13:30" x14ac:dyDescent="0.25">
      <c r="M863" t="e">
        <f>MATCH(C863,script.out!B:B,0)</f>
        <v>#N/A</v>
      </c>
      <c r="N863" t="e">
        <f>INDEX(script.out!B:B,results.txt!$M863)</f>
        <v>#N/A</v>
      </c>
      <c r="O863" t="e">
        <f>INDEX(script.out!C:C,results.txt!$M863)</f>
        <v>#N/A</v>
      </c>
      <c r="P863" t="e">
        <f>INDEX(script.out!D:D,results.txt!$M863)</f>
        <v>#N/A</v>
      </c>
      <c r="Q863" t="e">
        <f>INDEX(script.out!E:E,results.txt!$M863)</f>
        <v>#N/A</v>
      </c>
      <c r="R863" t="e">
        <f>INDEX(script.out!F:F,results.txt!$M863)</f>
        <v>#N/A</v>
      </c>
      <c r="S863" t="e">
        <f>INDEX(script.out!G:G,results.txt!$M863)</f>
        <v>#N/A</v>
      </c>
      <c r="T863" t="e">
        <f>INDEX(script.out!H:H,results.txt!$M863)</f>
        <v>#N/A</v>
      </c>
      <c r="U863" t="e">
        <f>INDEX(script.out!I:I,results.txt!$M863)</f>
        <v>#N/A</v>
      </c>
      <c r="V863" t="e">
        <f>INDEX(script.out!J:J,results.txt!$M863)</f>
        <v>#N/A</v>
      </c>
      <c r="W863" t="e">
        <f>INDEX(script.out!K:K,results.txt!$M863)</f>
        <v>#N/A</v>
      </c>
      <c r="X863" t="e">
        <f>INDEX(script.out!L:L,results.txt!$M863)</f>
        <v>#N/A</v>
      </c>
      <c r="Y863" t="e">
        <f>INDEX(script.out!M:M,results.txt!$M863)</f>
        <v>#N/A</v>
      </c>
      <c r="Z863" t="e">
        <f>INDEX(script.out!N:N,results.txt!$M863)</f>
        <v>#N/A</v>
      </c>
      <c r="AA863" t="e">
        <f>INDEX(script.out!O:O,results.txt!$M863)</f>
        <v>#N/A</v>
      </c>
      <c r="AB863" t="e">
        <f>INDEX(script.out!P:P,results.txt!$M863)</f>
        <v>#N/A</v>
      </c>
      <c r="AC863" t="e">
        <f>INDEX(script.out!Q:Q,results.txt!$M863)</f>
        <v>#N/A</v>
      </c>
      <c r="AD863">
        <f t="shared" si="13"/>
        <v>0</v>
      </c>
    </row>
    <row r="864" spans="13:30" x14ac:dyDescent="0.25">
      <c r="M864" t="e">
        <f>MATCH(C864,script.out!B:B,0)</f>
        <v>#N/A</v>
      </c>
      <c r="N864" t="e">
        <f>INDEX(script.out!B:B,results.txt!$M864)</f>
        <v>#N/A</v>
      </c>
      <c r="O864" t="e">
        <f>INDEX(script.out!C:C,results.txt!$M864)</f>
        <v>#N/A</v>
      </c>
      <c r="P864" t="e">
        <f>INDEX(script.out!D:D,results.txt!$M864)</f>
        <v>#N/A</v>
      </c>
      <c r="Q864" t="e">
        <f>INDEX(script.out!E:E,results.txt!$M864)</f>
        <v>#N/A</v>
      </c>
      <c r="R864" t="e">
        <f>INDEX(script.out!F:F,results.txt!$M864)</f>
        <v>#N/A</v>
      </c>
      <c r="S864" t="e">
        <f>INDEX(script.out!G:G,results.txt!$M864)</f>
        <v>#N/A</v>
      </c>
      <c r="T864" t="e">
        <f>INDEX(script.out!H:H,results.txt!$M864)</f>
        <v>#N/A</v>
      </c>
      <c r="U864" t="e">
        <f>INDEX(script.out!I:I,results.txt!$M864)</f>
        <v>#N/A</v>
      </c>
      <c r="V864" t="e">
        <f>INDEX(script.out!J:J,results.txt!$M864)</f>
        <v>#N/A</v>
      </c>
      <c r="W864" t="e">
        <f>INDEX(script.out!K:K,results.txt!$M864)</f>
        <v>#N/A</v>
      </c>
      <c r="X864" t="e">
        <f>INDEX(script.out!L:L,results.txt!$M864)</f>
        <v>#N/A</v>
      </c>
      <c r="Y864" t="e">
        <f>INDEX(script.out!M:M,results.txt!$M864)</f>
        <v>#N/A</v>
      </c>
      <c r="Z864" t="e">
        <f>INDEX(script.out!N:N,results.txt!$M864)</f>
        <v>#N/A</v>
      </c>
      <c r="AA864" t="e">
        <f>INDEX(script.out!O:O,results.txt!$M864)</f>
        <v>#N/A</v>
      </c>
      <c r="AB864" t="e">
        <f>INDEX(script.out!P:P,results.txt!$M864)</f>
        <v>#N/A</v>
      </c>
      <c r="AC864" t="e">
        <f>INDEX(script.out!Q:Q,results.txt!$M864)</f>
        <v>#N/A</v>
      </c>
      <c r="AD864">
        <f t="shared" si="13"/>
        <v>0</v>
      </c>
    </row>
    <row r="865" spans="13:30" x14ac:dyDescent="0.25">
      <c r="M865" t="e">
        <f>MATCH(C865,script.out!B:B,0)</f>
        <v>#N/A</v>
      </c>
      <c r="N865" t="e">
        <f>INDEX(script.out!B:B,results.txt!$M865)</f>
        <v>#N/A</v>
      </c>
      <c r="O865" t="e">
        <f>INDEX(script.out!C:C,results.txt!$M865)</f>
        <v>#N/A</v>
      </c>
      <c r="P865" t="e">
        <f>INDEX(script.out!D:D,results.txt!$M865)</f>
        <v>#N/A</v>
      </c>
      <c r="Q865" t="e">
        <f>INDEX(script.out!E:E,results.txt!$M865)</f>
        <v>#N/A</v>
      </c>
      <c r="R865" t="e">
        <f>INDEX(script.out!F:F,results.txt!$M865)</f>
        <v>#N/A</v>
      </c>
      <c r="S865" t="e">
        <f>INDEX(script.out!G:G,results.txt!$M865)</f>
        <v>#N/A</v>
      </c>
      <c r="T865" t="e">
        <f>INDEX(script.out!H:H,results.txt!$M865)</f>
        <v>#N/A</v>
      </c>
      <c r="U865" t="e">
        <f>INDEX(script.out!I:I,results.txt!$M865)</f>
        <v>#N/A</v>
      </c>
      <c r="V865" t="e">
        <f>INDEX(script.out!J:J,results.txt!$M865)</f>
        <v>#N/A</v>
      </c>
      <c r="W865" t="e">
        <f>INDEX(script.out!K:K,results.txt!$M865)</f>
        <v>#N/A</v>
      </c>
      <c r="X865" t="e">
        <f>INDEX(script.out!L:L,results.txt!$M865)</f>
        <v>#N/A</v>
      </c>
      <c r="Y865" t="e">
        <f>INDEX(script.out!M:M,results.txt!$M865)</f>
        <v>#N/A</v>
      </c>
      <c r="Z865" t="e">
        <f>INDEX(script.out!N:N,results.txt!$M865)</f>
        <v>#N/A</v>
      </c>
      <c r="AA865" t="e">
        <f>INDEX(script.out!O:O,results.txt!$M865)</f>
        <v>#N/A</v>
      </c>
      <c r="AB865" t="e">
        <f>INDEX(script.out!P:P,results.txt!$M865)</f>
        <v>#N/A</v>
      </c>
      <c r="AC865" t="e">
        <f>INDEX(script.out!Q:Q,results.txt!$M865)</f>
        <v>#N/A</v>
      </c>
      <c r="AD865">
        <f t="shared" si="13"/>
        <v>0</v>
      </c>
    </row>
    <row r="866" spans="13:30" x14ac:dyDescent="0.25">
      <c r="M866" t="e">
        <f>MATCH(C866,script.out!B:B,0)</f>
        <v>#N/A</v>
      </c>
      <c r="N866" t="e">
        <f>INDEX(script.out!B:B,results.txt!$M866)</f>
        <v>#N/A</v>
      </c>
      <c r="O866" t="e">
        <f>INDEX(script.out!C:C,results.txt!$M866)</f>
        <v>#N/A</v>
      </c>
      <c r="P866" t="e">
        <f>INDEX(script.out!D:D,results.txt!$M866)</f>
        <v>#N/A</v>
      </c>
      <c r="Q866" t="e">
        <f>INDEX(script.out!E:E,results.txt!$M866)</f>
        <v>#N/A</v>
      </c>
      <c r="R866" t="e">
        <f>INDEX(script.out!F:F,results.txt!$M866)</f>
        <v>#N/A</v>
      </c>
      <c r="S866" t="e">
        <f>INDEX(script.out!G:G,results.txt!$M866)</f>
        <v>#N/A</v>
      </c>
      <c r="T866" t="e">
        <f>INDEX(script.out!H:H,results.txt!$M866)</f>
        <v>#N/A</v>
      </c>
      <c r="U866" t="e">
        <f>INDEX(script.out!I:I,results.txt!$M866)</f>
        <v>#N/A</v>
      </c>
      <c r="V866" t="e">
        <f>INDEX(script.out!J:J,results.txt!$M866)</f>
        <v>#N/A</v>
      </c>
      <c r="W866" t="e">
        <f>INDEX(script.out!K:K,results.txt!$M866)</f>
        <v>#N/A</v>
      </c>
      <c r="X866" t="e">
        <f>INDEX(script.out!L:L,results.txt!$M866)</f>
        <v>#N/A</v>
      </c>
      <c r="Y866" t="e">
        <f>INDEX(script.out!M:M,results.txt!$M866)</f>
        <v>#N/A</v>
      </c>
      <c r="Z866" t="e">
        <f>INDEX(script.out!N:N,results.txt!$M866)</f>
        <v>#N/A</v>
      </c>
      <c r="AA866" t="e">
        <f>INDEX(script.out!O:O,results.txt!$M866)</f>
        <v>#N/A</v>
      </c>
      <c r="AB866" t="e">
        <f>INDEX(script.out!P:P,results.txt!$M866)</f>
        <v>#N/A</v>
      </c>
      <c r="AC866" t="e">
        <f>INDEX(script.out!Q:Q,results.txt!$M866)</f>
        <v>#N/A</v>
      </c>
      <c r="AD866">
        <f t="shared" si="13"/>
        <v>0</v>
      </c>
    </row>
    <row r="867" spans="13:30" x14ac:dyDescent="0.25">
      <c r="M867" t="e">
        <f>MATCH(C867,script.out!B:B,0)</f>
        <v>#N/A</v>
      </c>
      <c r="N867" t="e">
        <f>INDEX(script.out!B:B,results.txt!$M867)</f>
        <v>#N/A</v>
      </c>
      <c r="O867" t="e">
        <f>INDEX(script.out!C:C,results.txt!$M867)</f>
        <v>#N/A</v>
      </c>
      <c r="P867" t="e">
        <f>INDEX(script.out!D:D,results.txt!$M867)</f>
        <v>#N/A</v>
      </c>
      <c r="Q867" t="e">
        <f>INDEX(script.out!E:E,results.txt!$M867)</f>
        <v>#N/A</v>
      </c>
      <c r="R867" t="e">
        <f>INDEX(script.out!F:F,results.txt!$M867)</f>
        <v>#N/A</v>
      </c>
      <c r="S867" t="e">
        <f>INDEX(script.out!G:G,results.txt!$M867)</f>
        <v>#N/A</v>
      </c>
      <c r="T867" t="e">
        <f>INDEX(script.out!H:H,results.txt!$M867)</f>
        <v>#N/A</v>
      </c>
      <c r="U867" t="e">
        <f>INDEX(script.out!I:I,results.txt!$M867)</f>
        <v>#N/A</v>
      </c>
      <c r="V867" t="e">
        <f>INDEX(script.out!J:J,results.txt!$M867)</f>
        <v>#N/A</v>
      </c>
      <c r="W867" t="e">
        <f>INDEX(script.out!K:K,results.txt!$M867)</f>
        <v>#N/A</v>
      </c>
      <c r="X867" t="e">
        <f>INDEX(script.out!L:L,results.txt!$M867)</f>
        <v>#N/A</v>
      </c>
      <c r="Y867" t="e">
        <f>INDEX(script.out!M:M,results.txt!$M867)</f>
        <v>#N/A</v>
      </c>
      <c r="Z867" t="e">
        <f>INDEX(script.out!N:N,results.txt!$M867)</f>
        <v>#N/A</v>
      </c>
      <c r="AA867" t="e">
        <f>INDEX(script.out!O:O,results.txt!$M867)</f>
        <v>#N/A</v>
      </c>
      <c r="AB867" t="e">
        <f>INDEX(script.out!P:P,results.txt!$M867)</f>
        <v>#N/A</v>
      </c>
      <c r="AC867" t="e">
        <f>INDEX(script.out!Q:Q,results.txt!$M867)</f>
        <v>#N/A</v>
      </c>
      <c r="AD867">
        <f t="shared" si="13"/>
        <v>0</v>
      </c>
    </row>
    <row r="868" spans="13:30" x14ac:dyDescent="0.25">
      <c r="M868" t="e">
        <f>MATCH(C868,script.out!B:B,0)</f>
        <v>#N/A</v>
      </c>
      <c r="N868" t="e">
        <f>INDEX(script.out!B:B,results.txt!$M868)</f>
        <v>#N/A</v>
      </c>
      <c r="O868" t="e">
        <f>INDEX(script.out!C:C,results.txt!$M868)</f>
        <v>#N/A</v>
      </c>
      <c r="P868" t="e">
        <f>INDEX(script.out!D:D,results.txt!$M868)</f>
        <v>#N/A</v>
      </c>
      <c r="Q868" t="e">
        <f>INDEX(script.out!E:E,results.txt!$M868)</f>
        <v>#N/A</v>
      </c>
      <c r="R868" t="e">
        <f>INDEX(script.out!F:F,results.txt!$M868)</f>
        <v>#N/A</v>
      </c>
      <c r="S868" t="e">
        <f>INDEX(script.out!G:G,results.txt!$M868)</f>
        <v>#N/A</v>
      </c>
      <c r="T868" t="e">
        <f>INDEX(script.out!H:H,results.txt!$M868)</f>
        <v>#N/A</v>
      </c>
      <c r="U868" t="e">
        <f>INDEX(script.out!I:I,results.txt!$M868)</f>
        <v>#N/A</v>
      </c>
      <c r="V868" t="e">
        <f>INDEX(script.out!J:J,results.txt!$M868)</f>
        <v>#N/A</v>
      </c>
      <c r="W868" t="e">
        <f>INDEX(script.out!K:K,results.txt!$M868)</f>
        <v>#N/A</v>
      </c>
      <c r="X868" t="e">
        <f>INDEX(script.out!L:L,results.txt!$M868)</f>
        <v>#N/A</v>
      </c>
      <c r="Y868" t="e">
        <f>INDEX(script.out!M:M,results.txt!$M868)</f>
        <v>#N/A</v>
      </c>
      <c r="Z868" t="e">
        <f>INDEX(script.out!N:N,results.txt!$M868)</f>
        <v>#N/A</v>
      </c>
      <c r="AA868" t="e">
        <f>INDEX(script.out!O:O,results.txt!$M868)</f>
        <v>#N/A</v>
      </c>
      <c r="AB868" t="e">
        <f>INDEX(script.out!P:P,results.txt!$M868)</f>
        <v>#N/A</v>
      </c>
      <c r="AC868" t="e">
        <f>INDEX(script.out!Q:Q,results.txt!$M868)</f>
        <v>#N/A</v>
      </c>
      <c r="AD868">
        <f t="shared" si="13"/>
        <v>0</v>
      </c>
    </row>
    <row r="869" spans="13:30" x14ac:dyDescent="0.25">
      <c r="M869" t="e">
        <f>MATCH(C869,script.out!B:B,0)</f>
        <v>#N/A</v>
      </c>
      <c r="N869" t="e">
        <f>INDEX(script.out!B:B,results.txt!$M869)</f>
        <v>#N/A</v>
      </c>
      <c r="O869" t="e">
        <f>INDEX(script.out!C:C,results.txt!$M869)</f>
        <v>#N/A</v>
      </c>
      <c r="P869" t="e">
        <f>INDEX(script.out!D:D,results.txt!$M869)</f>
        <v>#N/A</v>
      </c>
      <c r="Q869" t="e">
        <f>INDEX(script.out!E:E,results.txt!$M869)</f>
        <v>#N/A</v>
      </c>
      <c r="R869" t="e">
        <f>INDEX(script.out!F:F,results.txt!$M869)</f>
        <v>#N/A</v>
      </c>
      <c r="S869" t="e">
        <f>INDEX(script.out!G:G,results.txt!$M869)</f>
        <v>#N/A</v>
      </c>
      <c r="T869" t="e">
        <f>INDEX(script.out!H:H,results.txt!$M869)</f>
        <v>#N/A</v>
      </c>
      <c r="U869" t="e">
        <f>INDEX(script.out!I:I,results.txt!$M869)</f>
        <v>#N/A</v>
      </c>
      <c r="V869" t="e">
        <f>INDEX(script.out!J:J,results.txt!$M869)</f>
        <v>#N/A</v>
      </c>
      <c r="W869" t="e">
        <f>INDEX(script.out!K:K,results.txt!$M869)</f>
        <v>#N/A</v>
      </c>
      <c r="X869" t="e">
        <f>INDEX(script.out!L:L,results.txt!$M869)</f>
        <v>#N/A</v>
      </c>
      <c r="Y869" t="e">
        <f>INDEX(script.out!M:M,results.txt!$M869)</f>
        <v>#N/A</v>
      </c>
      <c r="Z869" t="e">
        <f>INDEX(script.out!N:N,results.txt!$M869)</f>
        <v>#N/A</v>
      </c>
      <c r="AA869" t="e">
        <f>INDEX(script.out!O:O,results.txt!$M869)</f>
        <v>#N/A</v>
      </c>
      <c r="AB869" t="e">
        <f>INDEX(script.out!P:P,results.txt!$M869)</f>
        <v>#N/A</v>
      </c>
      <c r="AC869" t="e">
        <f>INDEX(script.out!Q:Q,results.txt!$M869)</f>
        <v>#N/A</v>
      </c>
      <c r="AD869">
        <f t="shared" si="13"/>
        <v>0</v>
      </c>
    </row>
    <row r="870" spans="13:30" x14ac:dyDescent="0.25">
      <c r="M870" t="e">
        <f>MATCH(C870,script.out!B:B,0)</f>
        <v>#N/A</v>
      </c>
      <c r="N870" t="e">
        <f>INDEX(script.out!B:B,results.txt!$M870)</f>
        <v>#N/A</v>
      </c>
      <c r="O870" t="e">
        <f>INDEX(script.out!C:C,results.txt!$M870)</f>
        <v>#N/A</v>
      </c>
      <c r="P870" t="e">
        <f>INDEX(script.out!D:D,results.txt!$M870)</f>
        <v>#N/A</v>
      </c>
      <c r="Q870" t="e">
        <f>INDEX(script.out!E:E,results.txt!$M870)</f>
        <v>#N/A</v>
      </c>
      <c r="R870" t="e">
        <f>INDEX(script.out!F:F,results.txt!$M870)</f>
        <v>#N/A</v>
      </c>
      <c r="S870" t="e">
        <f>INDEX(script.out!G:G,results.txt!$M870)</f>
        <v>#N/A</v>
      </c>
      <c r="T870" t="e">
        <f>INDEX(script.out!H:H,results.txt!$M870)</f>
        <v>#N/A</v>
      </c>
      <c r="U870" t="e">
        <f>INDEX(script.out!I:I,results.txt!$M870)</f>
        <v>#N/A</v>
      </c>
      <c r="V870" t="e">
        <f>INDEX(script.out!J:J,results.txt!$M870)</f>
        <v>#N/A</v>
      </c>
      <c r="W870" t="e">
        <f>INDEX(script.out!K:K,results.txt!$M870)</f>
        <v>#N/A</v>
      </c>
      <c r="X870" t="e">
        <f>INDEX(script.out!L:L,results.txt!$M870)</f>
        <v>#N/A</v>
      </c>
      <c r="Y870" t="e">
        <f>INDEX(script.out!M:M,results.txt!$M870)</f>
        <v>#N/A</v>
      </c>
      <c r="Z870" t="e">
        <f>INDEX(script.out!N:N,results.txt!$M870)</f>
        <v>#N/A</v>
      </c>
      <c r="AA870" t="e">
        <f>INDEX(script.out!O:O,results.txt!$M870)</f>
        <v>#N/A</v>
      </c>
      <c r="AB870" t="e">
        <f>INDEX(script.out!P:P,results.txt!$M870)</f>
        <v>#N/A</v>
      </c>
      <c r="AC870" t="e">
        <f>INDEX(script.out!Q:Q,results.txt!$M870)</f>
        <v>#N/A</v>
      </c>
      <c r="AD870">
        <f t="shared" si="13"/>
        <v>0</v>
      </c>
    </row>
    <row r="871" spans="13:30" x14ac:dyDescent="0.25">
      <c r="M871" t="e">
        <f>MATCH(C871,script.out!B:B,0)</f>
        <v>#N/A</v>
      </c>
      <c r="N871" t="e">
        <f>INDEX(script.out!B:B,results.txt!$M871)</f>
        <v>#N/A</v>
      </c>
      <c r="O871" t="e">
        <f>INDEX(script.out!C:C,results.txt!$M871)</f>
        <v>#N/A</v>
      </c>
      <c r="P871" t="e">
        <f>INDEX(script.out!D:D,results.txt!$M871)</f>
        <v>#N/A</v>
      </c>
      <c r="Q871" t="e">
        <f>INDEX(script.out!E:E,results.txt!$M871)</f>
        <v>#N/A</v>
      </c>
      <c r="R871" t="e">
        <f>INDEX(script.out!F:F,results.txt!$M871)</f>
        <v>#N/A</v>
      </c>
      <c r="S871" t="e">
        <f>INDEX(script.out!G:G,results.txt!$M871)</f>
        <v>#N/A</v>
      </c>
      <c r="T871" t="e">
        <f>INDEX(script.out!H:H,results.txt!$M871)</f>
        <v>#N/A</v>
      </c>
      <c r="U871" t="e">
        <f>INDEX(script.out!I:I,results.txt!$M871)</f>
        <v>#N/A</v>
      </c>
      <c r="V871" t="e">
        <f>INDEX(script.out!J:J,results.txt!$M871)</f>
        <v>#N/A</v>
      </c>
      <c r="W871" t="e">
        <f>INDEX(script.out!K:K,results.txt!$M871)</f>
        <v>#N/A</v>
      </c>
      <c r="X871" t="e">
        <f>INDEX(script.out!L:L,results.txt!$M871)</f>
        <v>#N/A</v>
      </c>
      <c r="Y871" t="e">
        <f>INDEX(script.out!M:M,results.txt!$M871)</f>
        <v>#N/A</v>
      </c>
      <c r="Z871" t="e">
        <f>INDEX(script.out!N:N,results.txt!$M871)</f>
        <v>#N/A</v>
      </c>
      <c r="AA871" t="e">
        <f>INDEX(script.out!O:O,results.txt!$M871)</f>
        <v>#N/A</v>
      </c>
      <c r="AB871" t="e">
        <f>INDEX(script.out!P:P,results.txt!$M871)</f>
        <v>#N/A</v>
      </c>
      <c r="AC871" t="e">
        <f>INDEX(script.out!Q:Q,results.txt!$M871)</f>
        <v>#N/A</v>
      </c>
      <c r="AD871">
        <f t="shared" si="13"/>
        <v>0</v>
      </c>
    </row>
    <row r="872" spans="13:30" x14ac:dyDescent="0.25">
      <c r="M872" t="e">
        <f>MATCH(C872,script.out!B:B,0)</f>
        <v>#N/A</v>
      </c>
      <c r="N872" t="e">
        <f>INDEX(script.out!B:B,results.txt!$M872)</f>
        <v>#N/A</v>
      </c>
      <c r="O872" t="e">
        <f>INDEX(script.out!C:C,results.txt!$M872)</f>
        <v>#N/A</v>
      </c>
      <c r="P872" t="e">
        <f>INDEX(script.out!D:D,results.txt!$M872)</f>
        <v>#N/A</v>
      </c>
      <c r="Q872" t="e">
        <f>INDEX(script.out!E:E,results.txt!$M872)</f>
        <v>#N/A</v>
      </c>
      <c r="R872" t="e">
        <f>INDEX(script.out!F:F,results.txt!$M872)</f>
        <v>#N/A</v>
      </c>
      <c r="S872" t="e">
        <f>INDEX(script.out!G:G,results.txt!$M872)</f>
        <v>#N/A</v>
      </c>
      <c r="T872" t="e">
        <f>INDEX(script.out!H:H,results.txt!$M872)</f>
        <v>#N/A</v>
      </c>
      <c r="U872" t="e">
        <f>INDEX(script.out!I:I,results.txt!$M872)</f>
        <v>#N/A</v>
      </c>
      <c r="V872" t="e">
        <f>INDEX(script.out!J:J,results.txt!$M872)</f>
        <v>#N/A</v>
      </c>
      <c r="W872" t="e">
        <f>INDEX(script.out!K:K,results.txt!$M872)</f>
        <v>#N/A</v>
      </c>
      <c r="X872" t="e">
        <f>INDEX(script.out!L:L,results.txt!$M872)</f>
        <v>#N/A</v>
      </c>
      <c r="Y872" t="e">
        <f>INDEX(script.out!M:M,results.txt!$M872)</f>
        <v>#N/A</v>
      </c>
      <c r="Z872" t="e">
        <f>INDEX(script.out!N:N,results.txt!$M872)</f>
        <v>#N/A</v>
      </c>
      <c r="AA872" t="e">
        <f>INDEX(script.out!O:O,results.txt!$M872)</f>
        <v>#N/A</v>
      </c>
      <c r="AB872" t="e">
        <f>INDEX(script.out!P:P,results.txt!$M872)</f>
        <v>#N/A</v>
      </c>
      <c r="AC872" t="e">
        <f>INDEX(script.out!Q:Q,results.txt!$M872)</f>
        <v>#N/A</v>
      </c>
      <c r="AD872">
        <f t="shared" si="13"/>
        <v>0</v>
      </c>
    </row>
    <row r="873" spans="13:30" x14ac:dyDescent="0.25">
      <c r="M873" t="e">
        <f>MATCH(C873,script.out!B:B,0)</f>
        <v>#N/A</v>
      </c>
      <c r="N873" t="e">
        <f>INDEX(script.out!B:B,results.txt!$M873)</f>
        <v>#N/A</v>
      </c>
      <c r="O873" t="e">
        <f>INDEX(script.out!C:C,results.txt!$M873)</f>
        <v>#N/A</v>
      </c>
      <c r="P873" t="e">
        <f>INDEX(script.out!D:D,results.txt!$M873)</f>
        <v>#N/A</v>
      </c>
      <c r="Q873" t="e">
        <f>INDEX(script.out!E:E,results.txt!$M873)</f>
        <v>#N/A</v>
      </c>
      <c r="R873" t="e">
        <f>INDEX(script.out!F:F,results.txt!$M873)</f>
        <v>#N/A</v>
      </c>
      <c r="S873" t="e">
        <f>INDEX(script.out!G:G,results.txt!$M873)</f>
        <v>#N/A</v>
      </c>
      <c r="T873" t="e">
        <f>INDEX(script.out!H:H,results.txt!$M873)</f>
        <v>#N/A</v>
      </c>
      <c r="U873" t="e">
        <f>INDEX(script.out!I:I,results.txt!$M873)</f>
        <v>#N/A</v>
      </c>
      <c r="V873" t="e">
        <f>INDEX(script.out!J:J,results.txt!$M873)</f>
        <v>#N/A</v>
      </c>
      <c r="W873" t="e">
        <f>INDEX(script.out!K:K,results.txt!$M873)</f>
        <v>#N/A</v>
      </c>
      <c r="X873" t="e">
        <f>INDEX(script.out!L:L,results.txt!$M873)</f>
        <v>#N/A</v>
      </c>
      <c r="Y873" t="e">
        <f>INDEX(script.out!M:M,results.txt!$M873)</f>
        <v>#N/A</v>
      </c>
      <c r="Z873" t="e">
        <f>INDEX(script.out!N:N,results.txt!$M873)</f>
        <v>#N/A</v>
      </c>
      <c r="AA873" t="e">
        <f>INDEX(script.out!O:O,results.txt!$M873)</f>
        <v>#N/A</v>
      </c>
      <c r="AB873" t="e">
        <f>INDEX(script.out!P:P,results.txt!$M873)</f>
        <v>#N/A</v>
      </c>
      <c r="AC873" t="e">
        <f>INDEX(script.out!Q:Q,results.txt!$M873)</f>
        <v>#N/A</v>
      </c>
      <c r="AD873">
        <f t="shared" si="13"/>
        <v>0</v>
      </c>
    </row>
    <row r="874" spans="13:30" x14ac:dyDescent="0.25">
      <c r="M874" t="e">
        <f>MATCH(C874,script.out!B:B,0)</f>
        <v>#N/A</v>
      </c>
      <c r="N874" t="e">
        <f>INDEX(script.out!B:B,results.txt!$M874)</f>
        <v>#N/A</v>
      </c>
      <c r="O874" t="e">
        <f>INDEX(script.out!C:C,results.txt!$M874)</f>
        <v>#N/A</v>
      </c>
      <c r="P874" t="e">
        <f>INDEX(script.out!D:D,results.txt!$M874)</f>
        <v>#N/A</v>
      </c>
      <c r="Q874" t="e">
        <f>INDEX(script.out!E:E,results.txt!$M874)</f>
        <v>#N/A</v>
      </c>
      <c r="R874" t="e">
        <f>INDEX(script.out!F:F,results.txt!$M874)</f>
        <v>#N/A</v>
      </c>
      <c r="S874" t="e">
        <f>INDEX(script.out!G:G,results.txt!$M874)</f>
        <v>#N/A</v>
      </c>
      <c r="T874" t="e">
        <f>INDEX(script.out!H:H,results.txt!$M874)</f>
        <v>#N/A</v>
      </c>
      <c r="U874" t="e">
        <f>INDEX(script.out!I:I,results.txt!$M874)</f>
        <v>#N/A</v>
      </c>
      <c r="V874" t="e">
        <f>INDEX(script.out!J:J,results.txt!$M874)</f>
        <v>#N/A</v>
      </c>
      <c r="W874" t="e">
        <f>INDEX(script.out!K:K,results.txt!$M874)</f>
        <v>#N/A</v>
      </c>
      <c r="X874" t="e">
        <f>INDEX(script.out!L:L,results.txt!$M874)</f>
        <v>#N/A</v>
      </c>
      <c r="Y874" t="e">
        <f>INDEX(script.out!M:M,results.txt!$M874)</f>
        <v>#N/A</v>
      </c>
      <c r="Z874" t="e">
        <f>INDEX(script.out!N:N,results.txt!$M874)</f>
        <v>#N/A</v>
      </c>
      <c r="AA874" t="e">
        <f>INDEX(script.out!O:O,results.txt!$M874)</f>
        <v>#N/A</v>
      </c>
      <c r="AB874" t="e">
        <f>INDEX(script.out!P:P,results.txt!$M874)</f>
        <v>#N/A</v>
      </c>
      <c r="AC874" t="e">
        <f>INDEX(script.out!Q:Q,results.txt!$M874)</f>
        <v>#N/A</v>
      </c>
      <c r="AD874">
        <f t="shared" si="13"/>
        <v>0</v>
      </c>
    </row>
    <row r="875" spans="13:30" x14ac:dyDescent="0.25">
      <c r="M875" t="e">
        <f>MATCH(C875,script.out!B:B,0)</f>
        <v>#N/A</v>
      </c>
      <c r="N875" t="e">
        <f>INDEX(script.out!B:B,results.txt!$M875)</f>
        <v>#N/A</v>
      </c>
      <c r="O875" t="e">
        <f>INDEX(script.out!C:C,results.txt!$M875)</f>
        <v>#N/A</v>
      </c>
      <c r="P875" t="e">
        <f>INDEX(script.out!D:D,results.txt!$M875)</f>
        <v>#N/A</v>
      </c>
      <c r="Q875" t="e">
        <f>INDEX(script.out!E:E,results.txt!$M875)</f>
        <v>#N/A</v>
      </c>
      <c r="R875" t="e">
        <f>INDEX(script.out!F:F,results.txt!$M875)</f>
        <v>#N/A</v>
      </c>
      <c r="S875" t="e">
        <f>INDEX(script.out!G:G,results.txt!$M875)</f>
        <v>#N/A</v>
      </c>
      <c r="T875" t="e">
        <f>INDEX(script.out!H:H,results.txt!$M875)</f>
        <v>#N/A</v>
      </c>
      <c r="U875" t="e">
        <f>INDEX(script.out!I:I,results.txt!$M875)</f>
        <v>#N/A</v>
      </c>
      <c r="V875" t="e">
        <f>INDEX(script.out!J:J,results.txt!$M875)</f>
        <v>#N/A</v>
      </c>
      <c r="W875" t="e">
        <f>INDEX(script.out!K:K,results.txt!$M875)</f>
        <v>#N/A</v>
      </c>
      <c r="X875" t="e">
        <f>INDEX(script.out!L:L,results.txt!$M875)</f>
        <v>#N/A</v>
      </c>
      <c r="Y875" t="e">
        <f>INDEX(script.out!M:M,results.txt!$M875)</f>
        <v>#N/A</v>
      </c>
      <c r="Z875" t="e">
        <f>INDEX(script.out!N:N,results.txt!$M875)</f>
        <v>#N/A</v>
      </c>
      <c r="AA875" t="e">
        <f>INDEX(script.out!O:O,results.txt!$M875)</f>
        <v>#N/A</v>
      </c>
      <c r="AB875" t="e">
        <f>INDEX(script.out!P:P,results.txt!$M875)</f>
        <v>#N/A</v>
      </c>
      <c r="AC875" t="e">
        <f>INDEX(script.out!Q:Q,results.txt!$M875)</f>
        <v>#N/A</v>
      </c>
      <c r="AD875">
        <f t="shared" ref="AD875:AD938" si="14">IF(A875="all",1)+IF(A875="nonDominatedFront",2)</f>
        <v>0</v>
      </c>
    </row>
    <row r="876" spans="13:30" x14ac:dyDescent="0.25">
      <c r="M876" t="e">
        <f>MATCH(C876,script.out!B:B,0)</f>
        <v>#N/A</v>
      </c>
      <c r="N876" t="e">
        <f>INDEX(script.out!B:B,results.txt!$M876)</f>
        <v>#N/A</v>
      </c>
      <c r="O876" t="e">
        <f>INDEX(script.out!C:C,results.txt!$M876)</f>
        <v>#N/A</v>
      </c>
      <c r="P876" t="e">
        <f>INDEX(script.out!D:D,results.txt!$M876)</f>
        <v>#N/A</v>
      </c>
      <c r="Q876" t="e">
        <f>INDEX(script.out!E:E,results.txt!$M876)</f>
        <v>#N/A</v>
      </c>
      <c r="R876" t="e">
        <f>INDEX(script.out!F:F,results.txt!$M876)</f>
        <v>#N/A</v>
      </c>
      <c r="S876" t="e">
        <f>INDEX(script.out!G:G,results.txt!$M876)</f>
        <v>#N/A</v>
      </c>
      <c r="T876" t="e">
        <f>INDEX(script.out!H:H,results.txt!$M876)</f>
        <v>#N/A</v>
      </c>
      <c r="U876" t="e">
        <f>INDEX(script.out!I:I,results.txt!$M876)</f>
        <v>#N/A</v>
      </c>
      <c r="V876" t="e">
        <f>INDEX(script.out!J:J,results.txt!$M876)</f>
        <v>#N/A</v>
      </c>
      <c r="W876" t="e">
        <f>INDEX(script.out!K:K,results.txt!$M876)</f>
        <v>#N/A</v>
      </c>
      <c r="X876" t="e">
        <f>INDEX(script.out!L:L,results.txt!$M876)</f>
        <v>#N/A</v>
      </c>
      <c r="Y876" t="e">
        <f>INDEX(script.out!M:M,results.txt!$M876)</f>
        <v>#N/A</v>
      </c>
      <c r="Z876" t="e">
        <f>INDEX(script.out!N:N,results.txt!$M876)</f>
        <v>#N/A</v>
      </c>
      <c r="AA876" t="e">
        <f>INDEX(script.out!O:O,results.txt!$M876)</f>
        <v>#N/A</v>
      </c>
      <c r="AB876" t="e">
        <f>INDEX(script.out!P:P,results.txt!$M876)</f>
        <v>#N/A</v>
      </c>
      <c r="AC876" t="e">
        <f>INDEX(script.out!Q:Q,results.txt!$M876)</f>
        <v>#N/A</v>
      </c>
      <c r="AD876">
        <f t="shared" si="14"/>
        <v>0</v>
      </c>
    </row>
    <row r="877" spans="13:30" x14ac:dyDescent="0.25">
      <c r="M877" t="e">
        <f>MATCH(C877,script.out!B:B,0)</f>
        <v>#N/A</v>
      </c>
      <c r="N877" t="e">
        <f>INDEX(script.out!B:B,results.txt!$M877)</f>
        <v>#N/A</v>
      </c>
      <c r="O877" t="e">
        <f>INDEX(script.out!C:C,results.txt!$M877)</f>
        <v>#N/A</v>
      </c>
      <c r="P877" t="e">
        <f>INDEX(script.out!D:D,results.txt!$M877)</f>
        <v>#N/A</v>
      </c>
      <c r="Q877" t="e">
        <f>INDEX(script.out!E:E,results.txt!$M877)</f>
        <v>#N/A</v>
      </c>
      <c r="R877" t="e">
        <f>INDEX(script.out!F:F,results.txt!$M877)</f>
        <v>#N/A</v>
      </c>
      <c r="S877" t="e">
        <f>INDEX(script.out!G:G,results.txt!$M877)</f>
        <v>#N/A</v>
      </c>
      <c r="T877" t="e">
        <f>INDEX(script.out!H:H,results.txt!$M877)</f>
        <v>#N/A</v>
      </c>
      <c r="U877" t="e">
        <f>INDEX(script.out!I:I,results.txt!$M877)</f>
        <v>#N/A</v>
      </c>
      <c r="V877" t="e">
        <f>INDEX(script.out!J:J,results.txt!$M877)</f>
        <v>#N/A</v>
      </c>
      <c r="W877" t="e">
        <f>INDEX(script.out!K:K,results.txt!$M877)</f>
        <v>#N/A</v>
      </c>
      <c r="X877" t="e">
        <f>INDEX(script.out!L:L,results.txt!$M877)</f>
        <v>#N/A</v>
      </c>
      <c r="Y877" t="e">
        <f>INDEX(script.out!M:M,results.txt!$M877)</f>
        <v>#N/A</v>
      </c>
      <c r="Z877" t="e">
        <f>INDEX(script.out!N:N,results.txt!$M877)</f>
        <v>#N/A</v>
      </c>
      <c r="AA877" t="e">
        <f>INDEX(script.out!O:O,results.txt!$M877)</f>
        <v>#N/A</v>
      </c>
      <c r="AB877" t="e">
        <f>INDEX(script.out!P:P,results.txt!$M877)</f>
        <v>#N/A</v>
      </c>
      <c r="AC877" t="e">
        <f>INDEX(script.out!Q:Q,results.txt!$M877)</f>
        <v>#N/A</v>
      </c>
      <c r="AD877">
        <f t="shared" si="14"/>
        <v>0</v>
      </c>
    </row>
    <row r="878" spans="13:30" x14ac:dyDescent="0.25">
      <c r="M878" t="e">
        <f>MATCH(C878,script.out!B:B,0)</f>
        <v>#N/A</v>
      </c>
      <c r="N878" t="e">
        <f>INDEX(script.out!B:B,results.txt!$M878)</f>
        <v>#N/A</v>
      </c>
      <c r="O878" t="e">
        <f>INDEX(script.out!C:C,results.txt!$M878)</f>
        <v>#N/A</v>
      </c>
      <c r="P878" t="e">
        <f>INDEX(script.out!D:D,results.txt!$M878)</f>
        <v>#N/A</v>
      </c>
      <c r="Q878" t="e">
        <f>INDEX(script.out!E:E,results.txt!$M878)</f>
        <v>#N/A</v>
      </c>
      <c r="R878" t="e">
        <f>INDEX(script.out!F:F,results.txt!$M878)</f>
        <v>#N/A</v>
      </c>
      <c r="S878" t="e">
        <f>INDEX(script.out!G:G,results.txt!$M878)</f>
        <v>#N/A</v>
      </c>
      <c r="T878" t="e">
        <f>INDEX(script.out!H:H,results.txt!$M878)</f>
        <v>#N/A</v>
      </c>
      <c r="U878" t="e">
        <f>INDEX(script.out!I:I,results.txt!$M878)</f>
        <v>#N/A</v>
      </c>
      <c r="V878" t="e">
        <f>INDEX(script.out!J:J,results.txt!$M878)</f>
        <v>#N/A</v>
      </c>
      <c r="W878" t="e">
        <f>INDEX(script.out!K:K,results.txt!$M878)</f>
        <v>#N/A</v>
      </c>
      <c r="X878" t="e">
        <f>INDEX(script.out!L:L,results.txt!$M878)</f>
        <v>#N/A</v>
      </c>
      <c r="Y878" t="e">
        <f>INDEX(script.out!M:M,results.txt!$M878)</f>
        <v>#N/A</v>
      </c>
      <c r="Z878" t="e">
        <f>INDEX(script.out!N:N,results.txt!$M878)</f>
        <v>#N/A</v>
      </c>
      <c r="AA878" t="e">
        <f>INDEX(script.out!O:O,results.txt!$M878)</f>
        <v>#N/A</v>
      </c>
      <c r="AB878" t="e">
        <f>INDEX(script.out!P:P,results.txt!$M878)</f>
        <v>#N/A</v>
      </c>
      <c r="AC878" t="e">
        <f>INDEX(script.out!Q:Q,results.txt!$M878)</f>
        <v>#N/A</v>
      </c>
      <c r="AD878">
        <f t="shared" si="14"/>
        <v>0</v>
      </c>
    </row>
    <row r="879" spans="13:30" x14ac:dyDescent="0.25">
      <c r="M879" t="e">
        <f>MATCH(C879,script.out!B:B,0)</f>
        <v>#N/A</v>
      </c>
      <c r="N879" t="e">
        <f>INDEX(script.out!B:B,results.txt!$M879)</f>
        <v>#N/A</v>
      </c>
      <c r="O879" t="e">
        <f>INDEX(script.out!C:C,results.txt!$M879)</f>
        <v>#N/A</v>
      </c>
      <c r="P879" t="e">
        <f>INDEX(script.out!D:D,results.txt!$M879)</f>
        <v>#N/A</v>
      </c>
      <c r="Q879" t="e">
        <f>INDEX(script.out!E:E,results.txt!$M879)</f>
        <v>#N/A</v>
      </c>
      <c r="R879" t="e">
        <f>INDEX(script.out!F:F,results.txt!$M879)</f>
        <v>#N/A</v>
      </c>
      <c r="S879" t="e">
        <f>INDEX(script.out!G:G,results.txt!$M879)</f>
        <v>#N/A</v>
      </c>
      <c r="T879" t="e">
        <f>INDEX(script.out!H:H,results.txt!$M879)</f>
        <v>#N/A</v>
      </c>
      <c r="U879" t="e">
        <f>INDEX(script.out!I:I,results.txt!$M879)</f>
        <v>#N/A</v>
      </c>
      <c r="V879" t="e">
        <f>INDEX(script.out!J:J,results.txt!$M879)</f>
        <v>#N/A</v>
      </c>
      <c r="W879" t="e">
        <f>INDEX(script.out!K:K,results.txt!$M879)</f>
        <v>#N/A</v>
      </c>
      <c r="X879" t="e">
        <f>INDEX(script.out!L:L,results.txt!$M879)</f>
        <v>#N/A</v>
      </c>
      <c r="Y879" t="e">
        <f>INDEX(script.out!M:M,results.txt!$M879)</f>
        <v>#N/A</v>
      </c>
      <c r="Z879" t="e">
        <f>INDEX(script.out!N:N,results.txt!$M879)</f>
        <v>#N/A</v>
      </c>
      <c r="AA879" t="e">
        <f>INDEX(script.out!O:O,results.txt!$M879)</f>
        <v>#N/A</v>
      </c>
      <c r="AB879" t="e">
        <f>INDEX(script.out!P:P,results.txt!$M879)</f>
        <v>#N/A</v>
      </c>
      <c r="AC879" t="e">
        <f>INDEX(script.out!Q:Q,results.txt!$M879)</f>
        <v>#N/A</v>
      </c>
      <c r="AD879">
        <f t="shared" si="14"/>
        <v>0</v>
      </c>
    </row>
    <row r="880" spans="13:30" x14ac:dyDescent="0.25">
      <c r="M880" t="e">
        <f>MATCH(C880,script.out!B:B,0)</f>
        <v>#N/A</v>
      </c>
      <c r="N880" t="e">
        <f>INDEX(script.out!B:B,results.txt!$M880)</f>
        <v>#N/A</v>
      </c>
      <c r="O880" t="e">
        <f>INDEX(script.out!C:C,results.txt!$M880)</f>
        <v>#N/A</v>
      </c>
      <c r="P880" t="e">
        <f>INDEX(script.out!D:D,results.txt!$M880)</f>
        <v>#N/A</v>
      </c>
      <c r="Q880" t="e">
        <f>INDEX(script.out!E:E,results.txt!$M880)</f>
        <v>#N/A</v>
      </c>
      <c r="R880" t="e">
        <f>INDEX(script.out!F:F,results.txt!$M880)</f>
        <v>#N/A</v>
      </c>
      <c r="S880" t="e">
        <f>INDEX(script.out!G:G,results.txt!$M880)</f>
        <v>#N/A</v>
      </c>
      <c r="T880" t="e">
        <f>INDEX(script.out!H:H,results.txt!$M880)</f>
        <v>#N/A</v>
      </c>
      <c r="U880" t="e">
        <f>INDEX(script.out!I:I,results.txt!$M880)</f>
        <v>#N/A</v>
      </c>
      <c r="V880" t="e">
        <f>INDEX(script.out!J:J,results.txt!$M880)</f>
        <v>#N/A</v>
      </c>
      <c r="W880" t="e">
        <f>INDEX(script.out!K:K,results.txt!$M880)</f>
        <v>#N/A</v>
      </c>
      <c r="X880" t="e">
        <f>INDEX(script.out!L:L,results.txt!$M880)</f>
        <v>#N/A</v>
      </c>
      <c r="Y880" t="e">
        <f>INDEX(script.out!M:M,results.txt!$M880)</f>
        <v>#N/A</v>
      </c>
      <c r="Z880" t="e">
        <f>INDEX(script.out!N:N,results.txt!$M880)</f>
        <v>#N/A</v>
      </c>
      <c r="AA880" t="e">
        <f>INDEX(script.out!O:O,results.txt!$M880)</f>
        <v>#N/A</v>
      </c>
      <c r="AB880" t="e">
        <f>INDEX(script.out!P:P,results.txt!$M880)</f>
        <v>#N/A</v>
      </c>
      <c r="AC880" t="e">
        <f>INDEX(script.out!Q:Q,results.txt!$M880)</f>
        <v>#N/A</v>
      </c>
      <c r="AD880">
        <f t="shared" si="14"/>
        <v>0</v>
      </c>
    </row>
    <row r="881" spans="13:30" x14ac:dyDescent="0.25">
      <c r="M881" t="e">
        <f>MATCH(C881,script.out!B:B,0)</f>
        <v>#N/A</v>
      </c>
      <c r="N881" t="e">
        <f>INDEX(script.out!B:B,results.txt!$M881)</f>
        <v>#N/A</v>
      </c>
      <c r="O881" t="e">
        <f>INDEX(script.out!C:C,results.txt!$M881)</f>
        <v>#N/A</v>
      </c>
      <c r="P881" t="e">
        <f>INDEX(script.out!D:D,results.txt!$M881)</f>
        <v>#N/A</v>
      </c>
      <c r="Q881" t="e">
        <f>INDEX(script.out!E:E,results.txt!$M881)</f>
        <v>#N/A</v>
      </c>
      <c r="R881" t="e">
        <f>INDEX(script.out!F:F,results.txt!$M881)</f>
        <v>#N/A</v>
      </c>
      <c r="S881" t="e">
        <f>INDEX(script.out!G:G,results.txt!$M881)</f>
        <v>#N/A</v>
      </c>
      <c r="T881" t="e">
        <f>INDEX(script.out!H:H,results.txt!$M881)</f>
        <v>#N/A</v>
      </c>
      <c r="U881" t="e">
        <f>INDEX(script.out!I:I,results.txt!$M881)</f>
        <v>#N/A</v>
      </c>
      <c r="V881" t="e">
        <f>INDEX(script.out!J:J,results.txt!$M881)</f>
        <v>#N/A</v>
      </c>
      <c r="W881" t="e">
        <f>INDEX(script.out!K:K,results.txt!$M881)</f>
        <v>#N/A</v>
      </c>
      <c r="X881" t="e">
        <f>INDEX(script.out!L:L,results.txt!$M881)</f>
        <v>#N/A</v>
      </c>
      <c r="Y881" t="e">
        <f>INDEX(script.out!M:M,results.txt!$M881)</f>
        <v>#N/A</v>
      </c>
      <c r="Z881" t="e">
        <f>INDEX(script.out!N:N,results.txt!$M881)</f>
        <v>#N/A</v>
      </c>
      <c r="AA881" t="e">
        <f>INDEX(script.out!O:O,results.txt!$M881)</f>
        <v>#N/A</v>
      </c>
      <c r="AB881" t="e">
        <f>INDEX(script.out!P:P,results.txt!$M881)</f>
        <v>#N/A</v>
      </c>
      <c r="AC881" t="e">
        <f>INDEX(script.out!Q:Q,results.txt!$M881)</f>
        <v>#N/A</v>
      </c>
      <c r="AD881">
        <f t="shared" si="14"/>
        <v>0</v>
      </c>
    </row>
    <row r="882" spans="13:30" x14ac:dyDescent="0.25">
      <c r="M882" t="e">
        <f>MATCH(C882,script.out!B:B,0)</f>
        <v>#N/A</v>
      </c>
      <c r="N882" t="e">
        <f>INDEX(script.out!B:B,results.txt!$M882)</f>
        <v>#N/A</v>
      </c>
      <c r="O882" t="e">
        <f>INDEX(script.out!C:C,results.txt!$M882)</f>
        <v>#N/A</v>
      </c>
      <c r="P882" t="e">
        <f>INDEX(script.out!D:D,results.txt!$M882)</f>
        <v>#N/A</v>
      </c>
      <c r="Q882" t="e">
        <f>INDEX(script.out!E:E,results.txt!$M882)</f>
        <v>#N/A</v>
      </c>
      <c r="R882" t="e">
        <f>INDEX(script.out!F:F,results.txt!$M882)</f>
        <v>#N/A</v>
      </c>
      <c r="S882" t="e">
        <f>INDEX(script.out!G:G,results.txt!$M882)</f>
        <v>#N/A</v>
      </c>
      <c r="T882" t="e">
        <f>INDEX(script.out!H:H,results.txt!$M882)</f>
        <v>#N/A</v>
      </c>
      <c r="U882" t="e">
        <f>INDEX(script.out!I:I,results.txt!$M882)</f>
        <v>#N/A</v>
      </c>
      <c r="V882" t="e">
        <f>INDEX(script.out!J:J,results.txt!$M882)</f>
        <v>#N/A</v>
      </c>
      <c r="W882" t="e">
        <f>INDEX(script.out!K:K,results.txt!$M882)</f>
        <v>#N/A</v>
      </c>
      <c r="X882" t="e">
        <f>INDEX(script.out!L:L,results.txt!$M882)</f>
        <v>#N/A</v>
      </c>
      <c r="Y882" t="e">
        <f>INDEX(script.out!M:M,results.txt!$M882)</f>
        <v>#N/A</v>
      </c>
      <c r="Z882" t="e">
        <f>INDEX(script.out!N:N,results.txt!$M882)</f>
        <v>#N/A</v>
      </c>
      <c r="AA882" t="e">
        <f>INDEX(script.out!O:O,results.txt!$M882)</f>
        <v>#N/A</v>
      </c>
      <c r="AB882" t="e">
        <f>INDEX(script.out!P:P,results.txt!$M882)</f>
        <v>#N/A</v>
      </c>
      <c r="AC882" t="e">
        <f>INDEX(script.out!Q:Q,results.txt!$M882)</f>
        <v>#N/A</v>
      </c>
      <c r="AD882">
        <f t="shared" si="14"/>
        <v>0</v>
      </c>
    </row>
    <row r="883" spans="13:30" x14ac:dyDescent="0.25">
      <c r="M883" t="e">
        <f>MATCH(C883,script.out!B:B,0)</f>
        <v>#N/A</v>
      </c>
      <c r="N883" t="e">
        <f>INDEX(script.out!B:B,results.txt!$M883)</f>
        <v>#N/A</v>
      </c>
      <c r="O883" t="e">
        <f>INDEX(script.out!C:C,results.txt!$M883)</f>
        <v>#N/A</v>
      </c>
      <c r="P883" t="e">
        <f>INDEX(script.out!D:D,results.txt!$M883)</f>
        <v>#N/A</v>
      </c>
      <c r="Q883" t="e">
        <f>INDEX(script.out!E:E,results.txt!$M883)</f>
        <v>#N/A</v>
      </c>
      <c r="R883" t="e">
        <f>INDEX(script.out!F:F,results.txt!$M883)</f>
        <v>#N/A</v>
      </c>
      <c r="S883" t="e">
        <f>INDEX(script.out!G:G,results.txt!$M883)</f>
        <v>#N/A</v>
      </c>
      <c r="T883" t="e">
        <f>INDEX(script.out!H:H,results.txt!$M883)</f>
        <v>#N/A</v>
      </c>
      <c r="U883" t="e">
        <f>INDEX(script.out!I:I,results.txt!$M883)</f>
        <v>#N/A</v>
      </c>
      <c r="V883" t="e">
        <f>INDEX(script.out!J:J,results.txt!$M883)</f>
        <v>#N/A</v>
      </c>
      <c r="W883" t="e">
        <f>INDEX(script.out!K:K,results.txt!$M883)</f>
        <v>#N/A</v>
      </c>
      <c r="X883" t="e">
        <f>INDEX(script.out!L:L,results.txt!$M883)</f>
        <v>#N/A</v>
      </c>
      <c r="Y883" t="e">
        <f>INDEX(script.out!M:M,results.txt!$M883)</f>
        <v>#N/A</v>
      </c>
      <c r="Z883" t="e">
        <f>INDEX(script.out!N:N,results.txt!$M883)</f>
        <v>#N/A</v>
      </c>
      <c r="AA883" t="e">
        <f>INDEX(script.out!O:O,results.txt!$M883)</f>
        <v>#N/A</v>
      </c>
      <c r="AB883" t="e">
        <f>INDEX(script.out!P:P,results.txt!$M883)</f>
        <v>#N/A</v>
      </c>
      <c r="AC883" t="e">
        <f>INDEX(script.out!Q:Q,results.txt!$M883)</f>
        <v>#N/A</v>
      </c>
      <c r="AD883">
        <f t="shared" si="14"/>
        <v>0</v>
      </c>
    </row>
    <row r="884" spans="13:30" x14ac:dyDescent="0.25">
      <c r="M884" t="e">
        <f>MATCH(C884,script.out!B:B,0)</f>
        <v>#N/A</v>
      </c>
      <c r="N884" t="e">
        <f>INDEX(script.out!B:B,results.txt!$M884)</f>
        <v>#N/A</v>
      </c>
      <c r="O884" t="e">
        <f>INDEX(script.out!C:C,results.txt!$M884)</f>
        <v>#N/A</v>
      </c>
      <c r="P884" t="e">
        <f>INDEX(script.out!D:D,results.txt!$M884)</f>
        <v>#N/A</v>
      </c>
      <c r="Q884" t="e">
        <f>INDEX(script.out!E:E,results.txt!$M884)</f>
        <v>#N/A</v>
      </c>
      <c r="R884" t="e">
        <f>INDEX(script.out!F:F,results.txt!$M884)</f>
        <v>#N/A</v>
      </c>
      <c r="S884" t="e">
        <f>INDEX(script.out!G:G,results.txt!$M884)</f>
        <v>#N/A</v>
      </c>
      <c r="T884" t="e">
        <f>INDEX(script.out!H:H,results.txt!$M884)</f>
        <v>#N/A</v>
      </c>
      <c r="U884" t="e">
        <f>INDEX(script.out!I:I,results.txt!$M884)</f>
        <v>#N/A</v>
      </c>
      <c r="V884" t="e">
        <f>INDEX(script.out!J:J,results.txt!$M884)</f>
        <v>#N/A</v>
      </c>
      <c r="W884" t="e">
        <f>INDEX(script.out!K:K,results.txt!$M884)</f>
        <v>#N/A</v>
      </c>
      <c r="X884" t="e">
        <f>INDEX(script.out!L:L,results.txt!$M884)</f>
        <v>#N/A</v>
      </c>
      <c r="Y884" t="e">
        <f>INDEX(script.out!M:M,results.txt!$M884)</f>
        <v>#N/A</v>
      </c>
      <c r="Z884" t="e">
        <f>INDEX(script.out!N:N,results.txt!$M884)</f>
        <v>#N/A</v>
      </c>
      <c r="AA884" t="e">
        <f>INDEX(script.out!O:O,results.txt!$M884)</f>
        <v>#N/A</v>
      </c>
      <c r="AB884" t="e">
        <f>INDEX(script.out!P:P,results.txt!$M884)</f>
        <v>#N/A</v>
      </c>
      <c r="AC884" t="e">
        <f>INDEX(script.out!Q:Q,results.txt!$M884)</f>
        <v>#N/A</v>
      </c>
      <c r="AD884">
        <f t="shared" si="14"/>
        <v>0</v>
      </c>
    </row>
    <row r="885" spans="13:30" x14ac:dyDescent="0.25">
      <c r="M885" t="e">
        <f>MATCH(C885,script.out!B:B,0)</f>
        <v>#N/A</v>
      </c>
      <c r="N885" t="e">
        <f>INDEX(script.out!B:B,results.txt!$M885)</f>
        <v>#N/A</v>
      </c>
      <c r="O885" t="e">
        <f>INDEX(script.out!C:C,results.txt!$M885)</f>
        <v>#N/A</v>
      </c>
      <c r="P885" t="e">
        <f>INDEX(script.out!D:D,results.txt!$M885)</f>
        <v>#N/A</v>
      </c>
      <c r="Q885" t="e">
        <f>INDEX(script.out!E:E,results.txt!$M885)</f>
        <v>#N/A</v>
      </c>
      <c r="R885" t="e">
        <f>INDEX(script.out!F:F,results.txt!$M885)</f>
        <v>#N/A</v>
      </c>
      <c r="S885" t="e">
        <f>INDEX(script.out!G:G,results.txt!$M885)</f>
        <v>#N/A</v>
      </c>
      <c r="T885" t="e">
        <f>INDEX(script.out!H:H,results.txt!$M885)</f>
        <v>#N/A</v>
      </c>
      <c r="U885" t="e">
        <f>INDEX(script.out!I:I,results.txt!$M885)</f>
        <v>#N/A</v>
      </c>
      <c r="V885" t="e">
        <f>INDEX(script.out!J:J,results.txt!$M885)</f>
        <v>#N/A</v>
      </c>
      <c r="W885" t="e">
        <f>INDEX(script.out!K:K,results.txt!$M885)</f>
        <v>#N/A</v>
      </c>
      <c r="X885" t="e">
        <f>INDEX(script.out!L:L,results.txt!$M885)</f>
        <v>#N/A</v>
      </c>
      <c r="Y885" t="e">
        <f>INDEX(script.out!M:M,results.txt!$M885)</f>
        <v>#N/A</v>
      </c>
      <c r="Z885" t="e">
        <f>INDEX(script.out!N:N,results.txt!$M885)</f>
        <v>#N/A</v>
      </c>
      <c r="AA885" t="e">
        <f>INDEX(script.out!O:O,results.txt!$M885)</f>
        <v>#N/A</v>
      </c>
      <c r="AB885" t="e">
        <f>INDEX(script.out!P:P,results.txt!$M885)</f>
        <v>#N/A</v>
      </c>
      <c r="AC885" t="e">
        <f>INDEX(script.out!Q:Q,results.txt!$M885)</f>
        <v>#N/A</v>
      </c>
      <c r="AD885">
        <f t="shared" si="14"/>
        <v>0</v>
      </c>
    </row>
    <row r="886" spans="13:30" x14ac:dyDescent="0.25">
      <c r="M886" t="e">
        <f>MATCH(C886,script.out!B:B,0)</f>
        <v>#N/A</v>
      </c>
      <c r="N886" t="e">
        <f>INDEX(script.out!B:B,results.txt!$M886)</f>
        <v>#N/A</v>
      </c>
      <c r="O886" t="e">
        <f>INDEX(script.out!C:C,results.txt!$M886)</f>
        <v>#N/A</v>
      </c>
      <c r="P886" t="e">
        <f>INDEX(script.out!D:D,results.txt!$M886)</f>
        <v>#N/A</v>
      </c>
      <c r="Q886" t="e">
        <f>INDEX(script.out!E:E,results.txt!$M886)</f>
        <v>#N/A</v>
      </c>
      <c r="R886" t="e">
        <f>INDEX(script.out!F:F,results.txt!$M886)</f>
        <v>#N/A</v>
      </c>
      <c r="S886" t="e">
        <f>INDEX(script.out!G:G,results.txt!$M886)</f>
        <v>#N/A</v>
      </c>
      <c r="T886" t="e">
        <f>INDEX(script.out!H:H,results.txt!$M886)</f>
        <v>#N/A</v>
      </c>
      <c r="U886" t="e">
        <f>INDEX(script.out!I:I,results.txt!$M886)</f>
        <v>#N/A</v>
      </c>
      <c r="V886" t="e">
        <f>INDEX(script.out!J:J,results.txt!$M886)</f>
        <v>#N/A</v>
      </c>
      <c r="W886" t="e">
        <f>INDEX(script.out!K:K,results.txt!$M886)</f>
        <v>#N/A</v>
      </c>
      <c r="X886" t="e">
        <f>INDEX(script.out!L:L,results.txt!$M886)</f>
        <v>#N/A</v>
      </c>
      <c r="Y886" t="e">
        <f>INDEX(script.out!M:M,results.txt!$M886)</f>
        <v>#N/A</v>
      </c>
      <c r="Z886" t="e">
        <f>INDEX(script.out!N:N,results.txt!$M886)</f>
        <v>#N/A</v>
      </c>
      <c r="AA886" t="e">
        <f>INDEX(script.out!O:O,results.txt!$M886)</f>
        <v>#N/A</v>
      </c>
      <c r="AB886" t="e">
        <f>INDEX(script.out!P:P,results.txt!$M886)</f>
        <v>#N/A</v>
      </c>
      <c r="AC886" t="e">
        <f>INDEX(script.out!Q:Q,results.txt!$M886)</f>
        <v>#N/A</v>
      </c>
      <c r="AD886">
        <f t="shared" si="14"/>
        <v>0</v>
      </c>
    </row>
    <row r="887" spans="13:30" x14ac:dyDescent="0.25">
      <c r="M887" t="e">
        <f>MATCH(C887,script.out!B:B,0)</f>
        <v>#N/A</v>
      </c>
      <c r="N887" t="e">
        <f>INDEX(script.out!B:B,results.txt!$M887)</f>
        <v>#N/A</v>
      </c>
      <c r="O887" t="e">
        <f>INDEX(script.out!C:C,results.txt!$M887)</f>
        <v>#N/A</v>
      </c>
      <c r="P887" t="e">
        <f>INDEX(script.out!D:D,results.txt!$M887)</f>
        <v>#N/A</v>
      </c>
      <c r="Q887" t="e">
        <f>INDEX(script.out!E:E,results.txt!$M887)</f>
        <v>#N/A</v>
      </c>
      <c r="R887" t="e">
        <f>INDEX(script.out!F:F,results.txt!$M887)</f>
        <v>#N/A</v>
      </c>
      <c r="S887" t="e">
        <f>INDEX(script.out!G:G,results.txt!$M887)</f>
        <v>#N/A</v>
      </c>
      <c r="T887" t="e">
        <f>INDEX(script.out!H:H,results.txt!$M887)</f>
        <v>#N/A</v>
      </c>
      <c r="U887" t="e">
        <f>INDEX(script.out!I:I,results.txt!$M887)</f>
        <v>#N/A</v>
      </c>
      <c r="V887" t="e">
        <f>INDEX(script.out!J:J,results.txt!$M887)</f>
        <v>#N/A</v>
      </c>
      <c r="W887" t="e">
        <f>INDEX(script.out!K:K,results.txt!$M887)</f>
        <v>#N/A</v>
      </c>
      <c r="X887" t="e">
        <f>INDEX(script.out!L:L,results.txt!$M887)</f>
        <v>#N/A</v>
      </c>
      <c r="Y887" t="e">
        <f>INDEX(script.out!M:M,results.txt!$M887)</f>
        <v>#N/A</v>
      </c>
      <c r="Z887" t="e">
        <f>INDEX(script.out!N:N,results.txt!$M887)</f>
        <v>#N/A</v>
      </c>
      <c r="AA887" t="e">
        <f>INDEX(script.out!O:O,results.txt!$M887)</f>
        <v>#N/A</v>
      </c>
      <c r="AB887" t="e">
        <f>INDEX(script.out!P:P,results.txt!$M887)</f>
        <v>#N/A</v>
      </c>
      <c r="AC887" t="e">
        <f>INDEX(script.out!Q:Q,results.txt!$M887)</f>
        <v>#N/A</v>
      </c>
      <c r="AD887">
        <f t="shared" si="14"/>
        <v>0</v>
      </c>
    </row>
    <row r="888" spans="13:30" x14ac:dyDescent="0.25">
      <c r="M888" t="e">
        <f>MATCH(C888,script.out!B:B,0)</f>
        <v>#N/A</v>
      </c>
      <c r="N888" t="e">
        <f>INDEX(script.out!B:B,results.txt!$M888)</f>
        <v>#N/A</v>
      </c>
      <c r="O888" t="e">
        <f>INDEX(script.out!C:C,results.txt!$M888)</f>
        <v>#N/A</v>
      </c>
      <c r="P888" t="e">
        <f>INDEX(script.out!D:D,results.txt!$M888)</f>
        <v>#N/A</v>
      </c>
      <c r="Q888" t="e">
        <f>INDEX(script.out!E:E,results.txt!$M888)</f>
        <v>#N/A</v>
      </c>
      <c r="R888" t="e">
        <f>INDEX(script.out!F:F,results.txt!$M888)</f>
        <v>#N/A</v>
      </c>
      <c r="S888" t="e">
        <f>INDEX(script.out!G:G,results.txt!$M888)</f>
        <v>#N/A</v>
      </c>
      <c r="T888" t="e">
        <f>INDEX(script.out!H:H,results.txt!$M888)</f>
        <v>#N/A</v>
      </c>
      <c r="U888" t="e">
        <f>INDEX(script.out!I:I,results.txt!$M888)</f>
        <v>#N/A</v>
      </c>
      <c r="V888" t="e">
        <f>INDEX(script.out!J:J,results.txt!$M888)</f>
        <v>#N/A</v>
      </c>
      <c r="W888" t="e">
        <f>INDEX(script.out!K:K,results.txt!$M888)</f>
        <v>#N/A</v>
      </c>
      <c r="X888" t="e">
        <f>INDEX(script.out!L:L,results.txt!$M888)</f>
        <v>#N/A</v>
      </c>
      <c r="Y888" t="e">
        <f>INDEX(script.out!M:M,results.txt!$M888)</f>
        <v>#N/A</v>
      </c>
      <c r="Z888" t="e">
        <f>INDEX(script.out!N:N,results.txt!$M888)</f>
        <v>#N/A</v>
      </c>
      <c r="AA888" t="e">
        <f>INDEX(script.out!O:O,results.txt!$M888)</f>
        <v>#N/A</v>
      </c>
      <c r="AB888" t="e">
        <f>INDEX(script.out!P:P,results.txt!$M888)</f>
        <v>#N/A</v>
      </c>
      <c r="AC888" t="e">
        <f>INDEX(script.out!Q:Q,results.txt!$M888)</f>
        <v>#N/A</v>
      </c>
      <c r="AD888">
        <f t="shared" si="14"/>
        <v>0</v>
      </c>
    </row>
    <row r="889" spans="13:30" x14ac:dyDescent="0.25">
      <c r="M889" t="e">
        <f>MATCH(C889,script.out!B:B,0)</f>
        <v>#N/A</v>
      </c>
      <c r="N889" t="e">
        <f>INDEX(script.out!B:B,results.txt!$M889)</f>
        <v>#N/A</v>
      </c>
      <c r="O889" t="e">
        <f>INDEX(script.out!C:C,results.txt!$M889)</f>
        <v>#N/A</v>
      </c>
      <c r="P889" t="e">
        <f>INDEX(script.out!D:D,results.txt!$M889)</f>
        <v>#N/A</v>
      </c>
      <c r="Q889" t="e">
        <f>INDEX(script.out!E:E,results.txt!$M889)</f>
        <v>#N/A</v>
      </c>
      <c r="R889" t="e">
        <f>INDEX(script.out!F:F,results.txt!$M889)</f>
        <v>#N/A</v>
      </c>
      <c r="S889" t="e">
        <f>INDEX(script.out!G:G,results.txt!$M889)</f>
        <v>#N/A</v>
      </c>
      <c r="T889" t="e">
        <f>INDEX(script.out!H:H,results.txt!$M889)</f>
        <v>#N/A</v>
      </c>
      <c r="U889" t="e">
        <f>INDEX(script.out!I:I,results.txt!$M889)</f>
        <v>#N/A</v>
      </c>
      <c r="V889" t="e">
        <f>INDEX(script.out!J:J,results.txt!$M889)</f>
        <v>#N/A</v>
      </c>
      <c r="W889" t="e">
        <f>INDEX(script.out!K:K,results.txt!$M889)</f>
        <v>#N/A</v>
      </c>
      <c r="X889" t="e">
        <f>INDEX(script.out!L:L,results.txt!$M889)</f>
        <v>#N/A</v>
      </c>
      <c r="Y889" t="e">
        <f>INDEX(script.out!M:M,results.txt!$M889)</f>
        <v>#N/A</v>
      </c>
      <c r="Z889" t="e">
        <f>INDEX(script.out!N:N,results.txt!$M889)</f>
        <v>#N/A</v>
      </c>
      <c r="AA889" t="e">
        <f>INDEX(script.out!O:O,results.txt!$M889)</f>
        <v>#N/A</v>
      </c>
      <c r="AB889" t="e">
        <f>INDEX(script.out!P:P,results.txt!$M889)</f>
        <v>#N/A</v>
      </c>
      <c r="AC889" t="e">
        <f>INDEX(script.out!Q:Q,results.txt!$M889)</f>
        <v>#N/A</v>
      </c>
      <c r="AD889">
        <f t="shared" si="14"/>
        <v>0</v>
      </c>
    </row>
    <row r="890" spans="13:30" x14ac:dyDescent="0.25">
      <c r="M890" t="e">
        <f>MATCH(C890,script.out!B:B,0)</f>
        <v>#N/A</v>
      </c>
      <c r="N890" t="e">
        <f>INDEX(script.out!B:B,results.txt!$M890)</f>
        <v>#N/A</v>
      </c>
      <c r="O890" t="e">
        <f>INDEX(script.out!C:C,results.txt!$M890)</f>
        <v>#N/A</v>
      </c>
      <c r="P890" t="e">
        <f>INDEX(script.out!D:D,results.txt!$M890)</f>
        <v>#N/A</v>
      </c>
      <c r="Q890" t="e">
        <f>INDEX(script.out!E:E,results.txt!$M890)</f>
        <v>#N/A</v>
      </c>
      <c r="R890" t="e">
        <f>INDEX(script.out!F:F,results.txt!$M890)</f>
        <v>#N/A</v>
      </c>
      <c r="S890" t="e">
        <f>INDEX(script.out!G:G,results.txt!$M890)</f>
        <v>#N/A</v>
      </c>
      <c r="T890" t="e">
        <f>INDEX(script.out!H:H,results.txt!$M890)</f>
        <v>#N/A</v>
      </c>
      <c r="U890" t="e">
        <f>INDEX(script.out!I:I,results.txt!$M890)</f>
        <v>#N/A</v>
      </c>
      <c r="V890" t="e">
        <f>INDEX(script.out!J:J,results.txt!$M890)</f>
        <v>#N/A</v>
      </c>
      <c r="W890" t="e">
        <f>INDEX(script.out!K:K,results.txt!$M890)</f>
        <v>#N/A</v>
      </c>
      <c r="X890" t="e">
        <f>INDEX(script.out!L:L,results.txt!$M890)</f>
        <v>#N/A</v>
      </c>
      <c r="Y890" t="e">
        <f>INDEX(script.out!M:M,results.txt!$M890)</f>
        <v>#N/A</v>
      </c>
      <c r="Z890" t="e">
        <f>INDEX(script.out!N:N,results.txt!$M890)</f>
        <v>#N/A</v>
      </c>
      <c r="AA890" t="e">
        <f>INDEX(script.out!O:O,results.txt!$M890)</f>
        <v>#N/A</v>
      </c>
      <c r="AB890" t="e">
        <f>INDEX(script.out!P:P,results.txt!$M890)</f>
        <v>#N/A</v>
      </c>
      <c r="AC890" t="e">
        <f>INDEX(script.out!Q:Q,results.txt!$M890)</f>
        <v>#N/A</v>
      </c>
      <c r="AD890">
        <f t="shared" si="14"/>
        <v>0</v>
      </c>
    </row>
    <row r="891" spans="13:30" x14ac:dyDescent="0.25">
      <c r="M891" t="e">
        <f>MATCH(C891,script.out!B:B,0)</f>
        <v>#N/A</v>
      </c>
      <c r="N891" t="e">
        <f>INDEX(script.out!B:B,results.txt!$M891)</f>
        <v>#N/A</v>
      </c>
      <c r="O891" t="e">
        <f>INDEX(script.out!C:C,results.txt!$M891)</f>
        <v>#N/A</v>
      </c>
      <c r="P891" t="e">
        <f>INDEX(script.out!D:D,results.txt!$M891)</f>
        <v>#N/A</v>
      </c>
      <c r="Q891" t="e">
        <f>INDEX(script.out!E:E,results.txt!$M891)</f>
        <v>#N/A</v>
      </c>
      <c r="R891" t="e">
        <f>INDEX(script.out!F:F,results.txt!$M891)</f>
        <v>#N/A</v>
      </c>
      <c r="S891" t="e">
        <f>INDEX(script.out!G:G,results.txt!$M891)</f>
        <v>#N/A</v>
      </c>
      <c r="T891" t="e">
        <f>INDEX(script.out!H:H,results.txt!$M891)</f>
        <v>#N/A</v>
      </c>
      <c r="U891" t="e">
        <f>INDEX(script.out!I:I,results.txt!$M891)</f>
        <v>#N/A</v>
      </c>
      <c r="V891" t="e">
        <f>INDEX(script.out!J:J,results.txt!$M891)</f>
        <v>#N/A</v>
      </c>
      <c r="W891" t="e">
        <f>INDEX(script.out!K:K,results.txt!$M891)</f>
        <v>#N/A</v>
      </c>
      <c r="X891" t="e">
        <f>INDEX(script.out!L:L,results.txt!$M891)</f>
        <v>#N/A</v>
      </c>
      <c r="Y891" t="e">
        <f>INDEX(script.out!M:M,results.txt!$M891)</f>
        <v>#N/A</v>
      </c>
      <c r="Z891" t="e">
        <f>INDEX(script.out!N:N,results.txt!$M891)</f>
        <v>#N/A</v>
      </c>
      <c r="AA891" t="e">
        <f>INDEX(script.out!O:O,results.txt!$M891)</f>
        <v>#N/A</v>
      </c>
      <c r="AB891" t="e">
        <f>INDEX(script.out!P:P,results.txt!$M891)</f>
        <v>#N/A</v>
      </c>
      <c r="AC891" t="e">
        <f>INDEX(script.out!Q:Q,results.txt!$M891)</f>
        <v>#N/A</v>
      </c>
      <c r="AD891">
        <f t="shared" si="14"/>
        <v>0</v>
      </c>
    </row>
    <row r="892" spans="13:30" x14ac:dyDescent="0.25">
      <c r="M892" t="e">
        <f>MATCH(C892,script.out!B:B,0)</f>
        <v>#N/A</v>
      </c>
      <c r="N892" t="e">
        <f>INDEX(script.out!B:B,results.txt!$M892)</f>
        <v>#N/A</v>
      </c>
      <c r="O892" t="e">
        <f>INDEX(script.out!C:C,results.txt!$M892)</f>
        <v>#N/A</v>
      </c>
      <c r="P892" t="e">
        <f>INDEX(script.out!D:D,results.txt!$M892)</f>
        <v>#N/A</v>
      </c>
      <c r="Q892" t="e">
        <f>INDEX(script.out!E:E,results.txt!$M892)</f>
        <v>#N/A</v>
      </c>
      <c r="R892" t="e">
        <f>INDEX(script.out!F:F,results.txt!$M892)</f>
        <v>#N/A</v>
      </c>
      <c r="S892" t="e">
        <f>INDEX(script.out!G:G,results.txt!$M892)</f>
        <v>#N/A</v>
      </c>
      <c r="T892" t="e">
        <f>INDEX(script.out!H:H,results.txt!$M892)</f>
        <v>#N/A</v>
      </c>
      <c r="U892" t="e">
        <f>INDEX(script.out!I:I,results.txt!$M892)</f>
        <v>#N/A</v>
      </c>
      <c r="V892" t="e">
        <f>INDEX(script.out!J:J,results.txt!$M892)</f>
        <v>#N/A</v>
      </c>
      <c r="W892" t="e">
        <f>INDEX(script.out!K:K,results.txt!$M892)</f>
        <v>#N/A</v>
      </c>
      <c r="X892" t="e">
        <f>INDEX(script.out!L:L,results.txt!$M892)</f>
        <v>#N/A</v>
      </c>
      <c r="Y892" t="e">
        <f>INDEX(script.out!M:M,results.txt!$M892)</f>
        <v>#N/A</v>
      </c>
      <c r="Z892" t="e">
        <f>INDEX(script.out!N:N,results.txt!$M892)</f>
        <v>#N/A</v>
      </c>
      <c r="AA892" t="e">
        <f>INDEX(script.out!O:O,results.txt!$M892)</f>
        <v>#N/A</v>
      </c>
      <c r="AB892" t="e">
        <f>INDEX(script.out!P:P,results.txt!$M892)</f>
        <v>#N/A</v>
      </c>
      <c r="AC892" t="e">
        <f>INDEX(script.out!Q:Q,results.txt!$M892)</f>
        <v>#N/A</v>
      </c>
      <c r="AD892">
        <f t="shared" si="14"/>
        <v>0</v>
      </c>
    </row>
    <row r="893" spans="13:30" x14ac:dyDescent="0.25">
      <c r="M893" t="e">
        <f>MATCH(C893,script.out!B:B,0)</f>
        <v>#N/A</v>
      </c>
      <c r="N893" t="e">
        <f>INDEX(script.out!B:B,results.txt!$M893)</f>
        <v>#N/A</v>
      </c>
      <c r="O893" t="e">
        <f>INDEX(script.out!C:C,results.txt!$M893)</f>
        <v>#N/A</v>
      </c>
      <c r="P893" t="e">
        <f>INDEX(script.out!D:D,results.txt!$M893)</f>
        <v>#N/A</v>
      </c>
      <c r="Q893" t="e">
        <f>INDEX(script.out!E:E,results.txt!$M893)</f>
        <v>#N/A</v>
      </c>
      <c r="R893" t="e">
        <f>INDEX(script.out!F:F,results.txt!$M893)</f>
        <v>#N/A</v>
      </c>
      <c r="S893" t="e">
        <f>INDEX(script.out!G:G,results.txt!$M893)</f>
        <v>#N/A</v>
      </c>
      <c r="T893" t="e">
        <f>INDEX(script.out!H:H,results.txt!$M893)</f>
        <v>#N/A</v>
      </c>
      <c r="U893" t="e">
        <f>INDEX(script.out!I:I,results.txt!$M893)</f>
        <v>#N/A</v>
      </c>
      <c r="V893" t="e">
        <f>INDEX(script.out!J:J,results.txt!$M893)</f>
        <v>#N/A</v>
      </c>
      <c r="W893" t="e">
        <f>INDEX(script.out!K:K,results.txt!$M893)</f>
        <v>#N/A</v>
      </c>
      <c r="X893" t="e">
        <f>INDEX(script.out!L:L,results.txt!$M893)</f>
        <v>#N/A</v>
      </c>
      <c r="Y893" t="e">
        <f>INDEX(script.out!M:M,results.txt!$M893)</f>
        <v>#N/A</v>
      </c>
      <c r="Z893" t="e">
        <f>INDEX(script.out!N:N,results.txt!$M893)</f>
        <v>#N/A</v>
      </c>
      <c r="AA893" t="e">
        <f>INDEX(script.out!O:O,results.txt!$M893)</f>
        <v>#N/A</v>
      </c>
      <c r="AB893" t="e">
        <f>INDEX(script.out!P:P,results.txt!$M893)</f>
        <v>#N/A</v>
      </c>
      <c r="AC893" t="e">
        <f>INDEX(script.out!Q:Q,results.txt!$M893)</f>
        <v>#N/A</v>
      </c>
      <c r="AD893">
        <f t="shared" si="14"/>
        <v>0</v>
      </c>
    </row>
    <row r="894" spans="13:30" x14ac:dyDescent="0.25">
      <c r="M894" t="e">
        <f>MATCH(C894,script.out!B:B,0)</f>
        <v>#N/A</v>
      </c>
      <c r="N894" t="e">
        <f>INDEX(script.out!B:B,results.txt!$M894)</f>
        <v>#N/A</v>
      </c>
      <c r="O894" t="e">
        <f>INDEX(script.out!C:C,results.txt!$M894)</f>
        <v>#N/A</v>
      </c>
      <c r="P894" t="e">
        <f>INDEX(script.out!D:D,results.txt!$M894)</f>
        <v>#N/A</v>
      </c>
      <c r="Q894" t="e">
        <f>INDEX(script.out!E:E,results.txt!$M894)</f>
        <v>#N/A</v>
      </c>
      <c r="R894" t="e">
        <f>INDEX(script.out!F:F,results.txt!$M894)</f>
        <v>#N/A</v>
      </c>
      <c r="S894" t="e">
        <f>INDEX(script.out!G:G,results.txt!$M894)</f>
        <v>#N/A</v>
      </c>
      <c r="T894" t="e">
        <f>INDEX(script.out!H:H,results.txt!$M894)</f>
        <v>#N/A</v>
      </c>
      <c r="U894" t="e">
        <f>INDEX(script.out!I:I,results.txt!$M894)</f>
        <v>#N/A</v>
      </c>
      <c r="V894" t="e">
        <f>INDEX(script.out!J:J,results.txt!$M894)</f>
        <v>#N/A</v>
      </c>
      <c r="W894" t="e">
        <f>INDEX(script.out!K:K,results.txt!$M894)</f>
        <v>#N/A</v>
      </c>
      <c r="X894" t="e">
        <f>INDEX(script.out!L:L,results.txt!$M894)</f>
        <v>#N/A</v>
      </c>
      <c r="Y894" t="e">
        <f>INDEX(script.out!M:M,results.txt!$M894)</f>
        <v>#N/A</v>
      </c>
      <c r="Z894" t="e">
        <f>INDEX(script.out!N:N,results.txt!$M894)</f>
        <v>#N/A</v>
      </c>
      <c r="AA894" t="e">
        <f>INDEX(script.out!O:O,results.txt!$M894)</f>
        <v>#N/A</v>
      </c>
      <c r="AB894" t="e">
        <f>INDEX(script.out!P:P,results.txt!$M894)</f>
        <v>#N/A</v>
      </c>
      <c r="AC894" t="e">
        <f>INDEX(script.out!Q:Q,results.txt!$M894)</f>
        <v>#N/A</v>
      </c>
      <c r="AD894">
        <f t="shared" si="14"/>
        <v>0</v>
      </c>
    </row>
    <row r="895" spans="13:30" x14ac:dyDescent="0.25">
      <c r="M895" t="e">
        <f>MATCH(C895,script.out!B:B,0)</f>
        <v>#N/A</v>
      </c>
      <c r="N895" t="e">
        <f>INDEX(script.out!B:B,results.txt!$M895)</f>
        <v>#N/A</v>
      </c>
      <c r="O895" t="e">
        <f>INDEX(script.out!C:C,results.txt!$M895)</f>
        <v>#N/A</v>
      </c>
      <c r="P895" t="e">
        <f>INDEX(script.out!D:D,results.txt!$M895)</f>
        <v>#N/A</v>
      </c>
      <c r="Q895" t="e">
        <f>INDEX(script.out!E:E,results.txt!$M895)</f>
        <v>#N/A</v>
      </c>
      <c r="R895" t="e">
        <f>INDEX(script.out!F:F,results.txt!$M895)</f>
        <v>#N/A</v>
      </c>
      <c r="S895" t="e">
        <f>INDEX(script.out!G:G,results.txt!$M895)</f>
        <v>#N/A</v>
      </c>
      <c r="T895" t="e">
        <f>INDEX(script.out!H:H,results.txt!$M895)</f>
        <v>#N/A</v>
      </c>
      <c r="U895" t="e">
        <f>INDEX(script.out!I:I,results.txt!$M895)</f>
        <v>#N/A</v>
      </c>
      <c r="V895" t="e">
        <f>INDEX(script.out!J:J,results.txt!$M895)</f>
        <v>#N/A</v>
      </c>
      <c r="W895" t="e">
        <f>INDEX(script.out!K:K,results.txt!$M895)</f>
        <v>#N/A</v>
      </c>
      <c r="X895" t="e">
        <f>INDEX(script.out!L:L,results.txt!$M895)</f>
        <v>#N/A</v>
      </c>
      <c r="Y895" t="e">
        <f>INDEX(script.out!M:M,results.txt!$M895)</f>
        <v>#N/A</v>
      </c>
      <c r="Z895" t="e">
        <f>INDEX(script.out!N:N,results.txt!$M895)</f>
        <v>#N/A</v>
      </c>
      <c r="AA895" t="e">
        <f>INDEX(script.out!O:O,results.txt!$M895)</f>
        <v>#N/A</v>
      </c>
      <c r="AB895" t="e">
        <f>INDEX(script.out!P:P,results.txt!$M895)</f>
        <v>#N/A</v>
      </c>
      <c r="AC895" t="e">
        <f>INDEX(script.out!Q:Q,results.txt!$M895)</f>
        <v>#N/A</v>
      </c>
      <c r="AD895">
        <f t="shared" si="14"/>
        <v>0</v>
      </c>
    </row>
    <row r="896" spans="13:30" x14ac:dyDescent="0.25">
      <c r="M896" t="e">
        <f>MATCH(C896,script.out!B:B,0)</f>
        <v>#N/A</v>
      </c>
      <c r="N896" t="e">
        <f>INDEX(script.out!B:B,results.txt!$M896)</f>
        <v>#N/A</v>
      </c>
      <c r="O896" t="e">
        <f>INDEX(script.out!C:C,results.txt!$M896)</f>
        <v>#N/A</v>
      </c>
      <c r="P896" t="e">
        <f>INDEX(script.out!D:D,results.txt!$M896)</f>
        <v>#N/A</v>
      </c>
      <c r="Q896" t="e">
        <f>INDEX(script.out!E:E,results.txt!$M896)</f>
        <v>#N/A</v>
      </c>
      <c r="R896" t="e">
        <f>INDEX(script.out!F:F,results.txt!$M896)</f>
        <v>#N/A</v>
      </c>
      <c r="S896" t="e">
        <f>INDEX(script.out!G:G,results.txt!$M896)</f>
        <v>#N/A</v>
      </c>
      <c r="T896" t="e">
        <f>INDEX(script.out!H:H,results.txt!$M896)</f>
        <v>#N/A</v>
      </c>
      <c r="U896" t="e">
        <f>INDEX(script.out!I:I,results.txt!$M896)</f>
        <v>#N/A</v>
      </c>
      <c r="V896" t="e">
        <f>INDEX(script.out!J:J,results.txt!$M896)</f>
        <v>#N/A</v>
      </c>
      <c r="W896" t="e">
        <f>INDEX(script.out!K:K,results.txt!$M896)</f>
        <v>#N/A</v>
      </c>
      <c r="X896" t="e">
        <f>INDEX(script.out!L:L,results.txt!$M896)</f>
        <v>#N/A</v>
      </c>
      <c r="Y896" t="e">
        <f>INDEX(script.out!M:M,results.txt!$M896)</f>
        <v>#N/A</v>
      </c>
      <c r="Z896" t="e">
        <f>INDEX(script.out!N:N,results.txt!$M896)</f>
        <v>#N/A</v>
      </c>
      <c r="AA896" t="e">
        <f>INDEX(script.out!O:O,results.txt!$M896)</f>
        <v>#N/A</v>
      </c>
      <c r="AB896" t="e">
        <f>INDEX(script.out!P:P,results.txt!$M896)</f>
        <v>#N/A</v>
      </c>
      <c r="AC896" t="e">
        <f>INDEX(script.out!Q:Q,results.txt!$M896)</f>
        <v>#N/A</v>
      </c>
      <c r="AD896">
        <f t="shared" si="14"/>
        <v>0</v>
      </c>
    </row>
    <row r="897" spans="13:30" x14ac:dyDescent="0.25">
      <c r="M897" t="e">
        <f>MATCH(C897,script.out!B:B,0)</f>
        <v>#N/A</v>
      </c>
      <c r="N897" t="e">
        <f>INDEX(script.out!B:B,results.txt!$M897)</f>
        <v>#N/A</v>
      </c>
      <c r="O897" t="e">
        <f>INDEX(script.out!C:C,results.txt!$M897)</f>
        <v>#N/A</v>
      </c>
      <c r="P897" t="e">
        <f>INDEX(script.out!D:D,results.txt!$M897)</f>
        <v>#N/A</v>
      </c>
      <c r="Q897" t="e">
        <f>INDEX(script.out!E:E,results.txt!$M897)</f>
        <v>#N/A</v>
      </c>
      <c r="R897" t="e">
        <f>INDEX(script.out!F:F,results.txt!$M897)</f>
        <v>#N/A</v>
      </c>
      <c r="S897" t="e">
        <f>INDEX(script.out!G:G,results.txt!$M897)</f>
        <v>#N/A</v>
      </c>
      <c r="T897" t="e">
        <f>INDEX(script.out!H:H,results.txt!$M897)</f>
        <v>#N/A</v>
      </c>
      <c r="U897" t="e">
        <f>INDEX(script.out!I:I,results.txt!$M897)</f>
        <v>#N/A</v>
      </c>
      <c r="V897" t="e">
        <f>INDEX(script.out!J:J,results.txt!$M897)</f>
        <v>#N/A</v>
      </c>
      <c r="W897" t="e">
        <f>INDEX(script.out!K:K,results.txt!$M897)</f>
        <v>#N/A</v>
      </c>
      <c r="X897" t="e">
        <f>INDEX(script.out!L:L,results.txt!$M897)</f>
        <v>#N/A</v>
      </c>
      <c r="Y897" t="e">
        <f>INDEX(script.out!M:M,results.txt!$M897)</f>
        <v>#N/A</v>
      </c>
      <c r="Z897" t="e">
        <f>INDEX(script.out!N:N,results.txt!$M897)</f>
        <v>#N/A</v>
      </c>
      <c r="AA897" t="e">
        <f>INDEX(script.out!O:O,results.txt!$M897)</f>
        <v>#N/A</v>
      </c>
      <c r="AB897" t="e">
        <f>INDEX(script.out!P:P,results.txt!$M897)</f>
        <v>#N/A</v>
      </c>
      <c r="AC897" t="e">
        <f>INDEX(script.out!Q:Q,results.txt!$M897)</f>
        <v>#N/A</v>
      </c>
      <c r="AD897">
        <f t="shared" si="14"/>
        <v>0</v>
      </c>
    </row>
    <row r="898" spans="13:30" x14ac:dyDescent="0.25">
      <c r="M898" t="e">
        <f>MATCH(C898,script.out!B:B,0)</f>
        <v>#N/A</v>
      </c>
      <c r="N898" t="e">
        <f>INDEX(script.out!B:B,results.txt!$M898)</f>
        <v>#N/A</v>
      </c>
      <c r="O898" t="e">
        <f>INDEX(script.out!C:C,results.txt!$M898)</f>
        <v>#N/A</v>
      </c>
      <c r="P898" t="e">
        <f>INDEX(script.out!D:D,results.txt!$M898)</f>
        <v>#N/A</v>
      </c>
      <c r="Q898" t="e">
        <f>INDEX(script.out!E:E,results.txt!$M898)</f>
        <v>#N/A</v>
      </c>
      <c r="R898" t="e">
        <f>INDEX(script.out!F:F,results.txt!$M898)</f>
        <v>#N/A</v>
      </c>
      <c r="S898" t="e">
        <f>INDEX(script.out!G:G,results.txt!$M898)</f>
        <v>#N/A</v>
      </c>
      <c r="T898" t="e">
        <f>INDEX(script.out!H:H,results.txt!$M898)</f>
        <v>#N/A</v>
      </c>
      <c r="U898" t="e">
        <f>INDEX(script.out!I:I,results.txt!$M898)</f>
        <v>#N/A</v>
      </c>
      <c r="V898" t="e">
        <f>INDEX(script.out!J:J,results.txt!$M898)</f>
        <v>#N/A</v>
      </c>
      <c r="W898" t="e">
        <f>INDEX(script.out!K:K,results.txt!$M898)</f>
        <v>#N/A</v>
      </c>
      <c r="X898" t="e">
        <f>INDEX(script.out!L:L,results.txt!$M898)</f>
        <v>#N/A</v>
      </c>
      <c r="Y898" t="e">
        <f>INDEX(script.out!M:M,results.txt!$M898)</f>
        <v>#N/A</v>
      </c>
      <c r="Z898" t="e">
        <f>INDEX(script.out!N:N,results.txt!$M898)</f>
        <v>#N/A</v>
      </c>
      <c r="AA898" t="e">
        <f>INDEX(script.out!O:O,results.txt!$M898)</f>
        <v>#N/A</v>
      </c>
      <c r="AB898" t="e">
        <f>INDEX(script.out!P:P,results.txt!$M898)</f>
        <v>#N/A</v>
      </c>
      <c r="AC898" t="e">
        <f>INDEX(script.out!Q:Q,results.txt!$M898)</f>
        <v>#N/A</v>
      </c>
      <c r="AD898">
        <f t="shared" si="14"/>
        <v>0</v>
      </c>
    </row>
    <row r="899" spans="13:30" x14ac:dyDescent="0.25">
      <c r="M899" t="e">
        <f>MATCH(C899,script.out!B:B,0)</f>
        <v>#N/A</v>
      </c>
      <c r="N899" t="e">
        <f>INDEX(script.out!B:B,results.txt!$M899)</f>
        <v>#N/A</v>
      </c>
      <c r="O899" t="e">
        <f>INDEX(script.out!C:C,results.txt!$M899)</f>
        <v>#N/A</v>
      </c>
      <c r="P899" t="e">
        <f>INDEX(script.out!D:D,results.txt!$M899)</f>
        <v>#N/A</v>
      </c>
      <c r="Q899" t="e">
        <f>INDEX(script.out!E:E,results.txt!$M899)</f>
        <v>#N/A</v>
      </c>
      <c r="R899" t="e">
        <f>INDEX(script.out!F:F,results.txt!$M899)</f>
        <v>#N/A</v>
      </c>
      <c r="S899" t="e">
        <f>INDEX(script.out!G:G,results.txt!$M899)</f>
        <v>#N/A</v>
      </c>
      <c r="T899" t="e">
        <f>INDEX(script.out!H:H,results.txt!$M899)</f>
        <v>#N/A</v>
      </c>
      <c r="U899" t="e">
        <f>INDEX(script.out!I:I,results.txt!$M899)</f>
        <v>#N/A</v>
      </c>
      <c r="V899" t="e">
        <f>INDEX(script.out!J:J,results.txt!$M899)</f>
        <v>#N/A</v>
      </c>
      <c r="W899" t="e">
        <f>INDEX(script.out!K:K,results.txt!$M899)</f>
        <v>#N/A</v>
      </c>
      <c r="X899" t="e">
        <f>INDEX(script.out!L:L,results.txt!$M899)</f>
        <v>#N/A</v>
      </c>
      <c r="Y899" t="e">
        <f>INDEX(script.out!M:M,results.txt!$M899)</f>
        <v>#N/A</v>
      </c>
      <c r="Z899" t="e">
        <f>INDEX(script.out!N:N,results.txt!$M899)</f>
        <v>#N/A</v>
      </c>
      <c r="AA899" t="e">
        <f>INDEX(script.out!O:O,results.txt!$M899)</f>
        <v>#N/A</v>
      </c>
      <c r="AB899" t="e">
        <f>INDEX(script.out!P:P,results.txt!$M899)</f>
        <v>#N/A</v>
      </c>
      <c r="AC899" t="e">
        <f>INDEX(script.out!Q:Q,results.txt!$M899)</f>
        <v>#N/A</v>
      </c>
      <c r="AD899">
        <f t="shared" si="14"/>
        <v>0</v>
      </c>
    </row>
    <row r="900" spans="13:30" x14ac:dyDescent="0.25">
      <c r="M900" t="e">
        <f>MATCH(C900,script.out!B:B,0)</f>
        <v>#N/A</v>
      </c>
      <c r="N900" t="e">
        <f>INDEX(script.out!B:B,results.txt!$M900)</f>
        <v>#N/A</v>
      </c>
      <c r="O900" t="e">
        <f>INDEX(script.out!C:C,results.txt!$M900)</f>
        <v>#N/A</v>
      </c>
      <c r="P900" t="e">
        <f>INDEX(script.out!D:D,results.txt!$M900)</f>
        <v>#N/A</v>
      </c>
      <c r="Q900" t="e">
        <f>INDEX(script.out!E:E,results.txt!$M900)</f>
        <v>#N/A</v>
      </c>
      <c r="R900" t="e">
        <f>INDEX(script.out!F:F,results.txt!$M900)</f>
        <v>#N/A</v>
      </c>
      <c r="S900" t="e">
        <f>INDEX(script.out!G:G,results.txt!$M900)</f>
        <v>#N/A</v>
      </c>
      <c r="T900" t="e">
        <f>INDEX(script.out!H:H,results.txt!$M900)</f>
        <v>#N/A</v>
      </c>
      <c r="U900" t="e">
        <f>INDEX(script.out!I:I,results.txt!$M900)</f>
        <v>#N/A</v>
      </c>
      <c r="V900" t="e">
        <f>INDEX(script.out!J:J,results.txt!$M900)</f>
        <v>#N/A</v>
      </c>
      <c r="W900" t="e">
        <f>INDEX(script.out!K:K,results.txt!$M900)</f>
        <v>#N/A</v>
      </c>
      <c r="X900" t="e">
        <f>INDEX(script.out!L:L,results.txt!$M900)</f>
        <v>#N/A</v>
      </c>
      <c r="Y900" t="e">
        <f>INDEX(script.out!M:M,results.txt!$M900)</f>
        <v>#N/A</v>
      </c>
      <c r="Z900" t="e">
        <f>INDEX(script.out!N:N,results.txt!$M900)</f>
        <v>#N/A</v>
      </c>
      <c r="AA900" t="e">
        <f>INDEX(script.out!O:O,results.txt!$M900)</f>
        <v>#N/A</v>
      </c>
      <c r="AB900" t="e">
        <f>INDEX(script.out!P:P,results.txt!$M900)</f>
        <v>#N/A</v>
      </c>
      <c r="AC900" t="e">
        <f>INDEX(script.out!Q:Q,results.txt!$M900)</f>
        <v>#N/A</v>
      </c>
      <c r="AD900">
        <f t="shared" si="14"/>
        <v>0</v>
      </c>
    </row>
    <row r="901" spans="13:30" x14ac:dyDescent="0.25">
      <c r="M901" t="e">
        <f>MATCH(C901,script.out!B:B,0)</f>
        <v>#N/A</v>
      </c>
      <c r="N901" t="e">
        <f>INDEX(script.out!B:B,results.txt!$M901)</f>
        <v>#N/A</v>
      </c>
      <c r="O901" t="e">
        <f>INDEX(script.out!C:C,results.txt!$M901)</f>
        <v>#N/A</v>
      </c>
      <c r="P901" t="e">
        <f>INDEX(script.out!D:D,results.txt!$M901)</f>
        <v>#N/A</v>
      </c>
      <c r="Q901" t="e">
        <f>INDEX(script.out!E:E,results.txt!$M901)</f>
        <v>#N/A</v>
      </c>
      <c r="R901" t="e">
        <f>INDEX(script.out!F:F,results.txt!$M901)</f>
        <v>#N/A</v>
      </c>
      <c r="S901" t="e">
        <f>INDEX(script.out!G:G,results.txt!$M901)</f>
        <v>#N/A</v>
      </c>
      <c r="T901" t="e">
        <f>INDEX(script.out!H:H,results.txt!$M901)</f>
        <v>#N/A</v>
      </c>
      <c r="U901" t="e">
        <f>INDEX(script.out!I:I,results.txt!$M901)</f>
        <v>#N/A</v>
      </c>
      <c r="V901" t="e">
        <f>INDEX(script.out!J:J,results.txt!$M901)</f>
        <v>#N/A</v>
      </c>
      <c r="W901" t="e">
        <f>INDEX(script.out!K:K,results.txt!$M901)</f>
        <v>#N/A</v>
      </c>
      <c r="X901" t="e">
        <f>INDEX(script.out!L:L,results.txt!$M901)</f>
        <v>#N/A</v>
      </c>
      <c r="Y901" t="e">
        <f>INDEX(script.out!M:M,results.txt!$M901)</f>
        <v>#N/A</v>
      </c>
      <c r="Z901" t="e">
        <f>INDEX(script.out!N:N,results.txt!$M901)</f>
        <v>#N/A</v>
      </c>
      <c r="AA901" t="e">
        <f>INDEX(script.out!O:O,results.txt!$M901)</f>
        <v>#N/A</v>
      </c>
      <c r="AB901" t="e">
        <f>INDEX(script.out!P:P,results.txt!$M901)</f>
        <v>#N/A</v>
      </c>
      <c r="AC901" t="e">
        <f>INDEX(script.out!Q:Q,results.txt!$M901)</f>
        <v>#N/A</v>
      </c>
      <c r="AD901">
        <f t="shared" si="14"/>
        <v>0</v>
      </c>
    </row>
    <row r="902" spans="13:30" x14ac:dyDescent="0.25">
      <c r="M902" t="e">
        <f>MATCH(C902,script.out!B:B,0)</f>
        <v>#N/A</v>
      </c>
      <c r="N902" t="e">
        <f>INDEX(script.out!B:B,results.txt!$M902)</f>
        <v>#N/A</v>
      </c>
      <c r="O902" t="e">
        <f>INDEX(script.out!C:C,results.txt!$M902)</f>
        <v>#N/A</v>
      </c>
      <c r="P902" t="e">
        <f>INDEX(script.out!D:D,results.txt!$M902)</f>
        <v>#N/A</v>
      </c>
      <c r="Q902" t="e">
        <f>INDEX(script.out!E:E,results.txt!$M902)</f>
        <v>#N/A</v>
      </c>
      <c r="R902" t="e">
        <f>INDEX(script.out!F:F,results.txt!$M902)</f>
        <v>#N/A</v>
      </c>
      <c r="S902" t="e">
        <f>INDEX(script.out!G:G,results.txt!$M902)</f>
        <v>#N/A</v>
      </c>
      <c r="T902" t="e">
        <f>INDEX(script.out!H:H,results.txt!$M902)</f>
        <v>#N/A</v>
      </c>
      <c r="U902" t="e">
        <f>INDEX(script.out!I:I,results.txt!$M902)</f>
        <v>#N/A</v>
      </c>
      <c r="V902" t="e">
        <f>INDEX(script.out!J:J,results.txt!$M902)</f>
        <v>#N/A</v>
      </c>
      <c r="W902" t="e">
        <f>INDEX(script.out!K:K,results.txt!$M902)</f>
        <v>#N/A</v>
      </c>
      <c r="X902" t="e">
        <f>INDEX(script.out!L:L,results.txt!$M902)</f>
        <v>#N/A</v>
      </c>
      <c r="Y902" t="e">
        <f>INDEX(script.out!M:M,results.txt!$M902)</f>
        <v>#N/A</v>
      </c>
      <c r="Z902" t="e">
        <f>INDEX(script.out!N:N,results.txt!$M902)</f>
        <v>#N/A</v>
      </c>
      <c r="AA902" t="e">
        <f>INDEX(script.out!O:O,results.txt!$M902)</f>
        <v>#N/A</v>
      </c>
      <c r="AB902" t="e">
        <f>INDEX(script.out!P:P,results.txt!$M902)</f>
        <v>#N/A</v>
      </c>
      <c r="AC902" t="e">
        <f>INDEX(script.out!Q:Q,results.txt!$M902)</f>
        <v>#N/A</v>
      </c>
      <c r="AD902">
        <f t="shared" si="14"/>
        <v>0</v>
      </c>
    </row>
    <row r="903" spans="13:30" x14ac:dyDescent="0.25">
      <c r="M903" t="e">
        <f>MATCH(C903,script.out!B:B,0)</f>
        <v>#N/A</v>
      </c>
      <c r="N903" t="e">
        <f>INDEX(script.out!B:B,results.txt!$M903)</f>
        <v>#N/A</v>
      </c>
      <c r="O903" t="e">
        <f>INDEX(script.out!C:C,results.txt!$M903)</f>
        <v>#N/A</v>
      </c>
      <c r="P903" t="e">
        <f>INDEX(script.out!D:D,results.txt!$M903)</f>
        <v>#N/A</v>
      </c>
      <c r="Q903" t="e">
        <f>INDEX(script.out!E:E,results.txt!$M903)</f>
        <v>#N/A</v>
      </c>
      <c r="R903" t="e">
        <f>INDEX(script.out!F:F,results.txt!$M903)</f>
        <v>#N/A</v>
      </c>
      <c r="S903" t="e">
        <f>INDEX(script.out!G:G,results.txt!$M903)</f>
        <v>#N/A</v>
      </c>
      <c r="T903" t="e">
        <f>INDEX(script.out!H:H,results.txt!$M903)</f>
        <v>#N/A</v>
      </c>
      <c r="U903" t="e">
        <f>INDEX(script.out!I:I,results.txt!$M903)</f>
        <v>#N/A</v>
      </c>
      <c r="V903" t="e">
        <f>INDEX(script.out!J:J,results.txt!$M903)</f>
        <v>#N/A</v>
      </c>
      <c r="W903" t="e">
        <f>INDEX(script.out!K:K,results.txt!$M903)</f>
        <v>#N/A</v>
      </c>
      <c r="X903" t="e">
        <f>INDEX(script.out!L:L,results.txt!$M903)</f>
        <v>#N/A</v>
      </c>
      <c r="Y903" t="e">
        <f>INDEX(script.out!M:M,results.txt!$M903)</f>
        <v>#N/A</v>
      </c>
      <c r="Z903" t="e">
        <f>INDEX(script.out!N:N,results.txt!$M903)</f>
        <v>#N/A</v>
      </c>
      <c r="AA903" t="e">
        <f>INDEX(script.out!O:O,results.txt!$M903)</f>
        <v>#N/A</v>
      </c>
      <c r="AB903" t="e">
        <f>INDEX(script.out!P:P,results.txt!$M903)</f>
        <v>#N/A</v>
      </c>
      <c r="AC903" t="e">
        <f>INDEX(script.out!Q:Q,results.txt!$M903)</f>
        <v>#N/A</v>
      </c>
      <c r="AD903">
        <f t="shared" si="14"/>
        <v>0</v>
      </c>
    </row>
    <row r="904" spans="13:30" x14ac:dyDescent="0.25">
      <c r="M904" t="e">
        <f>MATCH(C904,script.out!B:B,0)</f>
        <v>#N/A</v>
      </c>
      <c r="N904" t="e">
        <f>INDEX(script.out!B:B,results.txt!$M904)</f>
        <v>#N/A</v>
      </c>
      <c r="O904" t="e">
        <f>INDEX(script.out!C:C,results.txt!$M904)</f>
        <v>#N/A</v>
      </c>
      <c r="P904" t="e">
        <f>INDEX(script.out!D:D,results.txt!$M904)</f>
        <v>#N/A</v>
      </c>
      <c r="Q904" t="e">
        <f>INDEX(script.out!E:E,results.txt!$M904)</f>
        <v>#N/A</v>
      </c>
      <c r="R904" t="e">
        <f>INDEX(script.out!F:F,results.txt!$M904)</f>
        <v>#N/A</v>
      </c>
      <c r="S904" t="e">
        <f>INDEX(script.out!G:G,results.txt!$M904)</f>
        <v>#N/A</v>
      </c>
      <c r="T904" t="e">
        <f>INDEX(script.out!H:H,results.txt!$M904)</f>
        <v>#N/A</v>
      </c>
      <c r="U904" t="e">
        <f>INDEX(script.out!I:I,results.txt!$M904)</f>
        <v>#N/A</v>
      </c>
      <c r="V904" t="e">
        <f>INDEX(script.out!J:J,results.txt!$M904)</f>
        <v>#N/A</v>
      </c>
      <c r="W904" t="e">
        <f>INDEX(script.out!K:K,results.txt!$M904)</f>
        <v>#N/A</v>
      </c>
      <c r="X904" t="e">
        <f>INDEX(script.out!L:L,results.txt!$M904)</f>
        <v>#N/A</v>
      </c>
      <c r="Y904" t="e">
        <f>INDEX(script.out!M:M,results.txt!$M904)</f>
        <v>#N/A</v>
      </c>
      <c r="Z904" t="e">
        <f>INDEX(script.out!N:N,results.txt!$M904)</f>
        <v>#N/A</v>
      </c>
      <c r="AA904" t="e">
        <f>INDEX(script.out!O:O,results.txt!$M904)</f>
        <v>#N/A</v>
      </c>
      <c r="AB904" t="e">
        <f>INDEX(script.out!P:P,results.txt!$M904)</f>
        <v>#N/A</v>
      </c>
      <c r="AC904" t="e">
        <f>INDEX(script.out!Q:Q,results.txt!$M904)</f>
        <v>#N/A</v>
      </c>
      <c r="AD904">
        <f t="shared" si="14"/>
        <v>0</v>
      </c>
    </row>
    <row r="905" spans="13:30" x14ac:dyDescent="0.25">
      <c r="M905" t="e">
        <f>MATCH(C905,script.out!B:B,0)</f>
        <v>#N/A</v>
      </c>
      <c r="N905" t="e">
        <f>INDEX(script.out!B:B,results.txt!$M905)</f>
        <v>#N/A</v>
      </c>
      <c r="O905" t="e">
        <f>INDEX(script.out!C:C,results.txt!$M905)</f>
        <v>#N/A</v>
      </c>
      <c r="P905" t="e">
        <f>INDEX(script.out!D:D,results.txt!$M905)</f>
        <v>#N/A</v>
      </c>
      <c r="Q905" t="e">
        <f>INDEX(script.out!E:E,results.txt!$M905)</f>
        <v>#N/A</v>
      </c>
      <c r="R905" t="e">
        <f>INDEX(script.out!F:F,results.txt!$M905)</f>
        <v>#N/A</v>
      </c>
      <c r="S905" t="e">
        <f>INDEX(script.out!G:G,results.txt!$M905)</f>
        <v>#N/A</v>
      </c>
      <c r="T905" t="e">
        <f>INDEX(script.out!H:H,results.txt!$M905)</f>
        <v>#N/A</v>
      </c>
      <c r="U905" t="e">
        <f>INDEX(script.out!I:I,results.txt!$M905)</f>
        <v>#N/A</v>
      </c>
      <c r="V905" t="e">
        <f>INDEX(script.out!J:J,results.txt!$M905)</f>
        <v>#N/A</v>
      </c>
      <c r="W905" t="e">
        <f>INDEX(script.out!K:K,results.txt!$M905)</f>
        <v>#N/A</v>
      </c>
      <c r="X905" t="e">
        <f>INDEX(script.out!L:L,results.txt!$M905)</f>
        <v>#N/A</v>
      </c>
      <c r="Y905" t="e">
        <f>INDEX(script.out!M:M,results.txt!$M905)</f>
        <v>#N/A</v>
      </c>
      <c r="Z905" t="e">
        <f>INDEX(script.out!N:N,results.txt!$M905)</f>
        <v>#N/A</v>
      </c>
      <c r="AA905" t="e">
        <f>INDEX(script.out!O:O,results.txt!$M905)</f>
        <v>#N/A</v>
      </c>
      <c r="AB905" t="e">
        <f>INDEX(script.out!P:P,results.txt!$M905)</f>
        <v>#N/A</v>
      </c>
      <c r="AC905" t="e">
        <f>INDEX(script.out!Q:Q,results.txt!$M905)</f>
        <v>#N/A</v>
      </c>
      <c r="AD905">
        <f t="shared" si="14"/>
        <v>0</v>
      </c>
    </row>
    <row r="906" spans="13:30" x14ac:dyDescent="0.25">
      <c r="M906" t="e">
        <f>MATCH(C906,script.out!B:B,0)</f>
        <v>#N/A</v>
      </c>
      <c r="N906" t="e">
        <f>INDEX(script.out!B:B,results.txt!$M906)</f>
        <v>#N/A</v>
      </c>
      <c r="O906" t="e">
        <f>INDEX(script.out!C:C,results.txt!$M906)</f>
        <v>#N/A</v>
      </c>
      <c r="P906" t="e">
        <f>INDEX(script.out!D:D,results.txt!$M906)</f>
        <v>#N/A</v>
      </c>
      <c r="Q906" t="e">
        <f>INDEX(script.out!E:E,results.txt!$M906)</f>
        <v>#N/A</v>
      </c>
      <c r="R906" t="e">
        <f>INDEX(script.out!F:F,results.txt!$M906)</f>
        <v>#N/A</v>
      </c>
      <c r="S906" t="e">
        <f>INDEX(script.out!G:G,results.txt!$M906)</f>
        <v>#N/A</v>
      </c>
      <c r="T906" t="e">
        <f>INDEX(script.out!H:H,results.txt!$M906)</f>
        <v>#N/A</v>
      </c>
      <c r="U906" t="e">
        <f>INDEX(script.out!I:I,results.txt!$M906)</f>
        <v>#N/A</v>
      </c>
      <c r="V906" t="e">
        <f>INDEX(script.out!J:J,results.txt!$M906)</f>
        <v>#N/A</v>
      </c>
      <c r="W906" t="e">
        <f>INDEX(script.out!K:K,results.txt!$M906)</f>
        <v>#N/A</v>
      </c>
      <c r="X906" t="e">
        <f>INDEX(script.out!L:L,results.txt!$M906)</f>
        <v>#N/A</v>
      </c>
      <c r="Y906" t="e">
        <f>INDEX(script.out!M:M,results.txt!$M906)</f>
        <v>#N/A</v>
      </c>
      <c r="Z906" t="e">
        <f>INDEX(script.out!N:N,results.txt!$M906)</f>
        <v>#N/A</v>
      </c>
      <c r="AA906" t="e">
        <f>INDEX(script.out!O:O,results.txt!$M906)</f>
        <v>#N/A</v>
      </c>
      <c r="AB906" t="e">
        <f>INDEX(script.out!P:P,results.txt!$M906)</f>
        <v>#N/A</v>
      </c>
      <c r="AC906" t="e">
        <f>INDEX(script.out!Q:Q,results.txt!$M906)</f>
        <v>#N/A</v>
      </c>
      <c r="AD906">
        <f t="shared" si="14"/>
        <v>0</v>
      </c>
    </row>
    <row r="907" spans="13:30" x14ac:dyDescent="0.25">
      <c r="M907" t="e">
        <f>MATCH(C907,script.out!B:B,0)</f>
        <v>#N/A</v>
      </c>
      <c r="N907" t="e">
        <f>INDEX(script.out!B:B,results.txt!$M907)</f>
        <v>#N/A</v>
      </c>
      <c r="O907" t="e">
        <f>INDEX(script.out!C:C,results.txt!$M907)</f>
        <v>#N/A</v>
      </c>
      <c r="P907" t="e">
        <f>INDEX(script.out!D:D,results.txt!$M907)</f>
        <v>#N/A</v>
      </c>
      <c r="Q907" t="e">
        <f>INDEX(script.out!E:E,results.txt!$M907)</f>
        <v>#N/A</v>
      </c>
      <c r="R907" t="e">
        <f>INDEX(script.out!F:F,results.txt!$M907)</f>
        <v>#N/A</v>
      </c>
      <c r="S907" t="e">
        <f>INDEX(script.out!G:G,results.txt!$M907)</f>
        <v>#N/A</v>
      </c>
      <c r="T907" t="e">
        <f>INDEX(script.out!H:H,results.txt!$M907)</f>
        <v>#N/A</v>
      </c>
      <c r="U907" t="e">
        <f>INDEX(script.out!I:I,results.txt!$M907)</f>
        <v>#N/A</v>
      </c>
      <c r="V907" t="e">
        <f>INDEX(script.out!J:J,results.txt!$M907)</f>
        <v>#N/A</v>
      </c>
      <c r="W907" t="e">
        <f>INDEX(script.out!K:K,results.txt!$M907)</f>
        <v>#N/A</v>
      </c>
      <c r="X907" t="e">
        <f>INDEX(script.out!L:L,results.txt!$M907)</f>
        <v>#N/A</v>
      </c>
      <c r="Y907" t="e">
        <f>INDEX(script.out!M:M,results.txt!$M907)</f>
        <v>#N/A</v>
      </c>
      <c r="Z907" t="e">
        <f>INDEX(script.out!N:N,results.txt!$M907)</f>
        <v>#N/A</v>
      </c>
      <c r="AA907" t="e">
        <f>INDEX(script.out!O:O,results.txt!$M907)</f>
        <v>#N/A</v>
      </c>
      <c r="AB907" t="e">
        <f>INDEX(script.out!P:P,results.txt!$M907)</f>
        <v>#N/A</v>
      </c>
      <c r="AC907" t="e">
        <f>INDEX(script.out!Q:Q,results.txt!$M907)</f>
        <v>#N/A</v>
      </c>
      <c r="AD907">
        <f t="shared" si="14"/>
        <v>0</v>
      </c>
    </row>
    <row r="908" spans="13:30" x14ac:dyDescent="0.25">
      <c r="M908" t="e">
        <f>MATCH(C908,script.out!B:B,0)</f>
        <v>#N/A</v>
      </c>
      <c r="N908" t="e">
        <f>INDEX(script.out!B:B,results.txt!$M908)</f>
        <v>#N/A</v>
      </c>
      <c r="O908" t="e">
        <f>INDEX(script.out!C:C,results.txt!$M908)</f>
        <v>#N/A</v>
      </c>
      <c r="P908" t="e">
        <f>INDEX(script.out!D:D,results.txt!$M908)</f>
        <v>#N/A</v>
      </c>
      <c r="Q908" t="e">
        <f>INDEX(script.out!E:E,results.txt!$M908)</f>
        <v>#N/A</v>
      </c>
      <c r="R908" t="e">
        <f>INDEX(script.out!F:F,results.txt!$M908)</f>
        <v>#N/A</v>
      </c>
      <c r="S908" t="e">
        <f>INDEX(script.out!G:G,results.txt!$M908)</f>
        <v>#N/A</v>
      </c>
      <c r="T908" t="e">
        <f>INDEX(script.out!H:H,results.txt!$M908)</f>
        <v>#N/A</v>
      </c>
      <c r="U908" t="e">
        <f>INDEX(script.out!I:I,results.txt!$M908)</f>
        <v>#N/A</v>
      </c>
      <c r="V908" t="e">
        <f>INDEX(script.out!J:J,results.txt!$M908)</f>
        <v>#N/A</v>
      </c>
      <c r="W908" t="e">
        <f>INDEX(script.out!K:K,results.txt!$M908)</f>
        <v>#N/A</v>
      </c>
      <c r="X908" t="e">
        <f>INDEX(script.out!L:L,results.txt!$M908)</f>
        <v>#N/A</v>
      </c>
      <c r="Y908" t="e">
        <f>INDEX(script.out!M:M,results.txt!$M908)</f>
        <v>#N/A</v>
      </c>
      <c r="Z908" t="e">
        <f>INDEX(script.out!N:N,results.txt!$M908)</f>
        <v>#N/A</v>
      </c>
      <c r="AA908" t="e">
        <f>INDEX(script.out!O:O,results.txt!$M908)</f>
        <v>#N/A</v>
      </c>
      <c r="AB908" t="e">
        <f>INDEX(script.out!P:P,results.txt!$M908)</f>
        <v>#N/A</v>
      </c>
      <c r="AC908" t="e">
        <f>INDEX(script.out!Q:Q,results.txt!$M908)</f>
        <v>#N/A</v>
      </c>
      <c r="AD908">
        <f t="shared" si="14"/>
        <v>0</v>
      </c>
    </row>
    <row r="909" spans="13:30" x14ac:dyDescent="0.25">
      <c r="M909" t="e">
        <f>MATCH(C909,script.out!B:B,0)</f>
        <v>#N/A</v>
      </c>
      <c r="N909" t="e">
        <f>INDEX(script.out!B:B,results.txt!$M909)</f>
        <v>#N/A</v>
      </c>
      <c r="O909" t="e">
        <f>INDEX(script.out!C:C,results.txt!$M909)</f>
        <v>#N/A</v>
      </c>
      <c r="P909" t="e">
        <f>INDEX(script.out!D:D,results.txt!$M909)</f>
        <v>#N/A</v>
      </c>
      <c r="Q909" t="e">
        <f>INDEX(script.out!E:E,results.txt!$M909)</f>
        <v>#N/A</v>
      </c>
      <c r="R909" t="e">
        <f>INDEX(script.out!F:F,results.txt!$M909)</f>
        <v>#N/A</v>
      </c>
      <c r="S909" t="e">
        <f>INDEX(script.out!G:G,results.txt!$M909)</f>
        <v>#N/A</v>
      </c>
      <c r="T909" t="e">
        <f>INDEX(script.out!H:H,results.txt!$M909)</f>
        <v>#N/A</v>
      </c>
      <c r="U909" t="e">
        <f>INDEX(script.out!I:I,results.txt!$M909)</f>
        <v>#N/A</v>
      </c>
      <c r="V909" t="e">
        <f>INDEX(script.out!J:J,results.txt!$M909)</f>
        <v>#N/A</v>
      </c>
      <c r="W909" t="e">
        <f>INDEX(script.out!K:K,results.txt!$M909)</f>
        <v>#N/A</v>
      </c>
      <c r="X909" t="e">
        <f>INDEX(script.out!L:L,results.txt!$M909)</f>
        <v>#N/A</v>
      </c>
      <c r="Y909" t="e">
        <f>INDEX(script.out!M:M,results.txt!$M909)</f>
        <v>#N/A</v>
      </c>
      <c r="Z909" t="e">
        <f>INDEX(script.out!N:N,results.txt!$M909)</f>
        <v>#N/A</v>
      </c>
      <c r="AA909" t="e">
        <f>INDEX(script.out!O:O,results.txt!$M909)</f>
        <v>#N/A</v>
      </c>
      <c r="AB909" t="e">
        <f>INDEX(script.out!P:P,results.txt!$M909)</f>
        <v>#N/A</v>
      </c>
      <c r="AC909" t="e">
        <f>INDEX(script.out!Q:Q,results.txt!$M909)</f>
        <v>#N/A</v>
      </c>
      <c r="AD909">
        <f t="shared" si="14"/>
        <v>0</v>
      </c>
    </row>
    <row r="910" spans="13:30" x14ac:dyDescent="0.25">
      <c r="M910" t="e">
        <f>MATCH(C910,script.out!B:B,0)</f>
        <v>#N/A</v>
      </c>
      <c r="N910" t="e">
        <f>INDEX(script.out!B:B,results.txt!$M910)</f>
        <v>#N/A</v>
      </c>
      <c r="O910" t="e">
        <f>INDEX(script.out!C:C,results.txt!$M910)</f>
        <v>#N/A</v>
      </c>
      <c r="P910" t="e">
        <f>INDEX(script.out!D:D,results.txt!$M910)</f>
        <v>#N/A</v>
      </c>
      <c r="Q910" t="e">
        <f>INDEX(script.out!E:E,results.txt!$M910)</f>
        <v>#N/A</v>
      </c>
      <c r="R910" t="e">
        <f>INDEX(script.out!F:F,results.txt!$M910)</f>
        <v>#N/A</v>
      </c>
      <c r="S910" t="e">
        <f>INDEX(script.out!G:G,results.txt!$M910)</f>
        <v>#N/A</v>
      </c>
      <c r="T910" t="e">
        <f>INDEX(script.out!H:H,results.txt!$M910)</f>
        <v>#N/A</v>
      </c>
      <c r="U910" t="e">
        <f>INDEX(script.out!I:I,results.txt!$M910)</f>
        <v>#N/A</v>
      </c>
      <c r="V910" t="e">
        <f>INDEX(script.out!J:J,results.txt!$M910)</f>
        <v>#N/A</v>
      </c>
      <c r="W910" t="e">
        <f>INDEX(script.out!K:K,results.txt!$M910)</f>
        <v>#N/A</v>
      </c>
      <c r="X910" t="e">
        <f>INDEX(script.out!L:L,results.txt!$M910)</f>
        <v>#N/A</v>
      </c>
      <c r="Y910" t="e">
        <f>INDEX(script.out!M:M,results.txt!$M910)</f>
        <v>#N/A</v>
      </c>
      <c r="Z910" t="e">
        <f>INDEX(script.out!N:N,results.txt!$M910)</f>
        <v>#N/A</v>
      </c>
      <c r="AA910" t="e">
        <f>INDEX(script.out!O:O,results.txt!$M910)</f>
        <v>#N/A</v>
      </c>
      <c r="AB910" t="e">
        <f>INDEX(script.out!P:P,results.txt!$M910)</f>
        <v>#N/A</v>
      </c>
      <c r="AC910" t="e">
        <f>INDEX(script.out!Q:Q,results.txt!$M910)</f>
        <v>#N/A</v>
      </c>
      <c r="AD910">
        <f t="shared" si="14"/>
        <v>0</v>
      </c>
    </row>
    <row r="911" spans="13:30" x14ac:dyDescent="0.25">
      <c r="M911" t="e">
        <f>MATCH(C911,script.out!B:B,0)</f>
        <v>#N/A</v>
      </c>
      <c r="N911" t="e">
        <f>INDEX(script.out!B:B,results.txt!$M911)</f>
        <v>#N/A</v>
      </c>
      <c r="O911" t="e">
        <f>INDEX(script.out!C:C,results.txt!$M911)</f>
        <v>#N/A</v>
      </c>
      <c r="P911" t="e">
        <f>INDEX(script.out!D:D,results.txt!$M911)</f>
        <v>#N/A</v>
      </c>
      <c r="Q911" t="e">
        <f>INDEX(script.out!E:E,results.txt!$M911)</f>
        <v>#N/A</v>
      </c>
      <c r="R911" t="e">
        <f>INDEX(script.out!F:F,results.txt!$M911)</f>
        <v>#N/A</v>
      </c>
      <c r="S911" t="e">
        <f>INDEX(script.out!G:G,results.txt!$M911)</f>
        <v>#N/A</v>
      </c>
      <c r="T911" t="e">
        <f>INDEX(script.out!H:H,results.txt!$M911)</f>
        <v>#N/A</v>
      </c>
      <c r="U911" t="e">
        <f>INDEX(script.out!I:I,results.txt!$M911)</f>
        <v>#N/A</v>
      </c>
      <c r="V911" t="e">
        <f>INDEX(script.out!J:J,results.txt!$M911)</f>
        <v>#N/A</v>
      </c>
      <c r="W911" t="e">
        <f>INDEX(script.out!K:K,results.txt!$M911)</f>
        <v>#N/A</v>
      </c>
      <c r="X911" t="e">
        <f>INDEX(script.out!L:L,results.txt!$M911)</f>
        <v>#N/A</v>
      </c>
      <c r="Y911" t="e">
        <f>INDEX(script.out!M:M,results.txt!$M911)</f>
        <v>#N/A</v>
      </c>
      <c r="Z911" t="e">
        <f>INDEX(script.out!N:N,results.txt!$M911)</f>
        <v>#N/A</v>
      </c>
      <c r="AA911" t="e">
        <f>INDEX(script.out!O:O,results.txt!$M911)</f>
        <v>#N/A</v>
      </c>
      <c r="AB911" t="e">
        <f>INDEX(script.out!P:P,results.txt!$M911)</f>
        <v>#N/A</v>
      </c>
      <c r="AC911" t="e">
        <f>INDEX(script.out!Q:Q,results.txt!$M911)</f>
        <v>#N/A</v>
      </c>
      <c r="AD911">
        <f t="shared" si="14"/>
        <v>0</v>
      </c>
    </row>
    <row r="912" spans="13:30" x14ac:dyDescent="0.25">
      <c r="M912" t="e">
        <f>MATCH(C912,script.out!B:B,0)</f>
        <v>#N/A</v>
      </c>
      <c r="N912" t="e">
        <f>INDEX(script.out!B:B,results.txt!$M912)</f>
        <v>#N/A</v>
      </c>
      <c r="O912" t="e">
        <f>INDEX(script.out!C:C,results.txt!$M912)</f>
        <v>#N/A</v>
      </c>
      <c r="P912" t="e">
        <f>INDEX(script.out!D:D,results.txt!$M912)</f>
        <v>#N/A</v>
      </c>
      <c r="Q912" t="e">
        <f>INDEX(script.out!E:E,results.txt!$M912)</f>
        <v>#N/A</v>
      </c>
      <c r="R912" t="e">
        <f>INDEX(script.out!F:F,results.txt!$M912)</f>
        <v>#N/A</v>
      </c>
      <c r="S912" t="e">
        <f>INDEX(script.out!G:G,results.txt!$M912)</f>
        <v>#N/A</v>
      </c>
      <c r="T912" t="e">
        <f>INDEX(script.out!H:H,results.txt!$M912)</f>
        <v>#N/A</v>
      </c>
      <c r="U912" t="e">
        <f>INDEX(script.out!I:I,results.txt!$M912)</f>
        <v>#N/A</v>
      </c>
      <c r="V912" t="e">
        <f>INDEX(script.out!J:J,results.txt!$M912)</f>
        <v>#N/A</v>
      </c>
      <c r="W912" t="e">
        <f>INDEX(script.out!K:K,results.txt!$M912)</f>
        <v>#N/A</v>
      </c>
      <c r="X912" t="e">
        <f>INDEX(script.out!L:L,results.txt!$M912)</f>
        <v>#N/A</v>
      </c>
      <c r="Y912" t="e">
        <f>INDEX(script.out!M:M,results.txt!$M912)</f>
        <v>#N/A</v>
      </c>
      <c r="Z912" t="e">
        <f>INDEX(script.out!N:N,results.txt!$M912)</f>
        <v>#N/A</v>
      </c>
      <c r="AA912" t="e">
        <f>INDEX(script.out!O:O,results.txt!$M912)</f>
        <v>#N/A</v>
      </c>
      <c r="AB912" t="e">
        <f>INDEX(script.out!P:P,results.txt!$M912)</f>
        <v>#N/A</v>
      </c>
      <c r="AC912" t="e">
        <f>INDEX(script.out!Q:Q,results.txt!$M912)</f>
        <v>#N/A</v>
      </c>
      <c r="AD912">
        <f t="shared" si="14"/>
        <v>0</v>
      </c>
    </row>
    <row r="913" spans="13:30" x14ac:dyDescent="0.25">
      <c r="M913" t="e">
        <f>MATCH(C913,script.out!B:B,0)</f>
        <v>#N/A</v>
      </c>
      <c r="N913" t="e">
        <f>INDEX(script.out!B:B,results.txt!$M913)</f>
        <v>#N/A</v>
      </c>
      <c r="O913" t="e">
        <f>INDEX(script.out!C:C,results.txt!$M913)</f>
        <v>#N/A</v>
      </c>
      <c r="P913" t="e">
        <f>INDEX(script.out!D:D,results.txt!$M913)</f>
        <v>#N/A</v>
      </c>
      <c r="Q913" t="e">
        <f>INDEX(script.out!E:E,results.txt!$M913)</f>
        <v>#N/A</v>
      </c>
      <c r="R913" t="e">
        <f>INDEX(script.out!F:F,results.txt!$M913)</f>
        <v>#N/A</v>
      </c>
      <c r="S913" t="e">
        <f>INDEX(script.out!G:G,results.txt!$M913)</f>
        <v>#N/A</v>
      </c>
      <c r="T913" t="e">
        <f>INDEX(script.out!H:H,results.txt!$M913)</f>
        <v>#N/A</v>
      </c>
      <c r="U913" t="e">
        <f>INDEX(script.out!I:I,results.txt!$M913)</f>
        <v>#N/A</v>
      </c>
      <c r="V913" t="e">
        <f>INDEX(script.out!J:J,results.txt!$M913)</f>
        <v>#N/A</v>
      </c>
      <c r="W913" t="e">
        <f>INDEX(script.out!K:K,results.txt!$M913)</f>
        <v>#N/A</v>
      </c>
      <c r="X913" t="e">
        <f>INDEX(script.out!L:L,results.txt!$M913)</f>
        <v>#N/A</v>
      </c>
      <c r="Y913" t="e">
        <f>INDEX(script.out!M:M,results.txt!$M913)</f>
        <v>#N/A</v>
      </c>
      <c r="Z913" t="e">
        <f>INDEX(script.out!N:N,results.txt!$M913)</f>
        <v>#N/A</v>
      </c>
      <c r="AA913" t="e">
        <f>INDEX(script.out!O:O,results.txt!$M913)</f>
        <v>#N/A</v>
      </c>
      <c r="AB913" t="e">
        <f>INDEX(script.out!P:P,results.txt!$M913)</f>
        <v>#N/A</v>
      </c>
      <c r="AC913" t="e">
        <f>INDEX(script.out!Q:Q,results.txt!$M913)</f>
        <v>#N/A</v>
      </c>
      <c r="AD913">
        <f t="shared" si="14"/>
        <v>0</v>
      </c>
    </row>
    <row r="914" spans="13:30" x14ac:dyDescent="0.25">
      <c r="M914" t="e">
        <f>MATCH(C914,script.out!B:B,0)</f>
        <v>#N/A</v>
      </c>
      <c r="N914" t="e">
        <f>INDEX(script.out!B:B,results.txt!$M914)</f>
        <v>#N/A</v>
      </c>
      <c r="O914" t="e">
        <f>INDEX(script.out!C:C,results.txt!$M914)</f>
        <v>#N/A</v>
      </c>
      <c r="P914" t="e">
        <f>INDEX(script.out!D:D,results.txt!$M914)</f>
        <v>#N/A</v>
      </c>
      <c r="Q914" t="e">
        <f>INDEX(script.out!E:E,results.txt!$M914)</f>
        <v>#N/A</v>
      </c>
      <c r="R914" t="e">
        <f>INDEX(script.out!F:F,results.txt!$M914)</f>
        <v>#N/A</v>
      </c>
      <c r="S914" t="e">
        <f>INDEX(script.out!G:G,results.txt!$M914)</f>
        <v>#N/A</v>
      </c>
      <c r="T914" t="e">
        <f>INDEX(script.out!H:H,results.txt!$M914)</f>
        <v>#N/A</v>
      </c>
      <c r="U914" t="e">
        <f>INDEX(script.out!I:I,results.txt!$M914)</f>
        <v>#N/A</v>
      </c>
      <c r="V914" t="e">
        <f>INDEX(script.out!J:J,results.txt!$M914)</f>
        <v>#N/A</v>
      </c>
      <c r="W914" t="e">
        <f>INDEX(script.out!K:K,results.txt!$M914)</f>
        <v>#N/A</v>
      </c>
      <c r="X914" t="e">
        <f>INDEX(script.out!L:L,results.txt!$M914)</f>
        <v>#N/A</v>
      </c>
      <c r="Y914" t="e">
        <f>INDEX(script.out!M:M,results.txt!$M914)</f>
        <v>#N/A</v>
      </c>
      <c r="Z914" t="e">
        <f>INDEX(script.out!N:N,results.txt!$M914)</f>
        <v>#N/A</v>
      </c>
      <c r="AA914" t="e">
        <f>INDEX(script.out!O:O,results.txt!$M914)</f>
        <v>#N/A</v>
      </c>
      <c r="AB914" t="e">
        <f>INDEX(script.out!P:P,results.txt!$M914)</f>
        <v>#N/A</v>
      </c>
      <c r="AC914" t="e">
        <f>INDEX(script.out!Q:Q,results.txt!$M914)</f>
        <v>#N/A</v>
      </c>
      <c r="AD914">
        <f t="shared" si="14"/>
        <v>0</v>
      </c>
    </row>
    <row r="915" spans="13:30" x14ac:dyDescent="0.25">
      <c r="M915" t="e">
        <f>MATCH(C915,script.out!B:B,0)</f>
        <v>#N/A</v>
      </c>
      <c r="N915" t="e">
        <f>INDEX(script.out!B:B,results.txt!$M915)</f>
        <v>#N/A</v>
      </c>
      <c r="O915" t="e">
        <f>INDEX(script.out!C:C,results.txt!$M915)</f>
        <v>#N/A</v>
      </c>
      <c r="P915" t="e">
        <f>INDEX(script.out!D:D,results.txt!$M915)</f>
        <v>#N/A</v>
      </c>
      <c r="Q915" t="e">
        <f>INDEX(script.out!E:E,results.txt!$M915)</f>
        <v>#N/A</v>
      </c>
      <c r="R915" t="e">
        <f>INDEX(script.out!F:F,results.txt!$M915)</f>
        <v>#N/A</v>
      </c>
      <c r="S915" t="e">
        <f>INDEX(script.out!G:G,results.txt!$M915)</f>
        <v>#N/A</v>
      </c>
      <c r="T915" t="e">
        <f>INDEX(script.out!H:H,results.txt!$M915)</f>
        <v>#N/A</v>
      </c>
      <c r="U915" t="e">
        <f>INDEX(script.out!I:I,results.txt!$M915)</f>
        <v>#N/A</v>
      </c>
      <c r="V915" t="e">
        <f>INDEX(script.out!J:J,results.txt!$M915)</f>
        <v>#N/A</v>
      </c>
      <c r="W915" t="e">
        <f>INDEX(script.out!K:K,results.txt!$M915)</f>
        <v>#N/A</v>
      </c>
      <c r="X915" t="e">
        <f>INDEX(script.out!L:L,results.txt!$M915)</f>
        <v>#N/A</v>
      </c>
      <c r="Y915" t="e">
        <f>INDEX(script.out!M:M,results.txt!$M915)</f>
        <v>#N/A</v>
      </c>
      <c r="Z915" t="e">
        <f>INDEX(script.out!N:N,results.txt!$M915)</f>
        <v>#N/A</v>
      </c>
      <c r="AA915" t="e">
        <f>INDEX(script.out!O:O,results.txt!$M915)</f>
        <v>#N/A</v>
      </c>
      <c r="AB915" t="e">
        <f>INDEX(script.out!P:P,results.txt!$M915)</f>
        <v>#N/A</v>
      </c>
      <c r="AC915" t="e">
        <f>INDEX(script.out!Q:Q,results.txt!$M915)</f>
        <v>#N/A</v>
      </c>
      <c r="AD915">
        <f t="shared" si="14"/>
        <v>0</v>
      </c>
    </row>
    <row r="916" spans="13:30" x14ac:dyDescent="0.25">
      <c r="M916" t="e">
        <f>MATCH(C916,script.out!B:B,0)</f>
        <v>#N/A</v>
      </c>
      <c r="N916" t="e">
        <f>INDEX(script.out!B:B,results.txt!$M916)</f>
        <v>#N/A</v>
      </c>
      <c r="O916" t="e">
        <f>INDEX(script.out!C:C,results.txt!$M916)</f>
        <v>#N/A</v>
      </c>
      <c r="P916" t="e">
        <f>INDEX(script.out!D:D,results.txt!$M916)</f>
        <v>#N/A</v>
      </c>
      <c r="Q916" t="e">
        <f>INDEX(script.out!E:E,results.txt!$M916)</f>
        <v>#N/A</v>
      </c>
      <c r="R916" t="e">
        <f>INDEX(script.out!F:F,results.txt!$M916)</f>
        <v>#N/A</v>
      </c>
      <c r="S916" t="e">
        <f>INDEX(script.out!G:G,results.txt!$M916)</f>
        <v>#N/A</v>
      </c>
      <c r="T916" t="e">
        <f>INDEX(script.out!H:H,results.txt!$M916)</f>
        <v>#N/A</v>
      </c>
      <c r="U916" t="e">
        <f>INDEX(script.out!I:I,results.txt!$M916)</f>
        <v>#N/A</v>
      </c>
      <c r="V916" t="e">
        <f>INDEX(script.out!J:J,results.txt!$M916)</f>
        <v>#N/A</v>
      </c>
      <c r="W916" t="e">
        <f>INDEX(script.out!K:K,results.txt!$M916)</f>
        <v>#N/A</v>
      </c>
      <c r="X916" t="e">
        <f>INDEX(script.out!L:L,results.txt!$M916)</f>
        <v>#N/A</v>
      </c>
      <c r="Y916" t="e">
        <f>INDEX(script.out!M:M,results.txt!$M916)</f>
        <v>#N/A</v>
      </c>
      <c r="Z916" t="e">
        <f>INDEX(script.out!N:N,results.txt!$M916)</f>
        <v>#N/A</v>
      </c>
      <c r="AA916" t="e">
        <f>INDEX(script.out!O:O,results.txt!$M916)</f>
        <v>#N/A</v>
      </c>
      <c r="AB916" t="e">
        <f>INDEX(script.out!P:P,results.txt!$M916)</f>
        <v>#N/A</v>
      </c>
      <c r="AC916" t="e">
        <f>INDEX(script.out!Q:Q,results.txt!$M916)</f>
        <v>#N/A</v>
      </c>
      <c r="AD916">
        <f t="shared" si="14"/>
        <v>0</v>
      </c>
    </row>
    <row r="917" spans="13:30" x14ac:dyDescent="0.25">
      <c r="M917" t="e">
        <f>MATCH(C917,script.out!B:B,0)</f>
        <v>#N/A</v>
      </c>
      <c r="N917" t="e">
        <f>INDEX(script.out!B:B,results.txt!$M917)</f>
        <v>#N/A</v>
      </c>
      <c r="O917" t="e">
        <f>INDEX(script.out!C:C,results.txt!$M917)</f>
        <v>#N/A</v>
      </c>
      <c r="P917" t="e">
        <f>INDEX(script.out!D:D,results.txt!$M917)</f>
        <v>#N/A</v>
      </c>
      <c r="Q917" t="e">
        <f>INDEX(script.out!E:E,results.txt!$M917)</f>
        <v>#N/A</v>
      </c>
      <c r="R917" t="e">
        <f>INDEX(script.out!F:F,results.txt!$M917)</f>
        <v>#N/A</v>
      </c>
      <c r="S917" t="e">
        <f>INDEX(script.out!G:G,results.txt!$M917)</f>
        <v>#N/A</v>
      </c>
      <c r="T917" t="e">
        <f>INDEX(script.out!H:H,results.txt!$M917)</f>
        <v>#N/A</v>
      </c>
      <c r="U917" t="e">
        <f>INDEX(script.out!I:I,results.txt!$M917)</f>
        <v>#N/A</v>
      </c>
      <c r="V917" t="e">
        <f>INDEX(script.out!J:J,results.txt!$M917)</f>
        <v>#N/A</v>
      </c>
      <c r="W917" t="e">
        <f>INDEX(script.out!K:K,results.txt!$M917)</f>
        <v>#N/A</v>
      </c>
      <c r="X917" t="e">
        <f>INDEX(script.out!L:L,results.txt!$M917)</f>
        <v>#N/A</v>
      </c>
      <c r="Y917" t="e">
        <f>INDEX(script.out!M:M,results.txt!$M917)</f>
        <v>#N/A</v>
      </c>
      <c r="Z917" t="e">
        <f>INDEX(script.out!N:N,results.txt!$M917)</f>
        <v>#N/A</v>
      </c>
      <c r="AA917" t="e">
        <f>INDEX(script.out!O:O,results.txt!$M917)</f>
        <v>#N/A</v>
      </c>
      <c r="AB917" t="e">
        <f>INDEX(script.out!P:P,results.txt!$M917)</f>
        <v>#N/A</v>
      </c>
      <c r="AC917" t="e">
        <f>INDEX(script.out!Q:Q,results.txt!$M917)</f>
        <v>#N/A</v>
      </c>
      <c r="AD917">
        <f t="shared" si="14"/>
        <v>0</v>
      </c>
    </row>
    <row r="918" spans="13:30" x14ac:dyDescent="0.25">
      <c r="M918" t="e">
        <f>MATCH(C918,script.out!B:B,0)</f>
        <v>#N/A</v>
      </c>
      <c r="N918" t="e">
        <f>INDEX(script.out!B:B,results.txt!$M918)</f>
        <v>#N/A</v>
      </c>
      <c r="O918" t="e">
        <f>INDEX(script.out!C:C,results.txt!$M918)</f>
        <v>#N/A</v>
      </c>
      <c r="P918" t="e">
        <f>INDEX(script.out!D:D,results.txt!$M918)</f>
        <v>#N/A</v>
      </c>
      <c r="Q918" t="e">
        <f>INDEX(script.out!E:E,results.txt!$M918)</f>
        <v>#N/A</v>
      </c>
      <c r="R918" t="e">
        <f>INDEX(script.out!F:F,results.txt!$M918)</f>
        <v>#N/A</v>
      </c>
      <c r="S918" t="e">
        <f>INDEX(script.out!G:G,results.txt!$M918)</f>
        <v>#N/A</v>
      </c>
      <c r="T918" t="e">
        <f>INDEX(script.out!H:H,results.txt!$M918)</f>
        <v>#N/A</v>
      </c>
      <c r="U918" t="e">
        <f>INDEX(script.out!I:I,results.txt!$M918)</f>
        <v>#N/A</v>
      </c>
      <c r="V918" t="e">
        <f>INDEX(script.out!J:J,results.txt!$M918)</f>
        <v>#N/A</v>
      </c>
      <c r="W918" t="e">
        <f>INDEX(script.out!K:K,results.txt!$M918)</f>
        <v>#N/A</v>
      </c>
      <c r="X918" t="e">
        <f>INDEX(script.out!L:L,results.txt!$M918)</f>
        <v>#N/A</v>
      </c>
      <c r="Y918" t="e">
        <f>INDEX(script.out!M:M,results.txt!$M918)</f>
        <v>#N/A</v>
      </c>
      <c r="Z918" t="e">
        <f>INDEX(script.out!N:N,results.txt!$M918)</f>
        <v>#N/A</v>
      </c>
      <c r="AA918" t="e">
        <f>INDEX(script.out!O:O,results.txt!$M918)</f>
        <v>#N/A</v>
      </c>
      <c r="AB918" t="e">
        <f>INDEX(script.out!P:P,results.txt!$M918)</f>
        <v>#N/A</v>
      </c>
      <c r="AC918" t="e">
        <f>INDEX(script.out!Q:Q,results.txt!$M918)</f>
        <v>#N/A</v>
      </c>
      <c r="AD918">
        <f t="shared" si="14"/>
        <v>0</v>
      </c>
    </row>
    <row r="919" spans="13:30" x14ac:dyDescent="0.25">
      <c r="M919" t="e">
        <f>MATCH(C919,script.out!B:B,0)</f>
        <v>#N/A</v>
      </c>
      <c r="N919" t="e">
        <f>INDEX(script.out!B:B,results.txt!$M919)</f>
        <v>#N/A</v>
      </c>
      <c r="O919" t="e">
        <f>INDEX(script.out!C:C,results.txt!$M919)</f>
        <v>#N/A</v>
      </c>
      <c r="P919" t="e">
        <f>INDEX(script.out!D:D,results.txt!$M919)</f>
        <v>#N/A</v>
      </c>
      <c r="Q919" t="e">
        <f>INDEX(script.out!E:E,results.txt!$M919)</f>
        <v>#N/A</v>
      </c>
      <c r="R919" t="e">
        <f>INDEX(script.out!F:F,results.txt!$M919)</f>
        <v>#N/A</v>
      </c>
      <c r="S919" t="e">
        <f>INDEX(script.out!G:G,results.txt!$M919)</f>
        <v>#N/A</v>
      </c>
      <c r="T919" t="e">
        <f>INDEX(script.out!H:H,results.txt!$M919)</f>
        <v>#N/A</v>
      </c>
      <c r="U919" t="e">
        <f>INDEX(script.out!I:I,results.txt!$M919)</f>
        <v>#N/A</v>
      </c>
      <c r="V919" t="e">
        <f>INDEX(script.out!J:J,results.txt!$M919)</f>
        <v>#N/A</v>
      </c>
      <c r="W919" t="e">
        <f>INDEX(script.out!K:K,results.txt!$M919)</f>
        <v>#N/A</v>
      </c>
      <c r="X919" t="e">
        <f>INDEX(script.out!L:L,results.txt!$M919)</f>
        <v>#N/A</v>
      </c>
      <c r="Y919" t="e">
        <f>INDEX(script.out!M:M,results.txt!$M919)</f>
        <v>#N/A</v>
      </c>
      <c r="Z919" t="e">
        <f>INDEX(script.out!N:N,results.txt!$M919)</f>
        <v>#N/A</v>
      </c>
      <c r="AA919" t="e">
        <f>INDEX(script.out!O:O,results.txt!$M919)</f>
        <v>#N/A</v>
      </c>
      <c r="AB919" t="e">
        <f>INDEX(script.out!P:P,results.txt!$M919)</f>
        <v>#N/A</v>
      </c>
      <c r="AC919" t="e">
        <f>INDEX(script.out!Q:Q,results.txt!$M919)</f>
        <v>#N/A</v>
      </c>
      <c r="AD919">
        <f t="shared" si="14"/>
        <v>0</v>
      </c>
    </row>
    <row r="920" spans="13:30" x14ac:dyDescent="0.25">
      <c r="M920" t="e">
        <f>MATCH(C920,script.out!B:B,0)</f>
        <v>#N/A</v>
      </c>
      <c r="N920" t="e">
        <f>INDEX(script.out!B:B,results.txt!$M920)</f>
        <v>#N/A</v>
      </c>
      <c r="O920" t="e">
        <f>INDEX(script.out!C:C,results.txt!$M920)</f>
        <v>#N/A</v>
      </c>
      <c r="P920" t="e">
        <f>INDEX(script.out!D:D,results.txt!$M920)</f>
        <v>#N/A</v>
      </c>
      <c r="Q920" t="e">
        <f>INDEX(script.out!E:E,results.txt!$M920)</f>
        <v>#N/A</v>
      </c>
      <c r="R920" t="e">
        <f>INDEX(script.out!F:F,results.txt!$M920)</f>
        <v>#N/A</v>
      </c>
      <c r="S920" t="e">
        <f>INDEX(script.out!G:G,results.txt!$M920)</f>
        <v>#N/A</v>
      </c>
      <c r="T920" t="e">
        <f>INDEX(script.out!H:H,results.txt!$M920)</f>
        <v>#N/A</v>
      </c>
      <c r="U920" t="e">
        <f>INDEX(script.out!I:I,results.txt!$M920)</f>
        <v>#N/A</v>
      </c>
      <c r="V920" t="e">
        <f>INDEX(script.out!J:J,results.txt!$M920)</f>
        <v>#N/A</v>
      </c>
      <c r="W920" t="e">
        <f>INDEX(script.out!K:K,results.txt!$M920)</f>
        <v>#N/A</v>
      </c>
      <c r="X920" t="e">
        <f>INDEX(script.out!L:L,results.txt!$M920)</f>
        <v>#N/A</v>
      </c>
      <c r="Y920" t="e">
        <f>INDEX(script.out!M:M,results.txt!$M920)</f>
        <v>#N/A</v>
      </c>
      <c r="Z920" t="e">
        <f>INDEX(script.out!N:N,results.txt!$M920)</f>
        <v>#N/A</v>
      </c>
      <c r="AA920" t="e">
        <f>INDEX(script.out!O:O,results.txt!$M920)</f>
        <v>#N/A</v>
      </c>
      <c r="AB920" t="e">
        <f>INDEX(script.out!P:P,results.txt!$M920)</f>
        <v>#N/A</v>
      </c>
      <c r="AC920" t="e">
        <f>INDEX(script.out!Q:Q,results.txt!$M920)</f>
        <v>#N/A</v>
      </c>
      <c r="AD920">
        <f t="shared" si="14"/>
        <v>0</v>
      </c>
    </row>
    <row r="921" spans="13:30" x14ac:dyDescent="0.25">
      <c r="M921" t="e">
        <f>MATCH(C921,script.out!B:B,0)</f>
        <v>#N/A</v>
      </c>
      <c r="N921" t="e">
        <f>INDEX(script.out!B:B,results.txt!$M921)</f>
        <v>#N/A</v>
      </c>
      <c r="O921" t="e">
        <f>INDEX(script.out!C:C,results.txt!$M921)</f>
        <v>#N/A</v>
      </c>
      <c r="P921" t="e">
        <f>INDEX(script.out!D:D,results.txt!$M921)</f>
        <v>#N/A</v>
      </c>
      <c r="Q921" t="e">
        <f>INDEX(script.out!E:E,results.txt!$M921)</f>
        <v>#N/A</v>
      </c>
      <c r="R921" t="e">
        <f>INDEX(script.out!F:F,results.txt!$M921)</f>
        <v>#N/A</v>
      </c>
      <c r="S921" t="e">
        <f>INDEX(script.out!G:G,results.txt!$M921)</f>
        <v>#N/A</v>
      </c>
      <c r="T921" t="e">
        <f>INDEX(script.out!H:H,results.txt!$M921)</f>
        <v>#N/A</v>
      </c>
      <c r="U921" t="e">
        <f>INDEX(script.out!I:I,results.txt!$M921)</f>
        <v>#N/A</v>
      </c>
      <c r="V921" t="e">
        <f>INDEX(script.out!J:J,results.txt!$M921)</f>
        <v>#N/A</v>
      </c>
      <c r="W921" t="e">
        <f>INDEX(script.out!K:K,results.txt!$M921)</f>
        <v>#N/A</v>
      </c>
      <c r="X921" t="e">
        <f>INDEX(script.out!L:L,results.txt!$M921)</f>
        <v>#N/A</v>
      </c>
      <c r="Y921" t="e">
        <f>INDEX(script.out!M:M,results.txt!$M921)</f>
        <v>#N/A</v>
      </c>
      <c r="Z921" t="e">
        <f>INDEX(script.out!N:N,results.txt!$M921)</f>
        <v>#N/A</v>
      </c>
      <c r="AA921" t="e">
        <f>INDEX(script.out!O:O,results.txt!$M921)</f>
        <v>#N/A</v>
      </c>
      <c r="AB921" t="e">
        <f>INDEX(script.out!P:P,results.txt!$M921)</f>
        <v>#N/A</v>
      </c>
      <c r="AC921" t="e">
        <f>INDEX(script.out!Q:Q,results.txt!$M921)</f>
        <v>#N/A</v>
      </c>
      <c r="AD921">
        <f t="shared" si="14"/>
        <v>0</v>
      </c>
    </row>
    <row r="922" spans="13:30" x14ac:dyDescent="0.25">
      <c r="M922" t="e">
        <f>MATCH(C922,script.out!B:B,0)</f>
        <v>#N/A</v>
      </c>
      <c r="N922" t="e">
        <f>INDEX(script.out!B:B,results.txt!$M922)</f>
        <v>#N/A</v>
      </c>
      <c r="O922" t="e">
        <f>INDEX(script.out!C:C,results.txt!$M922)</f>
        <v>#N/A</v>
      </c>
      <c r="P922" t="e">
        <f>INDEX(script.out!D:D,results.txt!$M922)</f>
        <v>#N/A</v>
      </c>
      <c r="Q922" t="e">
        <f>INDEX(script.out!E:E,results.txt!$M922)</f>
        <v>#N/A</v>
      </c>
      <c r="R922" t="e">
        <f>INDEX(script.out!F:F,results.txt!$M922)</f>
        <v>#N/A</v>
      </c>
      <c r="S922" t="e">
        <f>INDEX(script.out!G:G,results.txt!$M922)</f>
        <v>#N/A</v>
      </c>
      <c r="T922" t="e">
        <f>INDEX(script.out!H:H,results.txt!$M922)</f>
        <v>#N/A</v>
      </c>
      <c r="U922" t="e">
        <f>INDEX(script.out!I:I,results.txt!$M922)</f>
        <v>#N/A</v>
      </c>
      <c r="V922" t="e">
        <f>INDEX(script.out!J:J,results.txt!$M922)</f>
        <v>#N/A</v>
      </c>
      <c r="W922" t="e">
        <f>INDEX(script.out!K:K,results.txt!$M922)</f>
        <v>#N/A</v>
      </c>
      <c r="X922" t="e">
        <f>INDEX(script.out!L:L,results.txt!$M922)</f>
        <v>#N/A</v>
      </c>
      <c r="Y922" t="e">
        <f>INDEX(script.out!M:M,results.txt!$M922)</f>
        <v>#N/A</v>
      </c>
      <c r="Z922" t="e">
        <f>INDEX(script.out!N:N,results.txt!$M922)</f>
        <v>#N/A</v>
      </c>
      <c r="AA922" t="e">
        <f>INDEX(script.out!O:O,results.txt!$M922)</f>
        <v>#N/A</v>
      </c>
      <c r="AB922" t="e">
        <f>INDEX(script.out!P:P,results.txt!$M922)</f>
        <v>#N/A</v>
      </c>
      <c r="AC922" t="e">
        <f>INDEX(script.out!Q:Q,results.txt!$M922)</f>
        <v>#N/A</v>
      </c>
      <c r="AD922">
        <f t="shared" si="14"/>
        <v>0</v>
      </c>
    </row>
    <row r="923" spans="13:30" x14ac:dyDescent="0.25">
      <c r="M923" t="e">
        <f>MATCH(C923,script.out!B:B,0)</f>
        <v>#N/A</v>
      </c>
      <c r="N923" t="e">
        <f>INDEX(script.out!B:B,results.txt!$M923)</f>
        <v>#N/A</v>
      </c>
      <c r="O923" t="e">
        <f>INDEX(script.out!C:C,results.txt!$M923)</f>
        <v>#N/A</v>
      </c>
      <c r="P923" t="e">
        <f>INDEX(script.out!D:D,results.txt!$M923)</f>
        <v>#N/A</v>
      </c>
      <c r="Q923" t="e">
        <f>INDEX(script.out!E:E,results.txt!$M923)</f>
        <v>#N/A</v>
      </c>
      <c r="R923" t="e">
        <f>INDEX(script.out!F:F,results.txt!$M923)</f>
        <v>#N/A</v>
      </c>
      <c r="S923" t="e">
        <f>INDEX(script.out!G:G,results.txt!$M923)</f>
        <v>#N/A</v>
      </c>
      <c r="T923" t="e">
        <f>INDEX(script.out!H:H,results.txt!$M923)</f>
        <v>#N/A</v>
      </c>
      <c r="U923" t="e">
        <f>INDEX(script.out!I:I,results.txt!$M923)</f>
        <v>#N/A</v>
      </c>
      <c r="V923" t="e">
        <f>INDEX(script.out!J:J,results.txt!$M923)</f>
        <v>#N/A</v>
      </c>
      <c r="W923" t="e">
        <f>INDEX(script.out!K:K,results.txt!$M923)</f>
        <v>#N/A</v>
      </c>
      <c r="X923" t="e">
        <f>INDEX(script.out!L:L,results.txt!$M923)</f>
        <v>#N/A</v>
      </c>
      <c r="Y923" t="e">
        <f>INDEX(script.out!M:M,results.txt!$M923)</f>
        <v>#N/A</v>
      </c>
      <c r="Z923" t="e">
        <f>INDEX(script.out!N:N,results.txt!$M923)</f>
        <v>#N/A</v>
      </c>
      <c r="AA923" t="e">
        <f>INDEX(script.out!O:O,results.txt!$M923)</f>
        <v>#N/A</v>
      </c>
      <c r="AB923" t="e">
        <f>INDEX(script.out!P:P,results.txt!$M923)</f>
        <v>#N/A</v>
      </c>
      <c r="AC923" t="e">
        <f>INDEX(script.out!Q:Q,results.txt!$M923)</f>
        <v>#N/A</v>
      </c>
      <c r="AD923">
        <f t="shared" si="14"/>
        <v>0</v>
      </c>
    </row>
    <row r="924" spans="13:30" x14ac:dyDescent="0.25">
      <c r="M924" t="e">
        <f>MATCH(C924,script.out!B:B,0)</f>
        <v>#N/A</v>
      </c>
      <c r="N924" t="e">
        <f>INDEX(script.out!B:B,results.txt!$M924)</f>
        <v>#N/A</v>
      </c>
      <c r="O924" t="e">
        <f>INDEX(script.out!C:C,results.txt!$M924)</f>
        <v>#N/A</v>
      </c>
      <c r="P924" t="e">
        <f>INDEX(script.out!D:D,results.txt!$M924)</f>
        <v>#N/A</v>
      </c>
      <c r="Q924" t="e">
        <f>INDEX(script.out!E:E,results.txt!$M924)</f>
        <v>#N/A</v>
      </c>
      <c r="R924" t="e">
        <f>INDEX(script.out!F:F,results.txt!$M924)</f>
        <v>#N/A</v>
      </c>
      <c r="S924" t="e">
        <f>INDEX(script.out!G:G,results.txt!$M924)</f>
        <v>#N/A</v>
      </c>
      <c r="T924" t="e">
        <f>INDEX(script.out!H:H,results.txt!$M924)</f>
        <v>#N/A</v>
      </c>
      <c r="U924" t="e">
        <f>INDEX(script.out!I:I,results.txt!$M924)</f>
        <v>#N/A</v>
      </c>
      <c r="V924" t="e">
        <f>INDEX(script.out!J:J,results.txt!$M924)</f>
        <v>#N/A</v>
      </c>
      <c r="W924" t="e">
        <f>INDEX(script.out!K:K,results.txt!$M924)</f>
        <v>#N/A</v>
      </c>
      <c r="X924" t="e">
        <f>INDEX(script.out!L:L,results.txt!$M924)</f>
        <v>#N/A</v>
      </c>
      <c r="Y924" t="e">
        <f>INDEX(script.out!M:M,results.txt!$M924)</f>
        <v>#N/A</v>
      </c>
      <c r="Z924" t="e">
        <f>INDEX(script.out!N:N,results.txt!$M924)</f>
        <v>#N/A</v>
      </c>
      <c r="AA924" t="e">
        <f>INDEX(script.out!O:O,results.txt!$M924)</f>
        <v>#N/A</v>
      </c>
      <c r="AB924" t="e">
        <f>INDEX(script.out!P:P,results.txt!$M924)</f>
        <v>#N/A</v>
      </c>
      <c r="AC924" t="e">
        <f>INDEX(script.out!Q:Q,results.txt!$M924)</f>
        <v>#N/A</v>
      </c>
      <c r="AD924">
        <f t="shared" si="14"/>
        <v>0</v>
      </c>
    </row>
    <row r="925" spans="13:30" x14ac:dyDescent="0.25">
      <c r="M925" t="e">
        <f>MATCH(C925,script.out!B:B,0)</f>
        <v>#N/A</v>
      </c>
      <c r="N925" t="e">
        <f>INDEX(script.out!B:B,results.txt!$M925)</f>
        <v>#N/A</v>
      </c>
      <c r="O925" t="e">
        <f>INDEX(script.out!C:C,results.txt!$M925)</f>
        <v>#N/A</v>
      </c>
      <c r="P925" t="e">
        <f>INDEX(script.out!D:D,results.txt!$M925)</f>
        <v>#N/A</v>
      </c>
      <c r="Q925" t="e">
        <f>INDEX(script.out!E:E,results.txt!$M925)</f>
        <v>#N/A</v>
      </c>
      <c r="R925" t="e">
        <f>INDEX(script.out!F:F,results.txt!$M925)</f>
        <v>#N/A</v>
      </c>
      <c r="S925" t="e">
        <f>INDEX(script.out!G:G,results.txt!$M925)</f>
        <v>#N/A</v>
      </c>
      <c r="T925" t="e">
        <f>INDEX(script.out!H:H,results.txt!$M925)</f>
        <v>#N/A</v>
      </c>
      <c r="U925" t="e">
        <f>INDEX(script.out!I:I,results.txt!$M925)</f>
        <v>#N/A</v>
      </c>
      <c r="V925" t="e">
        <f>INDEX(script.out!J:J,results.txt!$M925)</f>
        <v>#N/A</v>
      </c>
      <c r="W925" t="e">
        <f>INDEX(script.out!K:K,results.txt!$M925)</f>
        <v>#N/A</v>
      </c>
      <c r="X925" t="e">
        <f>INDEX(script.out!L:L,results.txt!$M925)</f>
        <v>#N/A</v>
      </c>
      <c r="Y925" t="e">
        <f>INDEX(script.out!M:M,results.txt!$M925)</f>
        <v>#N/A</v>
      </c>
      <c r="Z925" t="e">
        <f>INDEX(script.out!N:N,results.txt!$M925)</f>
        <v>#N/A</v>
      </c>
      <c r="AA925" t="e">
        <f>INDEX(script.out!O:O,results.txt!$M925)</f>
        <v>#N/A</v>
      </c>
      <c r="AB925" t="e">
        <f>INDEX(script.out!P:P,results.txt!$M925)</f>
        <v>#N/A</v>
      </c>
      <c r="AC925" t="e">
        <f>INDEX(script.out!Q:Q,results.txt!$M925)</f>
        <v>#N/A</v>
      </c>
      <c r="AD925">
        <f t="shared" si="14"/>
        <v>0</v>
      </c>
    </row>
    <row r="926" spans="13:30" x14ac:dyDescent="0.25">
      <c r="M926" t="e">
        <f>MATCH(C926,script.out!B:B,0)</f>
        <v>#N/A</v>
      </c>
      <c r="N926" t="e">
        <f>INDEX(script.out!B:B,results.txt!$M926)</f>
        <v>#N/A</v>
      </c>
      <c r="O926" t="e">
        <f>INDEX(script.out!C:C,results.txt!$M926)</f>
        <v>#N/A</v>
      </c>
      <c r="P926" t="e">
        <f>INDEX(script.out!D:D,results.txt!$M926)</f>
        <v>#N/A</v>
      </c>
      <c r="Q926" t="e">
        <f>INDEX(script.out!E:E,results.txt!$M926)</f>
        <v>#N/A</v>
      </c>
      <c r="R926" t="e">
        <f>INDEX(script.out!F:F,results.txt!$M926)</f>
        <v>#N/A</v>
      </c>
      <c r="S926" t="e">
        <f>INDEX(script.out!G:G,results.txt!$M926)</f>
        <v>#N/A</v>
      </c>
      <c r="T926" t="e">
        <f>INDEX(script.out!H:H,results.txt!$M926)</f>
        <v>#N/A</v>
      </c>
      <c r="U926" t="e">
        <f>INDEX(script.out!I:I,results.txt!$M926)</f>
        <v>#N/A</v>
      </c>
      <c r="V926" t="e">
        <f>INDEX(script.out!J:J,results.txt!$M926)</f>
        <v>#N/A</v>
      </c>
      <c r="W926" t="e">
        <f>INDEX(script.out!K:K,results.txt!$M926)</f>
        <v>#N/A</v>
      </c>
      <c r="X926" t="e">
        <f>INDEX(script.out!L:L,results.txt!$M926)</f>
        <v>#N/A</v>
      </c>
      <c r="Y926" t="e">
        <f>INDEX(script.out!M:M,results.txt!$M926)</f>
        <v>#N/A</v>
      </c>
      <c r="Z926" t="e">
        <f>INDEX(script.out!N:N,results.txt!$M926)</f>
        <v>#N/A</v>
      </c>
      <c r="AA926" t="e">
        <f>INDEX(script.out!O:O,results.txt!$M926)</f>
        <v>#N/A</v>
      </c>
      <c r="AB926" t="e">
        <f>INDEX(script.out!P:P,results.txt!$M926)</f>
        <v>#N/A</v>
      </c>
      <c r="AC926" t="e">
        <f>INDEX(script.out!Q:Q,results.txt!$M926)</f>
        <v>#N/A</v>
      </c>
      <c r="AD926">
        <f t="shared" si="14"/>
        <v>0</v>
      </c>
    </row>
    <row r="927" spans="13:30" x14ac:dyDescent="0.25">
      <c r="M927" t="e">
        <f>MATCH(C927,script.out!B:B,0)</f>
        <v>#N/A</v>
      </c>
      <c r="N927" t="e">
        <f>INDEX(script.out!B:B,results.txt!$M927)</f>
        <v>#N/A</v>
      </c>
      <c r="O927" t="e">
        <f>INDEX(script.out!C:C,results.txt!$M927)</f>
        <v>#N/A</v>
      </c>
      <c r="P927" t="e">
        <f>INDEX(script.out!D:D,results.txt!$M927)</f>
        <v>#N/A</v>
      </c>
      <c r="Q927" t="e">
        <f>INDEX(script.out!E:E,results.txt!$M927)</f>
        <v>#N/A</v>
      </c>
      <c r="R927" t="e">
        <f>INDEX(script.out!F:F,results.txt!$M927)</f>
        <v>#N/A</v>
      </c>
      <c r="S927" t="e">
        <f>INDEX(script.out!G:G,results.txt!$M927)</f>
        <v>#N/A</v>
      </c>
      <c r="T927" t="e">
        <f>INDEX(script.out!H:H,results.txt!$M927)</f>
        <v>#N/A</v>
      </c>
      <c r="U927" t="e">
        <f>INDEX(script.out!I:I,results.txt!$M927)</f>
        <v>#N/A</v>
      </c>
      <c r="V927" t="e">
        <f>INDEX(script.out!J:J,results.txt!$M927)</f>
        <v>#N/A</v>
      </c>
      <c r="W927" t="e">
        <f>INDEX(script.out!K:K,results.txt!$M927)</f>
        <v>#N/A</v>
      </c>
      <c r="X927" t="e">
        <f>INDEX(script.out!L:L,results.txt!$M927)</f>
        <v>#N/A</v>
      </c>
      <c r="Y927" t="e">
        <f>INDEX(script.out!M:M,results.txt!$M927)</f>
        <v>#N/A</v>
      </c>
      <c r="Z927" t="e">
        <f>INDEX(script.out!N:N,results.txt!$M927)</f>
        <v>#N/A</v>
      </c>
      <c r="AA927" t="e">
        <f>INDEX(script.out!O:O,results.txt!$M927)</f>
        <v>#N/A</v>
      </c>
      <c r="AB927" t="e">
        <f>INDEX(script.out!P:P,results.txt!$M927)</f>
        <v>#N/A</v>
      </c>
      <c r="AC927" t="e">
        <f>INDEX(script.out!Q:Q,results.txt!$M927)</f>
        <v>#N/A</v>
      </c>
      <c r="AD927">
        <f t="shared" si="14"/>
        <v>0</v>
      </c>
    </row>
    <row r="928" spans="13:30" x14ac:dyDescent="0.25">
      <c r="M928" t="e">
        <f>MATCH(C928,script.out!B:B,0)</f>
        <v>#N/A</v>
      </c>
      <c r="N928" t="e">
        <f>INDEX(script.out!B:B,results.txt!$M928)</f>
        <v>#N/A</v>
      </c>
      <c r="O928" t="e">
        <f>INDEX(script.out!C:C,results.txt!$M928)</f>
        <v>#N/A</v>
      </c>
      <c r="P928" t="e">
        <f>INDEX(script.out!D:D,results.txt!$M928)</f>
        <v>#N/A</v>
      </c>
      <c r="Q928" t="e">
        <f>INDEX(script.out!E:E,results.txt!$M928)</f>
        <v>#N/A</v>
      </c>
      <c r="R928" t="e">
        <f>INDEX(script.out!F:F,results.txt!$M928)</f>
        <v>#N/A</v>
      </c>
      <c r="S928" t="e">
        <f>INDEX(script.out!G:G,results.txt!$M928)</f>
        <v>#N/A</v>
      </c>
      <c r="T928" t="e">
        <f>INDEX(script.out!H:H,results.txt!$M928)</f>
        <v>#N/A</v>
      </c>
      <c r="U928" t="e">
        <f>INDEX(script.out!I:I,results.txt!$M928)</f>
        <v>#N/A</v>
      </c>
      <c r="V928" t="e">
        <f>INDEX(script.out!J:J,results.txt!$M928)</f>
        <v>#N/A</v>
      </c>
      <c r="W928" t="e">
        <f>INDEX(script.out!K:K,results.txt!$M928)</f>
        <v>#N/A</v>
      </c>
      <c r="X928" t="e">
        <f>INDEX(script.out!L:L,results.txt!$M928)</f>
        <v>#N/A</v>
      </c>
      <c r="Y928" t="e">
        <f>INDEX(script.out!M:M,results.txt!$M928)</f>
        <v>#N/A</v>
      </c>
      <c r="Z928" t="e">
        <f>INDEX(script.out!N:N,results.txt!$M928)</f>
        <v>#N/A</v>
      </c>
      <c r="AA928" t="e">
        <f>INDEX(script.out!O:O,results.txt!$M928)</f>
        <v>#N/A</v>
      </c>
      <c r="AB928" t="e">
        <f>INDEX(script.out!P:P,results.txt!$M928)</f>
        <v>#N/A</v>
      </c>
      <c r="AC928" t="e">
        <f>INDEX(script.out!Q:Q,results.txt!$M928)</f>
        <v>#N/A</v>
      </c>
      <c r="AD928">
        <f t="shared" si="14"/>
        <v>0</v>
      </c>
    </row>
    <row r="929" spans="13:30" x14ac:dyDescent="0.25">
      <c r="M929" t="e">
        <f>MATCH(C929,script.out!B:B,0)</f>
        <v>#N/A</v>
      </c>
      <c r="N929" t="e">
        <f>INDEX(script.out!B:B,results.txt!$M929)</f>
        <v>#N/A</v>
      </c>
      <c r="O929" t="e">
        <f>INDEX(script.out!C:C,results.txt!$M929)</f>
        <v>#N/A</v>
      </c>
      <c r="P929" t="e">
        <f>INDEX(script.out!D:D,results.txt!$M929)</f>
        <v>#N/A</v>
      </c>
      <c r="Q929" t="e">
        <f>INDEX(script.out!E:E,results.txt!$M929)</f>
        <v>#N/A</v>
      </c>
      <c r="R929" t="e">
        <f>INDEX(script.out!F:F,results.txt!$M929)</f>
        <v>#N/A</v>
      </c>
      <c r="S929" t="e">
        <f>INDEX(script.out!G:G,results.txt!$M929)</f>
        <v>#N/A</v>
      </c>
      <c r="T929" t="e">
        <f>INDEX(script.out!H:H,results.txt!$M929)</f>
        <v>#N/A</v>
      </c>
      <c r="U929" t="e">
        <f>INDEX(script.out!I:I,results.txt!$M929)</f>
        <v>#N/A</v>
      </c>
      <c r="V929" t="e">
        <f>INDEX(script.out!J:J,results.txt!$M929)</f>
        <v>#N/A</v>
      </c>
      <c r="W929" t="e">
        <f>INDEX(script.out!K:K,results.txt!$M929)</f>
        <v>#N/A</v>
      </c>
      <c r="X929" t="e">
        <f>INDEX(script.out!L:L,results.txt!$M929)</f>
        <v>#N/A</v>
      </c>
      <c r="Y929" t="e">
        <f>INDEX(script.out!M:M,results.txt!$M929)</f>
        <v>#N/A</v>
      </c>
      <c r="Z929" t="e">
        <f>INDEX(script.out!N:N,results.txt!$M929)</f>
        <v>#N/A</v>
      </c>
      <c r="AA929" t="e">
        <f>INDEX(script.out!O:O,results.txt!$M929)</f>
        <v>#N/A</v>
      </c>
      <c r="AB929" t="e">
        <f>INDEX(script.out!P:P,results.txt!$M929)</f>
        <v>#N/A</v>
      </c>
      <c r="AC929" t="e">
        <f>INDEX(script.out!Q:Q,results.txt!$M929)</f>
        <v>#N/A</v>
      </c>
      <c r="AD929">
        <f t="shared" si="14"/>
        <v>0</v>
      </c>
    </row>
    <row r="930" spans="13:30" x14ac:dyDescent="0.25">
      <c r="M930" t="e">
        <f>MATCH(C930,script.out!B:B,0)</f>
        <v>#N/A</v>
      </c>
      <c r="N930" t="e">
        <f>INDEX(script.out!B:B,results.txt!$M930)</f>
        <v>#N/A</v>
      </c>
      <c r="O930" t="e">
        <f>INDEX(script.out!C:C,results.txt!$M930)</f>
        <v>#N/A</v>
      </c>
      <c r="P930" t="e">
        <f>INDEX(script.out!D:D,results.txt!$M930)</f>
        <v>#N/A</v>
      </c>
      <c r="Q930" t="e">
        <f>INDEX(script.out!E:E,results.txt!$M930)</f>
        <v>#N/A</v>
      </c>
      <c r="R930" t="e">
        <f>INDEX(script.out!F:F,results.txt!$M930)</f>
        <v>#N/A</v>
      </c>
      <c r="S930" t="e">
        <f>INDEX(script.out!G:G,results.txt!$M930)</f>
        <v>#N/A</v>
      </c>
      <c r="T930" t="e">
        <f>INDEX(script.out!H:H,results.txt!$M930)</f>
        <v>#N/A</v>
      </c>
      <c r="U930" t="e">
        <f>INDEX(script.out!I:I,results.txt!$M930)</f>
        <v>#N/A</v>
      </c>
      <c r="V930" t="e">
        <f>INDEX(script.out!J:J,results.txt!$M930)</f>
        <v>#N/A</v>
      </c>
      <c r="W930" t="e">
        <f>INDEX(script.out!K:K,results.txt!$M930)</f>
        <v>#N/A</v>
      </c>
      <c r="X930" t="e">
        <f>INDEX(script.out!L:L,results.txt!$M930)</f>
        <v>#N/A</v>
      </c>
      <c r="Y930" t="e">
        <f>INDEX(script.out!M:M,results.txt!$M930)</f>
        <v>#N/A</v>
      </c>
      <c r="Z930" t="e">
        <f>INDEX(script.out!N:N,results.txt!$M930)</f>
        <v>#N/A</v>
      </c>
      <c r="AA930" t="e">
        <f>INDEX(script.out!O:O,results.txt!$M930)</f>
        <v>#N/A</v>
      </c>
      <c r="AB930" t="e">
        <f>INDEX(script.out!P:P,results.txt!$M930)</f>
        <v>#N/A</v>
      </c>
      <c r="AC930" t="e">
        <f>INDEX(script.out!Q:Q,results.txt!$M930)</f>
        <v>#N/A</v>
      </c>
      <c r="AD930">
        <f t="shared" si="14"/>
        <v>0</v>
      </c>
    </row>
    <row r="931" spans="13:30" x14ac:dyDescent="0.25">
      <c r="M931" t="e">
        <f>MATCH(C931,script.out!B:B,0)</f>
        <v>#N/A</v>
      </c>
      <c r="N931" t="e">
        <f>INDEX(script.out!B:B,results.txt!$M931)</f>
        <v>#N/A</v>
      </c>
      <c r="O931" t="e">
        <f>INDEX(script.out!C:C,results.txt!$M931)</f>
        <v>#N/A</v>
      </c>
      <c r="P931" t="e">
        <f>INDEX(script.out!D:D,results.txt!$M931)</f>
        <v>#N/A</v>
      </c>
      <c r="Q931" t="e">
        <f>INDEX(script.out!E:E,results.txt!$M931)</f>
        <v>#N/A</v>
      </c>
      <c r="R931" t="e">
        <f>INDEX(script.out!F:F,results.txt!$M931)</f>
        <v>#N/A</v>
      </c>
      <c r="S931" t="e">
        <f>INDEX(script.out!G:G,results.txt!$M931)</f>
        <v>#N/A</v>
      </c>
      <c r="T931" t="e">
        <f>INDEX(script.out!H:H,results.txt!$M931)</f>
        <v>#N/A</v>
      </c>
      <c r="U931" t="e">
        <f>INDEX(script.out!I:I,results.txt!$M931)</f>
        <v>#N/A</v>
      </c>
      <c r="V931" t="e">
        <f>INDEX(script.out!J:J,results.txt!$M931)</f>
        <v>#N/A</v>
      </c>
      <c r="W931" t="e">
        <f>INDEX(script.out!K:K,results.txt!$M931)</f>
        <v>#N/A</v>
      </c>
      <c r="X931" t="e">
        <f>INDEX(script.out!L:L,results.txt!$M931)</f>
        <v>#N/A</v>
      </c>
      <c r="Y931" t="e">
        <f>INDEX(script.out!M:M,results.txt!$M931)</f>
        <v>#N/A</v>
      </c>
      <c r="Z931" t="e">
        <f>INDEX(script.out!N:N,results.txt!$M931)</f>
        <v>#N/A</v>
      </c>
      <c r="AA931" t="e">
        <f>INDEX(script.out!O:O,results.txt!$M931)</f>
        <v>#N/A</v>
      </c>
      <c r="AB931" t="e">
        <f>INDEX(script.out!P:P,results.txt!$M931)</f>
        <v>#N/A</v>
      </c>
      <c r="AC931" t="e">
        <f>INDEX(script.out!Q:Q,results.txt!$M931)</f>
        <v>#N/A</v>
      </c>
      <c r="AD931">
        <f t="shared" si="14"/>
        <v>0</v>
      </c>
    </row>
    <row r="932" spans="13:30" x14ac:dyDescent="0.25">
      <c r="M932" t="e">
        <f>MATCH(C932,script.out!B:B,0)</f>
        <v>#N/A</v>
      </c>
      <c r="N932" t="e">
        <f>INDEX(script.out!B:B,results.txt!$M932)</f>
        <v>#N/A</v>
      </c>
      <c r="O932" t="e">
        <f>INDEX(script.out!C:C,results.txt!$M932)</f>
        <v>#N/A</v>
      </c>
      <c r="P932" t="e">
        <f>INDEX(script.out!D:D,results.txt!$M932)</f>
        <v>#N/A</v>
      </c>
      <c r="Q932" t="e">
        <f>INDEX(script.out!E:E,results.txt!$M932)</f>
        <v>#N/A</v>
      </c>
      <c r="R932" t="e">
        <f>INDEX(script.out!F:F,results.txt!$M932)</f>
        <v>#N/A</v>
      </c>
      <c r="S932" t="e">
        <f>INDEX(script.out!G:G,results.txt!$M932)</f>
        <v>#N/A</v>
      </c>
      <c r="T932" t="e">
        <f>INDEX(script.out!H:H,results.txt!$M932)</f>
        <v>#N/A</v>
      </c>
      <c r="U932" t="e">
        <f>INDEX(script.out!I:I,results.txt!$M932)</f>
        <v>#N/A</v>
      </c>
      <c r="V932" t="e">
        <f>INDEX(script.out!J:J,results.txt!$M932)</f>
        <v>#N/A</v>
      </c>
      <c r="W932" t="e">
        <f>INDEX(script.out!K:K,results.txt!$M932)</f>
        <v>#N/A</v>
      </c>
      <c r="X932" t="e">
        <f>INDEX(script.out!L:L,results.txt!$M932)</f>
        <v>#N/A</v>
      </c>
      <c r="Y932" t="e">
        <f>INDEX(script.out!M:M,results.txt!$M932)</f>
        <v>#N/A</v>
      </c>
      <c r="Z932" t="e">
        <f>INDEX(script.out!N:N,results.txt!$M932)</f>
        <v>#N/A</v>
      </c>
      <c r="AA932" t="e">
        <f>INDEX(script.out!O:O,results.txt!$M932)</f>
        <v>#N/A</v>
      </c>
      <c r="AB932" t="e">
        <f>INDEX(script.out!P:P,results.txt!$M932)</f>
        <v>#N/A</v>
      </c>
      <c r="AC932" t="e">
        <f>INDEX(script.out!Q:Q,results.txt!$M932)</f>
        <v>#N/A</v>
      </c>
      <c r="AD932">
        <f t="shared" si="14"/>
        <v>0</v>
      </c>
    </row>
    <row r="933" spans="13:30" x14ac:dyDescent="0.25">
      <c r="M933" t="e">
        <f>MATCH(C933,script.out!B:B,0)</f>
        <v>#N/A</v>
      </c>
      <c r="N933" t="e">
        <f>INDEX(script.out!B:B,results.txt!$M933)</f>
        <v>#N/A</v>
      </c>
      <c r="O933" t="e">
        <f>INDEX(script.out!C:C,results.txt!$M933)</f>
        <v>#N/A</v>
      </c>
      <c r="P933" t="e">
        <f>INDEX(script.out!D:D,results.txt!$M933)</f>
        <v>#N/A</v>
      </c>
      <c r="Q933" t="e">
        <f>INDEX(script.out!E:E,results.txt!$M933)</f>
        <v>#N/A</v>
      </c>
      <c r="R933" t="e">
        <f>INDEX(script.out!F:F,results.txt!$M933)</f>
        <v>#N/A</v>
      </c>
      <c r="S933" t="e">
        <f>INDEX(script.out!G:G,results.txt!$M933)</f>
        <v>#N/A</v>
      </c>
      <c r="T933" t="e">
        <f>INDEX(script.out!H:H,results.txt!$M933)</f>
        <v>#N/A</v>
      </c>
      <c r="U933" t="e">
        <f>INDEX(script.out!I:I,results.txt!$M933)</f>
        <v>#N/A</v>
      </c>
      <c r="V933" t="e">
        <f>INDEX(script.out!J:J,results.txt!$M933)</f>
        <v>#N/A</v>
      </c>
      <c r="W933" t="e">
        <f>INDEX(script.out!K:K,results.txt!$M933)</f>
        <v>#N/A</v>
      </c>
      <c r="X933" t="e">
        <f>INDEX(script.out!L:L,results.txt!$M933)</f>
        <v>#N/A</v>
      </c>
      <c r="Y933" t="e">
        <f>INDEX(script.out!M:M,results.txt!$M933)</f>
        <v>#N/A</v>
      </c>
      <c r="Z933" t="e">
        <f>INDEX(script.out!N:N,results.txt!$M933)</f>
        <v>#N/A</v>
      </c>
      <c r="AA933" t="e">
        <f>INDEX(script.out!O:O,results.txt!$M933)</f>
        <v>#N/A</v>
      </c>
      <c r="AB933" t="e">
        <f>INDEX(script.out!P:P,results.txt!$M933)</f>
        <v>#N/A</v>
      </c>
      <c r="AC933" t="e">
        <f>INDEX(script.out!Q:Q,results.txt!$M933)</f>
        <v>#N/A</v>
      </c>
      <c r="AD933">
        <f t="shared" si="14"/>
        <v>0</v>
      </c>
    </row>
    <row r="934" spans="13:30" x14ac:dyDescent="0.25">
      <c r="M934" t="e">
        <f>MATCH(C934,script.out!B:B,0)</f>
        <v>#N/A</v>
      </c>
      <c r="N934" t="e">
        <f>INDEX(script.out!B:B,results.txt!$M934)</f>
        <v>#N/A</v>
      </c>
      <c r="O934" t="e">
        <f>INDEX(script.out!C:C,results.txt!$M934)</f>
        <v>#N/A</v>
      </c>
      <c r="P934" t="e">
        <f>INDEX(script.out!D:D,results.txt!$M934)</f>
        <v>#N/A</v>
      </c>
      <c r="Q934" t="e">
        <f>INDEX(script.out!E:E,results.txt!$M934)</f>
        <v>#N/A</v>
      </c>
      <c r="R934" t="e">
        <f>INDEX(script.out!F:F,results.txt!$M934)</f>
        <v>#N/A</v>
      </c>
      <c r="S934" t="e">
        <f>INDEX(script.out!G:G,results.txt!$M934)</f>
        <v>#N/A</v>
      </c>
      <c r="T934" t="e">
        <f>INDEX(script.out!H:H,results.txt!$M934)</f>
        <v>#N/A</v>
      </c>
      <c r="U934" t="e">
        <f>INDEX(script.out!I:I,results.txt!$M934)</f>
        <v>#N/A</v>
      </c>
      <c r="V934" t="e">
        <f>INDEX(script.out!J:J,results.txt!$M934)</f>
        <v>#N/A</v>
      </c>
      <c r="W934" t="e">
        <f>INDEX(script.out!K:K,results.txt!$M934)</f>
        <v>#N/A</v>
      </c>
      <c r="X934" t="e">
        <f>INDEX(script.out!L:L,results.txt!$M934)</f>
        <v>#N/A</v>
      </c>
      <c r="Y934" t="e">
        <f>INDEX(script.out!M:M,results.txt!$M934)</f>
        <v>#N/A</v>
      </c>
      <c r="Z934" t="e">
        <f>INDEX(script.out!N:N,results.txt!$M934)</f>
        <v>#N/A</v>
      </c>
      <c r="AA934" t="e">
        <f>INDEX(script.out!O:O,results.txt!$M934)</f>
        <v>#N/A</v>
      </c>
      <c r="AB934" t="e">
        <f>INDEX(script.out!P:P,results.txt!$M934)</f>
        <v>#N/A</v>
      </c>
      <c r="AC934" t="e">
        <f>INDEX(script.out!Q:Q,results.txt!$M934)</f>
        <v>#N/A</v>
      </c>
      <c r="AD934">
        <f t="shared" si="14"/>
        <v>0</v>
      </c>
    </row>
    <row r="935" spans="13:30" x14ac:dyDescent="0.25">
      <c r="M935" t="e">
        <f>MATCH(C935,script.out!B:B,0)</f>
        <v>#N/A</v>
      </c>
      <c r="N935" t="e">
        <f>INDEX(script.out!B:B,results.txt!$M935)</f>
        <v>#N/A</v>
      </c>
      <c r="O935" t="e">
        <f>INDEX(script.out!C:C,results.txt!$M935)</f>
        <v>#N/A</v>
      </c>
      <c r="P935" t="e">
        <f>INDEX(script.out!D:D,results.txt!$M935)</f>
        <v>#N/A</v>
      </c>
      <c r="Q935" t="e">
        <f>INDEX(script.out!E:E,results.txt!$M935)</f>
        <v>#N/A</v>
      </c>
      <c r="R935" t="e">
        <f>INDEX(script.out!F:F,results.txt!$M935)</f>
        <v>#N/A</v>
      </c>
      <c r="S935" t="e">
        <f>INDEX(script.out!G:G,results.txt!$M935)</f>
        <v>#N/A</v>
      </c>
      <c r="T935" t="e">
        <f>INDEX(script.out!H:H,results.txt!$M935)</f>
        <v>#N/A</v>
      </c>
      <c r="U935" t="e">
        <f>INDEX(script.out!I:I,results.txt!$M935)</f>
        <v>#N/A</v>
      </c>
      <c r="V935" t="e">
        <f>INDEX(script.out!J:J,results.txt!$M935)</f>
        <v>#N/A</v>
      </c>
      <c r="W935" t="e">
        <f>INDEX(script.out!K:K,results.txt!$M935)</f>
        <v>#N/A</v>
      </c>
      <c r="X935" t="e">
        <f>INDEX(script.out!L:L,results.txt!$M935)</f>
        <v>#N/A</v>
      </c>
      <c r="Y935" t="e">
        <f>INDEX(script.out!M:M,results.txt!$M935)</f>
        <v>#N/A</v>
      </c>
      <c r="Z935" t="e">
        <f>INDEX(script.out!N:N,results.txt!$M935)</f>
        <v>#N/A</v>
      </c>
      <c r="AA935" t="e">
        <f>INDEX(script.out!O:O,results.txt!$M935)</f>
        <v>#N/A</v>
      </c>
      <c r="AB935" t="e">
        <f>INDEX(script.out!P:P,results.txt!$M935)</f>
        <v>#N/A</v>
      </c>
      <c r="AC935" t="e">
        <f>INDEX(script.out!Q:Q,results.txt!$M935)</f>
        <v>#N/A</v>
      </c>
      <c r="AD935">
        <f t="shared" si="14"/>
        <v>0</v>
      </c>
    </row>
    <row r="936" spans="13:30" x14ac:dyDescent="0.25">
      <c r="M936" t="e">
        <f>MATCH(C936,script.out!B:B,0)</f>
        <v>#N/A</v>
      </c>
      <c r="N936" t="e">
        <f>INDEX(script.out!B:B,results.txt!$M936)</f>
        <v>#N/A</v>
      </c>
      <c r="O936" t="e">
        <f>INDEX(script.out!C:C,results.txt!$M936)</f>
        <v>#N/A</v>
      </c>
      <c r="P936" t="e">
        <f>INDEX(script.out!D:D,results.txt!$M936)</f>
        <v>#N/A</v>
      </c>
      <c r="Q936" t="e">
        <f>INDEX(script.out!E:E,results.txt!$M936)</f>
        <v>#N/A</v>
      </c>
      <c r="R936" t="e">
        <f>INDEX(script.out!F:F,results.txt!$M936)</f>
        <v>#N/A</v>
      </c>
      <c r="S936" t="e">
        <f>INDEX(script.out!G:G,results.txt!$M936)</f>
        <v>#N/A</v>
      </c>
      <c r="T936" t="e">
        <f>INDEX(script.out!H:H,results.txt!$M936)</f>
        <v>#N/A</v>
      </c>
      <c r="U936" t="e">
        <f>INDEX(script.out!I:I,results.txt!$M936)</f>
        <v>#N/A</v>
      </c>
      <c r="V936" t="e">
        <f>INDEX(script.out!J:J,results.txt!$M936)</f>
        <v>#N/A</v>
      </c>
      <c r="W936" t="e">
        <f>INDEX(script.out!K:K,results.txt!$M936)</f>
        <v>#N/A</v>
      </c>
      <c r="X936" t="e">
        <f>INDEX(script.out!L:L,results.txt!$M936)</f>
        <v>#N/A</v>
      </c>
      <c r="Y936" t="e">
        <f>INDEX(script.out!M:M,results.txt!$M936)</f>
        <v>#N/A</v>
      </c>
      <c r="Z936" t="e">
        <f>INDEX(script.out!N:N,results.txt!$M936)</f>
        <v>#N/A</v>
      </c>
      <c r="AA936" t="e">
        <f>INDEX(script.out!O:O,results.txt!$M936)</f>
        <v>#N/A</v>
      </c>
      <c r="AB936" t="e">
        <f>INDEX(script.out!P:P,results.txt!$M936)</f>
        <v>#N/A</v>
      </c>
      <c r="AC936" t="e">
        <f>INDEX(script.out!Q:Q,results.txt!$M936)</f>
        <v>#N/A</v>
      </c>
      <c r="AD936">
        <f t="shared" si="14"/>
        <v>0</v>
      </c>
    </row>
    <row r="937" spans="13:30" x14ac:dyDescent="0.25">
      <c r="M937" t="e">
        <f>MATCH(C937,script.out!B:B,0)</f>
        <v>#N/A</v>
      </c>
      <c r="N937" t="e">
        <f>INDEX(script.out!B:B,results.txt!$M937)</f>
        <v>#N/A</v>
      </c>
      <c r="O937" t="e">
        <f>INDEX(script.out!C:C,results.txt!$M937)</f>
        <v>#N/A</v>
      </c>
      <c r="P937" t="e">
        <f>INDEX(script.out!D:D,results.txt!$M937)</f>
        <v>#N/A</v>
      </c>
      <c r="Q937" t="e">
        <f>INDEX(script.out!E:E,results.txt!$M937)</f>
        <v>#N/A</v>
      </c>
      <c r="R937" t="e">
        <f>INDEX(script.out!F:F,results.txt!$M937)</f>
        <v>#N/A</v>
      </c>
      <c r="S937" t="e">
        <f>INDEX(script.out!G:G,results.txt!$M937)</f>
        <v>#N/A</v>
      </c>
      <c r="T937" t="e">
        <f>INDEX(script.out!H:H,results.txt!$M937)</f>
        <v>#N/A</v>
      </c>
      <c r="U937" t="e">
        <f>INDEX(script.out!I:I,results.txt!$M937)</f>
        <v>#N/A</v>
      </c>
      <c r="V937" t="e">
        <f>INDEX(script.out!J:J,results.txt!$M937)</f>
        <v>#N/A</v>
      </c>
      <c r="W937" t="e">
        <f>INDEX(script.out!K:K,results.txt!$M937)</f>
        <v>#N/A</v>
      </c>
      <c r="X937" t="e">
        <f>INDEX(script.out!L:L,results.txt!$M937)</f>
        <v>#N/A</v>
      </c>
      <c r="Y937" t="e">
        <f>INDEX(script.out!M:M,results.txt!$M937)</f>
        <v>#N/A</v>
      </c>
      <c r="Z937" t="e">
        <f>INDEX(script.out!N:N,results.txt!$M937)</f>
        <v>#N/A</v>
      </c>
      <c r="AA937" t="e">
        <f>INDEX(script.out!O:O,results.txt!$M937)</f>
        <v>#N/A</v>
      </c>
      <c r="AB937" t="e">
        <f>INDEX(script.out!P:P,results.txt!$M937)</f>
        <v>#N/A</v>
      </c>
      <c r="AC937" t="e">
        <f>INDEX(script.out!Q:Q,results.txt!$M937)</f>
        <v>#N/A</v>
      </c>
      <c r="AD937">
        <f t="shared" si="14"/>
        <v>0</v>
      </c>
    </row>
    <row r="938" spans="13:30" x14ac:dyDescent="0.25">
      <c r="M938" t="e">
        <f>MATCH(C938,script.out!B:B,0)</f>
        <v>#N/A</v>
      </c>
      <c r="N938" t="e">
        <f>INDEX(script.out!B:B,results.txt!$M938)</f>
        <v>#N/A</v>
      </c>
      <c r="O938" t="e">
        <f>INDEX(script.out!C:C,results.txt!$M938)</f>
        <v>#N/A</v>
      </c>
      <c r="P938" t="e">
        <f>INDEX(script.out!D:D,results.txt!$M938)</f>
        <v>#N/A</v>
      </c>
      <c r="Q938" t="e">
        <f>INDEX(script.out!E:E,results.txt!$M938)</f>
        <v>#N/A</v>
      </c>
      <c r="R938" t="e">
        <f>INDEX(script.out!F:F,results.txt!$M938)</f>
        <v>#N/A</v>
      </c>
      <c r="S938" t="e">
        <f>INDEX(script.out!G:G,results.txt!$M938)</f>
        <v>#N/A</v>
      </c>
      <c r="T938" t="e">
        <f>INDEX(script.out!H:H,results.txt!$M938)</f>
        <v>#N/A</v>
      </c>
      <c r="U938" t="e">
        <f>INDEX(script.out!I:I,results.txt!$M938)</f>
        <v>#N/A</v>
      </c>
      <c r="V938" t="e">
        <f>INDEX(script.out!J:J,results.txt!$M938)</f>
        <v>#N/A</v>
      </c>
      <c r="W938" t="e">
        <f>INDEX(script.out!K:K,results.txt!$M938)</f>
        <v>#N/A</v>
      </c>
      <c r="X938" t="e">
        <f>INDEX(script.out!L:L,results.txt!$M938)</f>
        <v>#N/A</v>
      </c>
      <c r="Y938" t="e">
        <f>INDEX(script.out!M:M,results.txt!$M938)</f>
        <v>#N/A</v>
      </c>
      <c r="Z938" t="e">
        <f>INDEX(script.out!N:N,results.txt!$M938)</f>
        <v>#N/A</v>
      </c>
      <c r="AA938" t="e">
        <f>INDEX(script.out!O:O,results.txt!$M938)</f>
        <v>#N/A</v>
      </c>
      <c r="AB938" t="e">
        <f>INDEX(script.out!P:P,results.txt!$M938)</f>
        <v>#N/A</v>
      </c>
      <c r="AC938" t="e">
        <f>INDEX(script.out!Q:Q,results.txt!$M938)</f>
        <v>#N/A</v>
      </c>
      <c r="AD938">
        <f t="shared" si="14"/>
        <v>0</v>
      </c>
    </row>
    <row r="939" spans="13:30" x14ac:dyDescent="0.25">
      <c r="M939" t="e">
        <f>MATCH(C939,script.out!B:B,0)</f>
        <v>#N/A</v>
      </c>
      <c r="N939" t="e">
        <f>INDEX(script.out!B:B,results.txt!$M939)</f>
        <v>#N/A</v>
      </c>
      <c r="O939" t="e">
        <f>INDEX(script.out!C:C,results.txt!$M939)</f>
        <v>#N/A</v>
      </c>
      <c r="P939" t="e">
        <f>INDEX(script.out!D:D,results.txt!$M939)</f>
        <v>#N/A</v>
      </c>
      <c r="Q939" t="e">
        <f>INDEX(script.out!E:E,results.txt!$M939)</f>
        <v>#N/A</v>
      </c>
      <c r="R939" t="e">
        <f>INDEX(script.out!F:F,results.txt!$M939)</f>
        <v>#N/A</v>
      </c>
      <c r="S939" t="e">
        <f>INDEX(script.out!G:G,results.txt!$M939)</f>
        <v>#N/A</v>
      </c>
      <c r="T939" t="e">
        <f>INDEX(script.out!H:H,results.txt!$M939)</f>
        <v>#N/A</v>
      </c>
      <c r="U939" t="e">
        <f>INDEX(script.out!I:I,results.txt!$M939)</f>
        <v>#N/A</v>
      </c>
      <c r="V939" t="e">
        <f>INDEX(script.out!J:J,results.txt!$M939)</f>
        <v>#N/A</v>
      </c>
      <c r="W939" t="e">
        <f>INDEX(script.out!K:K,results.txt!$M939)</f>
        <v>#N/A</v>
      </c>
      <c r="X939" t="e">
        <f>INDEX(script.out!L:L,results.txt!$M939)</f>
        <v>#N/A</v>
      </c>
      <c r="Y939" t="e">
        <f>INDEX(script.out!M:M,results.txt!$M939)</f>
        <v>#N/A</v>
      </c>
      <c r="Z939" t="e">
        <f>INDEX(script.out!N:N,results.txt!$M939)</f>
        <v>#N/A</v>
      </c>
      <c r="AA939" t="e">
        <f>INDEX(script.out!O:O,results.txt!$M939)</f>
        <v>#N/A</v>
      </c>
      <c r="AB939" t="e">
        <f>INDEX(script.out!P:P,results.txt!$M939)</f>
        <v>#N/A</v>
      </c>
      <c r="AC939" t="e">
        <f>INDEX(script.out!Q:Q,results.txt!$M939)</f>
        <v>#N/A</v>
      </c>
      <c r="AD939">
        <f t="shared" ref="AD939:AD1002" si="15">IF(A939="all",1)+IF(A939="nonDominatedFront",2)</f>
        <v>0</v>
      </c>
    </row>
    <row r="940" spans="13:30" x14ac:dyDescent="0.25">
      <c r="M940" t="e">
        <f>MATCH(C940,script.out!B:B,0)</f>
        <v>#N/A</v>
      </c>
      <c r="N940" t="e">
        <f>INDEX(script.out!B:B,results.txt!$M940)</f>
        <v>#N/A</v>
      </c>
      <c r="O940" t="e">
        <f>INDEX(script.out!C:C,results.txt!$M940)</f>
        <v>#N/A</v>
      </c>
      <c r="P940" t="e">
        <f>INDEX(script.out!D:D,results.txt!$M940)</f>
        <v>#N/A</v>
      </c>
      <c r="Q940" t="e">
        <f>INDEX(script.out!E:E,results.txt!$M940)</f>
        <v>#N/A</v>
      </c>
      <c r="R940" t="e">
        <f>INDEX(script.out!F:F,results.txt!$M940)</f>
        <v>#N/A</v>
      </c>
      <c r="S940" t="e">
        <f>INDEX(script.out!G:G,results.txt!$M940)</f>
        <v>#N/A</v>
      </c>
      <c r="T940" t="e">
        <f>INDEX(script.out!H:H,results.txt!$M940)</f>
        <v>#N/A</v>
      </c>
      <c r="U940" t="e">
        <f>INDEX(script.out!I:I,results.txt!$M940)</f>
        <v>#N/A</v>
      </c>
      <c r="V940" t="e">
        <f>INDEX(script.out!J:J,results.txt!$M940)</f>
        <v>#N/A</v>
      </c>
      <c r="W940" t="e">
        <f>INDEX(script.out!K:K,results.txt!$M940)</f>
        <v>#N/A</v>
      </c>
      <c r="X940" t="e">
        <f>INDEX(script.out!L:L,results.txt!$M940)</f>
        <v>#N/A</v>
      </c>
      <c r="Y940" t="e">
        <f>INDEX(script.out!M:M,results.txt!$M940)</f>
        <v>#N/A</v>
      </c>
      <c r="Z940" t="e">
        <f>INDEX(script.out!N:N,results.txt!$M940)</f>
        <v>#N/A</v>
      </c>
      <c r="AA940" t="e">
        <f>INDEX(script.out!O:O,results.txt!$M940)</f>
        <v>#N/A</v>
      </c>
      <c r="AB940" t="e">
        <f>INDEX(script.out!P:P,results.txt!$M940)</f>
        <v>#N/A</v>
      </c>
      <c r="AC940" t="e">
        <f>INDEX(script.out!Q:Q,results.txt!$M940)</f>
        <v>#N/A</v>
      </c>
      <c r="AD940">
        <f t="shared" si="15"/>
        <v>0</v>
      </c>
    </row>
    <row r="941" spans="13:30" x14ac:dyDescent="0.25">
      <c r="M941" t="e">
        <f>MATCH(C941,script.out!B:B,0)</f>
        <v>#N/A</v>
      </c>
      <c r="N941" t="e">
        <f>INDEX(script.out!B:B,results.txt!$M941)</f>
        <v>#N/A</v>
      </c>
      <c r="O941" t="e">
        <f>INDEX(script.out!C:C,results.txt!$M941)</f>
        <v>#N/A</v>
      </c>
      <c r="P941" t="e">
        <f>INDEX(script.out!D:D,results.txt!$M941)</f>
        <v>#N/A</v>
      </c>
      <c r="Q941" t="e">
        <f>INDEX(script.out!E:E,results.txt!$M941)</f>
        <v>#N/A</v>
      </c>
      <c r="R941" t="e">
        <f>INDEX(script.out!F:F,results.txt!$M941)</f>
        <v>#N/A</v>
      </c>
      <c r="S941" t="e">
        <f>INDEX(script.out!G:G,results.txt!$M941)</f>
        <v>#N/A</v>
      </c>
      <c r="T941" t="e">
        <f>INDEX(script.out!H:H,results.txt!$M941)</f>
        <v>#N/A</v>
      </c>
      <c r="U941" t="e">
        <f>INDEX(script.out!I:I,results.txt!$M941)</f>
        <v>#N/A</v>
      </c>
      <c r="V941" t="e">
        <f>INDEX(script.out!J:J,results.txt!$M941)</f>
        <v>#N/A</v>
      </c>
      <c r="W941" t="e">
        <f>INDEX(script.out!K:K,results.txt!$M941)</f>
        <v>#N/A</v>
      </c>
      <c r="X941" t="e">
        <f>INDEX(script.out!L:L,results.txt!$M941)</f>
        <v>#N/A</v>
      </c>
      <c r="Y941" t="e">
        <f>INDEX(script.out!M:M,results.txt!$M941)</f>
        <v>#N/A</v>
      </c>
      <c r="Z941" t="e">
        <f>INDEX(script.out!N:N,results.txt!$M941)</f>
        <v>#N/A</v>
      </c>
      <c r="AA941" t="e">
        <f>INDEX(script.out!O:O,results.txt!$M941)</f>
        <v>#N/A</v>
      </c>
      <c r="AB941" t="e">
        <f>INDEX(script.out!P:P,results.txt!$M941)</f>
        <v>#N/A</v>
      </c>
      <c r="AC941" t="e">
        <f>INDEX(script.out!Q:Q,results.txt!$M941)</f>
        <v>#N/A</v>
      </c>
      <c r="AD941">
        <f t="shared" si="15"/>
        <v>0</v>
      </c>
    </row>
    <row r="942" spans="13:30" x14ac:dyDescent="0.25">
      <c r="M942" t="e">
        <f>MATCH(C942,script.out!B:B,0)</f>
        <v>#N/A</v>
      </c>
      <c r="N942" t="e">
        <f>INDEX(script.out!B:B,results.txt!$M942)</f>
        <v>#N/A</v>
      </c>
      <c r="O942" t="e">
        <f>INDEX(script.out!C:C,results.txt!$M942)</f>
        <v>#N/A</v>
      </c>
      <c r="P942" t="e">
        <f>INDEX(script.out!D:D,results.txt!$M942)</f>
        <v>#N/A</v>
      </c>
      <c r="Q942" t="e">
        <f>INDEX(script.out!E:E,results.txt!$M942)</f>
        <v>#N/A</v>
      </c>
      <c r="R942" t="e">
        <f>INDEX(script.out!F:F,results.txt!$M942)</f>
        <v>#N/A</v>
      </c>
      <c r="S942" t="e">
        <f>INDEX(script.out!G:G,results.txt!$M942)</f>
        <v>#N/A</v>
      </c>
      <c r="T942" t="e">
        <f>INDEX(script.out!H:H,results.txt!$M942)</f>
        <v>#N/A</v>
      </c>
      <c r="U942" t="e">
        <f>INDEX(script.out!I:I,results.txt!$M942)</f>
        <v>#N/A</v>
      </c>
      <c r="V942" t="e">
        <f>INDEX(script.out!J:J,results.txt!$M942)</f>
        <v>#N/A</v>
      </c>
      <c r="W942" t="e">
        <f>INDEX(script.out!K:K,results.txt!$M942)</f>
        <v>#N/A</v>
      </c>
      <c r="X942" t="e">
        <f>INDEX(script.out!L:L,results.txt!$M942)</f>
        <v>#N/A</v>
      </c>
      <c r="Y942" t="e">
        <f>INDEX(script.out!M:M,results.txt!$M942)</f>
        <v>#N/A</v>
      </c>
      <c r="Z942" t="e">
        <f>INDEX(script.out!N:N,results.txt!$M942)</f>
        <v>#N/A</v>
      </c>
      <c r="AA942" t="e">
        <f>INDEX(script.out!O:O,results.txt!$M942)</f>
        <v>#N/A</v>
      </c>
      <c r="AB942" t="e">
        <f>INDEX(script.out!P:P,results.txt!$M942)</f>
        <v>#N/A</v>
      </c>
      <c r="AC942" t="e">
        <f>INDEX(script.out!Q:Q,results.txt!$M942)</f>
        <v>#N/A</v>
      </c>
      <c r="AD942">
        <f t="shared" si="15"/>
        <v>0</v>
      </c>
    </row>
    <row r="943" spans="13:30" x14ac:dyDescent="0.25">
      <c r="M943" t="e">
        <f>MATCH(C943,script.out!B:B,0)</f>
        <v>#N/A</v>
      </c>
      <c r="N943" t="e">
        <f>INDEX(script.out!B:B,results.txt!$M943)</f>
        <v>#N/A</v>
      </c>
      <c r="O943" t="e">
        <f>INDEX(script.out!C:C,results.txt!$M943)</f>
        <v>#N/A</v>
      </c>
      <c r="P943" t="e">
        <f>INDEX(script.out!D:D,results.txt!$M943)</f>
        <v>#N/A</v>
      </c>
      <c r="Q943" t="e">
        <f>INDEX(script.out!E:E,results.txt!$M943)</f>
        <v>#N/A</v>
      </c>
      <c r="R943" t="e">
        <f>INDEX(script.out!F:F,results.txt!$M943)</f>
        <v>#N/A</v>
      </c>
      <c r="S943" t="e">
        <f>INDEX(script.out!G:G,results.txt!$M943)</f>
        <v>#N/A</v>
      </c>
      <c r="T943" t="e">
        <f>INDEX(script.out!H:H,results.txt!$M943)</f>
        <v>#N/A</v>
      </c>
      <c r="U943" t="e">
        <f>INDEX(script.out!I:I,results.txt!$M943)</f>
        <v>#N/A</v>
      </c>
      <c r="V943" t="e">
        <f>INDEX(script.out!J:J,results.txt!$M943)</f>
        <v>#N/A</v>
      </c>
      <c r="W943" t="e">
        <f>INDEX(script.out!K:K,results.txt!$M943)</f>
        <v>#N/A</v>
      </c>
      <c r="X943" t="e">
        <f>INDEX(script.out!L:L,results.txt!$M943)</f>
        <v>#N/A</v>
      </c>
      <c r="Y943" t="e">
        <f>INDEX(script.out!M:M,results.txt!$M943)</f>
        <v>#N/A</v>
      </c>
      <c r="Z943" t="e">
        <f>INDEX(script.out!N:N,results.txt!$M943)</f>
        <v>#N/A</v>
      </c>
      <c r="AA943" t="e">
        <f>INDEX(script.out!O:O,results.txt!$M943)</f>
        <v>#N/A</v>
      </c>
      <c r="AB943" t="e">
        <f>INDEX(script.out!P:P,results.txt!$M943)</f>
        <v>#N/A</v>
      </c>
      <c r="AC943" t="e">
        <f>INDEX(script.out!Q:Q,results.txt!$M943)</f>
        <v>#N/A</v>
      </c>
      <c r="AD943">
        <f t="shared" si="15"/>
        <v>0</v>
      </c>
    </row>
    <row r="944" spans="13:30" x14ac:dyDescent="0.25">
      <c r="M944" t="e">
        <f>MATCH(C944,script.out!B:B,0)</f>
        <v>#N/A</v>
      </c>
      <c r="N944" t="e">
        <f>INDEX(script.out!B:B,results.txt!$M944)</f>
        <v>#N/A</v>
      </c>
      <c r="O944" t="e">
        <f>INDEX(script.out!C:C,results.txt!$M944)</f>
        <v>#N/A</v>
      </c>
      <c r="P944" t="e">
        <f>INDEX(script.out!D:D,results.txt!$M944)</f>
        <v>#N/A</v>
      </c>
      <c r="Q944" t="e">
        <f>INDEX(script.out!E:E,results.txt!$M944)</f>
        <v>#N/A</v>
      </c>
      <c r="R944" t="e">
        <f>INDEX(script.out!F:F,results.txt!$M944)</f>
        <v>#N/A</v>
      </c>
      <c r="S944" t="e">
        <f>INDEX(script.out!G:G,results.txt!$M944)</f>
        <v>#N/A</v>
      </c>
      <c r="T944" t="e">
        <f>INDEX(script.out!H:H,results.txt!$M944)</f>
        <v>#N/A</v>
      </c>
      <c r="U944" t="e">
        <f>INDEX(script.out!I:I,results.txt!$M944)</f>
        <v>#N/A</v>
      </c>
      <c r="V944" t="e">
        <f>INDEX(script.out!J:J,results.txt!$M944)</f>
        <v>#N/A</v>
      </c>
      <c r="W944" t="e">
        <f>INDEX(script.out!K:K,results.txt!$M944)</f>
        <v>#N/A</v>
      </c>
      <c r="X944" t="e">
        <f>INDEX(script.out!L:L,results.txt!$M944)</f>
        <v>#N/A</v>
      </c>
      <c r="Y944" t="e">
        <f>INDEX(script.out!M:M,results.txt!$M944)</f>
        <v>#N/A</v>
      </c>
      <c r="Z944" t="e">
        <f>INDEX(script.out!N:N,results.txt!$M944)</f>
        <v>#N/A</v>
      </c>
      <c r="AA944" t="e">
        <f>INDEX(script.out!O:O,results.txt!$M944)</f>
        <v>#N/A</v>
      </c>
      <c r="AB944" t="e">
        <f>INDEX(script.out!P:P,results.txt!$M944)</f>
        <v>#N/A</v>
      </c>
      <c r="AC944" t="e">
        <f>INDEX(script.out!Q:Q,results.txt!$M944)</f>
        <v>#N/A</v>
      </c>
      <c r="AD944">
        <f t="shared" si="15"/>
        <v>0</v>
      </c>
    </row>
    <row r="945" spans="13:30" x14ac:dyDescent="0.25">
      <c r="M945" t="e">
        <f>MATCH(C945,script.out!B:B,0)</f>
        <v>#N/A</v>
      </c>
      <c r="N945" t="e">
        <f>INDEX(script.out!B:B,results.txt!$M945)</f>
        <v>#N/A</v>
      </c>
      <c r="O945" t="e">
        <f>INDEX(script.out!C:C,results.txt!$M945)</f>
        <v>#N/A</v>
      </c>
      <c r="P945" t="e">
        <f>INDEX(script.out!D:D,results.txt!$M945)</f>
        <v>#N/A</v>
      </c>
      <c r="Q945" t="e">
        <f>INDEX(script.out!E:E,results.txt!$M945)</f>
        <v>#N/A</v>
      </c>
      <c r="R945" t="e">
        <f>INDEX(script.out!F:F,results.txt!$M945)</f>
        <v>#N/A</v>
      </c>
      <c r="S945" t="e">
        <f>INDEX(script.out!G:G,results.txt!$M945)</f>
        <v>#N/A</v>
      </c>
      <c r="T945" t="e">
        <f>INDEX(script.out!H:H,results.txt!$M945)</f>
        <v>#N/A</v>
      </c>
      <c r="U945" t="e">
        <f>INDEX(script.out!I:I,results.txt!$M945)</f>
        <v>#N/A</v>
      </c>
      <c r="V945" t="e">
        <f>INDEX(script.out!J:J,results.txt!$M945)</f>
        <v>#N/A</v>
      </c>
      <c r="W945" t="e">
        <f>INDEX(script.out!K:K,results.txt!$M945)</f>
        <v>#N/A</v>
      </c>
      <c r="X945" t="e">
        <f>INDEX(script.out!L:L,results.txt!$M945)</f>
        <v>#N/A</v>
      </c>
      <c r="Y945" t="e">
        <f>INDEX(script.out!M:M,results.txt!$M945)</f>
        <v>#N/A</v>
      </c>
      <c r="Z945" t="e">
        <f>INDEX(script.out!N:N,results.txt!$M945)</f>
        <v>#N/A</v>
      </c>
      <c r="AA945" t="e">
        <f>INDEX(script.out!O:O,results.txt!$M945)</f>
        <v>#N/A</v>
      </c>
      <c r="AB945" t="e">
        <f>INDEX(script.out!P:P,results.txt!$M945)</f>
        <v>#N/A</v>
      </c>
      <c r="AC945" t="e">
        <f>INDEX(script.out!Q:Q,results.txt!$M945)</f>
        <v>#N/A</v>
      </c>
      <c r="AD945">
        <f t="shared" si="15"/>
        <v>0</v>
      </c>
    </row>
    <row r="946" spans="13:30" x14ac:dyDescent="0.25">
      <c r="M946" t="e">
        <f>MATCH(C946,script.out!B:B,0)</f>
        <v>#N/A</v>
      </c>
      <c r="N946" t="e">
        <f>INDEX(script.out!B:B,results.txt!$M946)</f>
        <v>#N/A</v>
      </c>
      <c r="O946" t="e">
        <f>INDEX(script.out!C:C,results.txt!$M946)</f>
        <v>#N/A</v>
      </c>
      <c r="P946" t="e">
        <f>INDEX(script.out!D:D,results.txt!$M946)</f>
        <v>#N/A</v>
      </c>
      <c r="Q946" t="e">
        <f>INDEX(script.out!E:E,results.txt!$M946)</f>
        <v>#N/A</v>
      </c>
      <c r="R946" t="e">
        <f>INDEX(script.out!F:F,results.txt!$M946)</f>
        <v>#N/A</v>
      </c>
      <c r="S946" t="e">
        <f>INDEX(script.out!G:G,results.txt!$M946)</f>
        <v>#N/A</v>
      </c>
      <c r="T946" t="e">
        <f>INDEX(script.out!H:H,results.txt!$M946)</f>
        <v>#N/A</v>
      </c>
      <c r="U946" t="e">
        <f>INDEX(script.out!I:I,results.txt!$M946)</f>
        <v>#N/A</v>
      </c>
      <c r="V946" t="e">
        <f>INDEX(script.out!J:J,results.txt!$M946)</f>
        <v>#N/A</v>
      </c>
      <c r="W946" t="e">
        <f>INDEX(script.out!K:K,results.txt!$M946)</f>
        <v>#N/A</v>
      </c>
      <c r="X946" t="e">
        <f>INDEX(script.out!L:L,results.txt!$M946)</f>
        <v>#N/A</v>
      </c>
      <c r="Y946" t="e">
        <f>INDEX(script.out!M:M,results.txt!$M946)</f>
        <v>#N/A</v>
      </c>
      <c r="Z946" t="e">
        <f>INDEX(script.out!N:N,results.txt!$M946)</f>
        <v>#N/A</v>
      </c>
      <c r="AA946" t="e">
        <f>INDEX(script.out!O:O,results.txt!$M946)</f>
        <v>#N/A</v>
      </c>
      <c r="AB946" t="e">
        <f>INDEX(script.out!P:P,results.txt!$M946)</f>
        <v>#N/A</v>
      </c>
      <c r="AC946" t="e">
        <f>INDEX(script.out!Q:Q,results.txt!$M946)</f>
        <v>#N/A</v>
      </c>
      <c r="AD946">
        <f t="shared" si="15"/>
        <v>0</v>
      </c>
    </row>
    <row r="947" spans="13:30" x14ac:dyDescent="0.25">
      <c r="M947" t="e">
        <f>MATCH(C947,script.out!B:B,0)</f>
        <v>#N/A</v>
      </c>
      <c r="N947" t="e">
        <f>INDEX(script.out!B:B,results.txt!$M947)</f>
        <v>#N/A</v>
      </c>
      <c r="O947" t="e">
        <f>INDEX(script.out!C:C,results.txt!$M947)</f>
        <v>#N/A</v>
      </c>
      <c r="P947" t="e">
        <f>INDEX(script.out!D:D,results.txt!$M947)</f>
        <v>#N/A</v>
      </c>
      <c r="Q947" t="e">
        <f>INDEX(script.out!E:E,results.txt!$M947)</f>
        <v>#N/A</v>
      </c>
      <c r="R947" t="e">
        <f>INDEX(script.out!F:F,results.txt!$M947)</f>
        <v>#N/A</v>
      </c>
      <c r="S947" t="e">
        <f>INDEX(script.out!G:G,results.txt!$M947)</f>
        <v>#N/A</v>
      </c>
      <c r="T947" t="e">
        <f>INDEX(script.out!H:H,results.txt!$M947)</f>
        <v>#N/A</v>
      </c>
      <c r="U947" t="e">
        <f>INDEX(script.out!I:I,results.txt!$M947)</f>
        <v>#N/A</v>
      </c>
      <c r="V947" t="e">
        <f>INDEX(script.out!J:J,results.txt!$M947)</f>
        <v>#N/A</v>
      </c>
      <c r="W947" t="e">
        <f>INDEX(script.out!K:K,results.txt!$M947)</f>
        <v>#N/A</v>
      </c>
      <c r="X947" t="e">
        <f>INDEX(script.out!L:L,results.txt!$M947)</f>
        <v>#N/A</v>
      </c>
      <c r="Y947" t="e">
        <f>INDEX(script.out!M:M,results.txt!$M947)</f>
        <v>#N/A</v>
      </c>
      <c r="Z947" t="e">
        <f>INDEX(script.out!N:N,results.txt!$M947)</f>
        <v>#N/A</v>
      </c>
      <c r="AA947" t="e">
        <f>INDEX(script.out!O:O,results.txt!$M947)</f>
        <v>#N/A</v>
      </c>
      <c r="AB947" t="e">
        <f>INDEX(script.out!P:P,results.txt!$M947)</f>
        <v>#N/A</v>
      </c>
      <c r="AC947" t="e">
        <f>INDEX(script.out!Q:Q,results.txt!$M947)</f>
        <v>#N/A</v>
      </c>
      <c r="AD947">
        <f t="shared" si="15"/>
        <v>0</v>
      </c>
    </row>
    <row r="948" spans="13:30" x14ac:dyDescent="0.25">
      <c r="M948" t="e">
        <f>MATCH(C948,script.out!B:B,0)</f>
        <v>#N/A</v>
      </c>
      <c r="N948" t="e">
        <f>INDEX(script.out!B:B,results.txt!$M948)</f>
        <v>#N/A</v>
      </c>
      <c r="O948" t="e">
        <f>INDEX(script.out!C:C,results.txt!$M948)</f>
        <v>#N/A</v>
      </c>
      <c r="P948" t="e">
        <f>INDEX(script.out!D:D,results.txt!$M948)</f>
        <v>#N/A</v>
      </c>
      <c r="Q948" t="e">
        <f>INDEX(script.out!E:E,results.txt!$M948)</f>
        <v>#N/A</v>
      </c>
      <c r="R948" t="e">
        <f>INDEX(script.out!F:F,results.txt!$M948)</f>
        <v>#N/A</v>
      </c>
      <c r="S948" t="e">
        <f>INDEX(script.out!G:G,results.txt!$M948)</f>
        <v>#N/A</v>
      </c>
      <c r="T948" t="e">
        <f>INDEX(script.out!H:H,results.txt!$M948)</f>
        <v>#N/A</v>
      </c>
      <c r="U948" t="e">
        <f>INDEX(script.out!I:I,results.txt!$M948)</f>
        <v>#N/A</v>
      </c>
      <c r="V948" t="e">
        <f>INDEX(script.out!J:J,results.txt!$M948)</f>
        <v>#N/A</v>
      </c>
      <c r="W948" t="e">
        <f>INDEX(script.out!K:K,results.txt!$M948)</f>
        <v>#N/A</v>
      </c>
      <c r="X948" t="e">
        <f>INDEX(script.out!L:L,results.txt!$M948)</f>
        <v>#N/A</v>
      </c>
      <c r="Y948" t="e">
        <f>INDEX(script.out!M:M,results.txt!$M948)</f>
        <v>#N/A</v>
      </c>
      <c r="Z948" t="e">
        <f>INDEX(script.out!N:N,results.txt!$M948)</f>
        <v>#N/A</v>
      </c>
      <c r="AA948" t="e">
        <f>INDEX(script.out!O:O,results.txt!$M948)</f>
        <v>#N/A</v>
      </c>
      <c r="AB948" t="e">
        <f>INDEX(script.out!P:P,results.txt!$M948)</f>
        <v>#N/A</v>
      </c>
      <c r="AC948" t="e">
        <f>INDEX(script.out!Q:Q,results.txt!$M948)</f>
        <v>#N/A</v>
      </c>
      <c r="AD948">
        <f t="shared" si="15"/>
        <v>0</v>
      </c>
    </row>
    <row r="949" spans="13:30" x14ac:dyDescent="0.25">
      <c r="M949" t="e">
        <f>MATCH(C949,script.out!B:B,0)</f>
        <v>#N/A</v>
      </c>
      <c r="N949" t="e">
        <f>INDEX(script.out!B:B,results.txt!$M949)</f>
        <v>#N/A</v>
      </c>
      <c r="O949" t="e">
        <f>INDEX(script.out!C:C,results.txt!$M949)</f>
        <v>#N/A</v>
      </c>
      <c r="P949" t="e">
        <f>INDEX(script.out!D:D,results.txt!$M949)</f>
        <v>#N/A</v>
      </c>
      <c r="Q949" t="e">
        <f>INDEX(script.out!E:E,results.txt!$M949)</f>
        <v>#N/A</v>
      </c>
      <c r="R949" t="e">
        <f>INDEX(script.out!F:F,results.txt!$M949)</f>
        <v>#N/A</v>
      </c>
      <c r="S949" t="e">
        <f>INDEX(script.out!G:G,results.txt!$M949)</f>
        <v>#N/A</v>
      </c>
      <c r="T949" t="e">
        <f>INDEX(script.out!H:H,results.txt!$M949)</f>
        <v>#N/A</v>
      </c>
      <c r="U949" t="e">
        <f>INDEX(script.out!I:I,results.txt!$M949)</f>
        <v>#N/A</v>
      </c>
      <c r="V949" t="e">
        <f>INDEX(script.out!J:J,results.txt!$M949)</f>
        <v>#N/A</v>
      </c>
      <c r="W949" t="e">
        <f>INDEX(script.out!K:K,results.txt!$M949)</f>
        <v>#N/A</v>
      </c>
      <c r="X949" t="e">
        <f>INDEX(script.out!L:L,results.txt!$M949)</f>
        <v>#N/A</v>
      </c>
      <c r="Y949" t="e">
        <f>INDEX(script.out!M:M,results.txt!$M949)</f>
        <v>#N/A</v>
      </c>
      <c r="Z949" t="e">
        <f>INDEX(script.out!N:N,results.txt!$M949)</f>
        <v>#N/A</v>
      </c>
      <c r="AA949" t="e">
        <f>INDEX(script.out!O:O,results.txt!$M949)</f>
        <v>#N/A</v>
      </c>
      <c r="AB949" t="e">
        <f>INDEX(script.out!P:P,results.txt!$M949)</f>
        <v>#N/A</v>
      </c>
      <c r="AC949" t="e">
        <f>INDEX(script.out!Q:Q,results.txt!$M949)</f>
        <v>#N/A</v>
      </c>
      <c r="AD949">
        <f t="shared" si="15"/>
        <v>0</v>
      </c>
    </row>
    <row r="950" spans="13:30" x14ac:dyDescent="0.25">
      <c r="M950" t="e">
        <f>MATCH(C950,script.out!B:B,0)</f>
        <v>#N/A</v>
      </c>
      <c r="N950" t="e">
        <f>INDEX(script.out!B:B,results.txt!$M950)</f>
        <v>#N/A</v>
      </c>
      <c r="O950" t="e">
        <f>INDEX(script.out!C:C,results.txt!$M950)</f>
        <v>#N/A</v>
      </c>
      <c r="P950" t="e">
        <f>INDEX(script.out!D:D,results.txt!$M950)</f>
        <v>#N/A</v>
      </c>
      <c r="Q950" t="e">
        <f>INDEX(script.out!E:E,results.txt!$M950)</f>
        <v>#N/A</v>
      </c>
      <c r="R950" t="e">
        <f>INDEX(script.out!F:F,results.txt!$M950)</f>
        <v>#N/A</v>
      </c>
      <c r="S950" t="e">
        <f>INDEX(script.out!G:G,results.txt!$M950)</f>
        <v>#N/A</v>
      </c>
      <c r="T950" t="e">
        <f>INDEX(script.out!H:H,results.txt!$M950)</f>
        <v>#N/A</v>
      </c>
      <c r="U950" t="e">
        <f>INDEX(script.out!I:I,results.txt!$M950)</f>
        <v>#N/A</v>
      </c>
      <c r="V950" t="e">
        <f>INDEX(script.out!J:J,results.txt!$M950)</f>
        <v>#N/A</v>
      </c>
      <c r="W950" t="e">
        <f>INDEX(script.out!K:K,results.txt!$M950)</f>
        <v>#N/A</v>
      </c>
      <c r="X950" t="e">
        <f>INDEX(script.out!L:L,results.txt!$M950)</f>
        <v>#N/A</v>
      </c>
      <c r="Y950" t="e">
        <f>INDEX(script.out!M:M,results.txt!$M950)</f>
        <v>#N/A</v>
      </c>
      <c r="Z950" t="e">
        <f>INDEX(script.out!N:N,results.txt!$M950)</f>
        <v>#N/A</v>
      </c>
      <c r="AA950" t="e">
        <f>INDEX(script.out!O:O,results.txt!$M950)</f>
        <v>#N/A</v>
      </c>
      <c r="AB950" t="e">
        <f>INDEX(script.out!P:P,results.txt!$M950)</f>
        <v>#N/A</v>
      </c>
      <c r="AC950" t="e">
        <f>INDEX(script.out!Q:Q,results.txt!$M950)</f>
        <v>#N/A</v>
      </c>
      <c r="AD950">
        <f t="shared" si="15"/>
        <v>0</v>
      </c>
    </row>
    <row r="951" spans="13:30" x14ac:dyDescent="0.25">
      <c r="M951" t="e">
        <f>MATCH(C951,script.out!B:B,0)</f>
        <v>#N/A</v>
      </c>
      <c r="N951" t="e">
        <f>INDEX(script.out!B:B,results.txt!$M951)</f>
        <v>#N/A</v>
      </c>
      <c r="O951" t="e">
        <f>INDEX(script.out!C:C,results.txt!$M951)</f>
        <v>#N/A</v>
      </c>
      <c r="P951" t="e">
        <f>INDEX(script.out!D:D,results.txt!$M951)</f>
        <v>#N/A</v>
      </c>
      <c r="Q951" t="e">
        <f>INDEX(script.out!E:E,results.txt!$M951)</f>
        <v>#N/A</v>
      </c>
      <c r="R951" t="e">
        <f>INDEX(script.out!F:F,results.txt!$M951)</f>
        <v>#N/A</v>
      </c>
      <c r="S951" t="e">
        <f>INDEX(script.out!G:G,results.txt!$M951)</f>
        <v>#N/A</v>
      </c>
      <c r="T951" t="e">
        <f>INDEX(script.out!H:H,results.txt!$M951)</f>
        <v>#N/A</v>
      </c>
      <c r="U951" t="e">
        <f>INDEX(script.out!I:I,results.txt!$M951)</f>
        <v>#N/A</v>
      </c>
      <c r="V951" t="e">
        <f>INDEX(script.out!J:J,results.txt!$M951)</f>
        <v>#N/A</v>
      </c>
      <c r="W951" t="e">
        <f>INDEX(script.out!K:K,results.txt!$M951)</f>
        <v>#N/A</v>
      </c>
      <c r="X951" t="e">
        <f>INDEX(script.out!L:L,results.txt!$M951)</f>
        <v>#N/A</v>
      </c>
      <c r="Y951" t="e">
        <f>INDEX(script.out!M:M,results.txt!$M951)</f>
        <v>#N/A</v>
      </c>
      <c r="Z951" t="e">
        <f>INDEX(script.out!N:N,results.txt!$M951)</f>
        <v>#N/A</v>
      </c>
      <c r="AA951" t="e">
        <f>INDEX(script.out!O:O,results.txt!$M951)</f>
        <v>#N/A</v>
      </c>
      <c r="AB951" t="e">
        <f>INDEX(script.out!P:P,results.txt!$M951)</f>
        <v>#N/A</v>
      </c>
      <c r="AC951" t="e">
        <f>INDEX(script.out!Q:Q,results.txt!$M951)</f>
        <v>#N/A</v>
      </c>
      <c r="AD951">
        <f t="shared" si="15"/>
        <v>0</v>
      </c>
    </row>
    <row r="952" spans="13:30" x14ac:dyDescent="0.25">
      <c r="M952" t="e">
        <f>MATCH(C952,script.out!B:B,0)</f>
        <v>#N/A</v>
      </c>
      <c r="N952" t="e">
        <f>INDEX(script.out!B:B,results.txt!$M952)</f>
        <v>#N/A</v>
      </c>
      <c r="O952" t="e">
        <f>INDEX(script.out!C:C,results.txt!$M952)</f>
        <v>#N/A</v>
      </c>
      <c r="P952" t="e">
        <f>INDEX(script.out!D:D,results.txt!$M952)</f>
        <v>#N/A</v>
      </c>
      <c r="Q952" t="e">
        <f>INDEX(script.out!E:E,results.txt!$M952)</f>
        <v>#N/A</v>
      </c>
      <c r="R952" t="e">
        <f>INDEX(script.out!F:F,results.txt!$M952)</f>
        <v>#N/A</v>
      </c>
      <c r="S952" t="e">
        <f>INDEX(script.out!G:G,results.txt!$M952)</f>
        <v>#N/A</v>
      </c>
      <c r="T952" t="e">
        <f>INDEX(script.out!H:H,results.txt!$M952)</f>
        <v>#N/A</v>
      </c>
      <c r="U952" t="e">
        <f>INDEX(script.out!I:I,results.txt!$M952)</f>
        <v>#N/A</v>
      </c>
      <c r="V952" t="e">
        <f>INDEX(script.out!J:J,results.txt!$M952)</f>
        <v>#N/A</v>
      </c>
      <c r="W952" t="e">
        <f>INDEX(script.out!K:K,results.txt!$M952)</f>
        <v>#N/A</v>
      </c>
      <c r="X952" t="e">
        <f>INDEX(script.out!L:L,results.txt!$M952)</f>
        <v>#N/A</v>
      </c>
      <c r="Y952" t="e">
        <f>INDEX(script.out!M:M,results.txt!$M952)</f>
        <v>#N/A</v>
      </c>
      <c r="Z952" t="e">
        <f>INDEX(script.out!N:N,results.txt!$M952)</f>
        <v>#N/A</v>
      </c>
      <c r="AA952" t="e">
        <f>INDEX(script.out!O:O,results.txt!$M952)</f>
        <v>#N/A</v>
      </c>
      <c r="AB952" t="e">
        <f>INDEX(script.out!P:P,results.txt!$M952)</f>
        <v>#N/A</v>
      </c>
      <c r="AC952" t="e">
        <f>INDEX(script.out!Q:Q,results.txt!$M952)</f>
        <v>#N/A</v>
      </c>
      <c r="AD952">
        <f t="shared" si="15"/>
        <v>0</v>
      </c>
    </row>
    <row r="953" spans="13:30" x14ac:dyDescent="0.25">
      <c r="M953" t="e">
        <f>MATCH(C953,script.out!B:B,0)</f>
        <v>#N/A</v>
      </c>
      <c r="N953" t="e">
        <f>INDEX(script.out!B:B,results.txt!$M953)</f>
        <v>#N/A</v>
      </c>
      <c r="O953" t="e">
        <f>INDEX(script.out!C:C,results.txt!$M953)</f>
        <v>#N/A</v>
      </c>
      <c r="P953" t="e">
        <f>INDEX(script.out!D:D,results.txt!$M953)</f>
        <v>#N/A</v>
      </c>
      <c r="Q953" t="e">
        <f>INDEX(script.out!E:E,results.txt!$M953)</f>
        <v>#N/A</v>
      </c>
      <c r="R953" t="e">
        <f>INDEX(script.out!F:F,results.txt!$M953)</f>
        <v>#N/A</v>
      </c>
      <c r="S953" t="e">
        <f>INDEX(script.out!G:G,results.txt!$M953)</f>
        <v>#N/A</v>
      </c>
      <c r="T953" t="e">
        <f>INDEX(script.out!H:H,results.txt!$M953)</f>
        <v>#N/A</v>
      </c>
      <c r="U953" t="e">
        <f>INDEX(script.out!I:I,results.txt!$M953)</f>
        <v>#N/A</v>
      </c>
      <c r="V953" t="e">
        <f>INDEX(script.out!J:J,results.txt!$M953)</f>
        <v>#N/A</v>
      </c>
      <c r="W953" t="e">
        <f>INDEX(script.out!K:K,results.txt!$M953)</f>
        <v>#N/A</v>
      </c>
      <c r="X953" t="e">
        <f>INDEX(script.out!L:L,results.txt!$M953)</f>
        <v>#N/A</v>
      </c>
      <c r="Y953" t="e">
        <f>INDEX(script.out!M:M,results.txt!$M953)</f>
        <v>#N/A</v>
      </c>
      <c r="Z953" t="e">
        <f>INDEX(script.out!N:N,results.txt!$M953)</f>
        <v>#N/A</v>
      </c>
      <c r="AA953" t="e">
        <f>INDEX(script.out!O:O,results.txt!$M953)</f>
        <v>#N/A</v>
      </c>
      <c r="AB953" t="e">
        <f>INDEX(script.out!P:P,results.txt!$M953)</f>
        <v>#N/A</v>
      </c>
      <c r="AC953" t="e">
        <f>INDEX(script.out!Q:Q,results.txt!$M953)</f>
        <v>#N/A</v>
      </c>
      <c r="AD953">
        <f t="shared" si="15"/>
        <v>0</v>
      </c>
    </row>
    <row r="954" spans="13:30" x14ac:dyDescent="0.25">
      <c r="M954" t="e">
        <f>MATCH(C954,script.out!B:B,0)</f>
        <v>#N/A</v>
      </c>
      <c r="N954" t="e">
        <f>INDEX(script.out!B:B,results.txt!$M954)</f>
        <v>#N/A</v>
      </c>
      <c r="O954" t="e">
        <f>INDEX(script.out!C:C,results.txt!$M954)</f>
        <v>#N/A</v>
      </c>
      <c r="P954" t="e">
        <f>INDEX(script.out!D:D,results.txt!$M954)</f>
        <v>#N/A</v>
      </c>
      <c r="Q954" t="e">
        <f>INDEX(script.out!E:E,results.txt!$M954)</f>
        <v>#N/A</v>
      </c>
      <c r="R954" t="e">
        <f>INDEX(script.out!F:F,results.txt!$M954)</f>
        <v>#N/A</v>
      </c>
      <c r="S954" t="e">
        <f>INDEX(script.out!G:G,results.txt!$M954)</f>
        <v>#N/A</v>
      </c>
      <c r="T954" t="e">
        <f>INDEX(script.out!H:H,results.txt!$M954)</f>
        <v>#N/A</v>
      </c>
      <c r="U954" t="e">
        <f>INDEX(script.out!I:I,results.txt!$M954)</f>
        <v>#N/A</v>
      </c>
      <c r="V954" t="e">
        <f>INDEX(script.out!J:J,results.txt!$M954)</f>
        <v>#N/A</v>
      </c>
      <c r="W954" t="e">
        <f>INDEX(script.out!K:K,results.txt!$M954)</f>
        <v>#N/A</v>
      </c>
      <c r="X954" t="e">
        <f>INDEX(script.out!L:L,results.txt!$M954)</f>
        <v>#N/A</v>
      </c>
      <c r="Y954" t="e">
        <f>INDEX(script.out!M:M,results.txt!$M954)</f>
        <v>#N/A</v>
      </c>
      <c r="Z954" t="e">
        <f>INDEX(script.out!N:N,results.txt!$M954)</f>
        <v>#N/A</v>
      </c>
      <c r="AA954" t="e">
        <f>INDEX(script.out!O:O,results.txt!$M954)</f>
        <v>#N/A</v>
      </c>
      <c r="AB954" t="e">
        <f>INDEX(script.out!P:P,results.txt!$M954)</f>
        <v>#N/A</v>
      </c>
      <c r="AC954" t="e">
        <f>INDEX(script.out!Q:Q,results.txt!$M954)</f>
        <v>#N/A</v>
      </c>
      <c r="AD954">
        <f t="shared" si="15"/>
        <v>0</v>
      </c>
    </row>
    <row r="955" spans="13:30" x14ac:dyDescent="0.25">
      <c r="M955" t="e">
        <f>MATCH(C955,script.out!B:B,0)</f>
        <v>#N/A</v>
      </c>
      <c r="N955" t="e">
        <f>INDEX(script.out!B:B,results.txt!$M955)</f>
        <v>#N/A</v>
      </c>
      <c r="O955" t="e">
        <f>INDEX(script.out!C:C,results.txt!$M955)</f>
        <v>#N/A</v>
      </c>
      <c r="P955" t="e">
        <f>INDEX(script.out!D:D,results.txt!$M955)</f>
        <v>#N/A</v>
      </c>
      <c r="Q955" t="e">
        <f>INDEX(script.out!E:E,results.txt!$M955)</f>
        <v>#N/A</v>
      </c>
      <c r="R955" t="e">
        <f>INDEX(script.out!F:F,results.txt!$M955)</f>
        <v>#N/A</v>
      </c>
      <c r="S955" t="e">
        <f>INDEX(script.out!G:G,results.txt!$M955)</f>
        <v>#N/A</v>
      </c>
      <c r="T955" t="e">
        <f>INDEX(script.out!H:H,results.txt!$M955)</f>
        <v>#N/A</v>
      </c>
      <c r="U955" t="e">
        <f>INDEX(script.out!I:I,results.txt!$M955)</f>
        <v>#N/A</v>
      </c>
      <c r="V955" t="e">
        <f>INDEX(script.out!J:J,results.txt!$M955)</f>
        <v>#N/A</v>
      </c>
      <c r="W955" t="e">
        <f>INDEX(script.out!K:K,results.txt!$M955)</f>
        <v>#N/A</v>
      </c>
      <c r="X955" t="e">
        <f>INDEX(script.out!L:L,results.txt!$M955)</f>
        <v>#N/A</v>
      </c>
      <c r="Y955" t="e">
        <f>INDEX(script.out!M:M,results.txt!$M955)</f>
        <v>#N/A</v>
      </c>
      <c r="Z955" t="e">
        <f>INDEX(script.out!N:N,results.txt!$M955)</f>
        <v>#N/A</v>
      </c>
      <c r="AA955" t="e">
        <f>INDEX(script.out!O:O,results.txt!$M955)</f>
        <v>#N/A</v>
      </c>
      <c r="AB955" t="e">
        <f>INDEX(script.out!P:P,results.txt!$M955)</f>
        <v>#N/A</v>
      </c>
      <c r="AC955" t="e">
        <f>INDEX(script.out!Q:Q,results.txt!$M955)</f>
        <v>#N/A</v>
      </c>
      <c r="AD955">
        <f t="shared" si="15"/>
        <v>0</v>
      </c>
    </row>
    <row r="956" spans="13:30" x14ac:dyDescent="0.25">
      <c r="M956" t="e">
        <f>MATCH(C956,script.out!B:B,0)</f>
        <v>#N/A</v>
      </c>
      <c r="N956" t="e">
        <f>INDEX(script.out!B:B,results.txt!$M956)</f>
        <v>#N/A</v>
      </c>
      <c r="O956" t="e">
        <f>INDEX(script.out!C:C,results.txt!$M956)</f>
        <v>#N/A</v>
      </c>
      <c r="P956" t="e">
        <f>INDEX(script.out!D:D,results.txt!$M956)</f>
        <v>#N/A</v>
      </c>
      <c r="Q956" t="e">
        <f>INDEX(script.out!E:E,results.txt!$M956)</f>
        <v>#N/A</v>
      </c>
      <c r="R956" t="e">
        <f>INDEX(script.out!F:F,results.txt!$M956)</f>
        <v>#N/A</v>
      </c>
      <c r="S956" t="e">
        <f>INDEX(script.out!G:G,results.txt!$M956)</f>
        <v>#N/A</v>
      </c>
      <c r="T956" t="e">
        <f>INDEX(script.out!H:H,results.txt!$M956)</f>
        <v>#N/A</v>
      </c>
      <c r="U956" t="e">
        <f>INDEX(script.out!I:I,results.txt!$M956)</f>
        <v>#N/A</v>
      </c>
      <c r="V956" t="e">
        <f>INDEX(script.out!J:J,results.txt!$M956)</f>
        <v>#N/A</v>
      </c>
      <c r="W956" t="e">
        <f>INDEX(script.out!K:K,results.txt!$M956)</f>
        <v>#N/A</v>
      </c>
      <c r="X956" t="e">
        <f>INDEX(script.out!L:L,results.txt!$M956)</f>
        <v>#N/A</v>
      </c>
      <c r="Y956" t="e">
        <f>INDEX(script.out!M:M,results.txt!$M956)</f>
        <v>#N/A</v>
      </c>
      <c r="Z956" t="e">
        <f>INDEX(script.out!N:N,results.txt!$M956)</f>
        <v>#N/A</v>
      </c>
      <c r="AA956" t="e">
        <f>INDEX(script.out!O:O,results.txt!$M956)</f>
        <v>#N/A</v>
      </c>
      <c r="AB956" t="e">
        <f>INDEX(script.out!P:P,results.txt!$M956)</f>
        <v>#N/A</v>
      </c>
      <c r="AC956" t="e">
        <f>INDEX(script.out!Q:Q,results.txt!$M956)</f>
        <v>#N/A</v>
      </c>
      <c r="AD956">
        <f t="shared" si="15"/>
        <v>0</v>
      </c>
    </row>
    <row r="957" spans="13:30" x14ac:dyDescent="0.25">
      <c r="M957" t="e">
        <f>MATCH(C957,script.out!B:B,0)</f>
        <v>#N/A</v>
      </c>
      <c r="N957" t="e">
        <f>INDEX(script.out!B:B,results.txt!$M957)</f>
        <v>#N/A</v>
      </c>
      <c r="O957" t="e">
        <f>INDEX(script.out!C:C,results.txt!$M957)</f>
        <v>#N/A</v>
      </c>
      <c r="P957" t="e">
        <f>INDEX(script.out!D:D,results.txt!$M957)</f>
        <v>#N/A</v>
      </c>
      <c r="Q957" t="e">
        <f>INDEX(script.out!E:E,results.txt!$M957)</f>
        <v>#N/A</v>
      </c>
      <c r="R957" t="e">
        <f>INDEX(script.out!F:F,results.txt!$M957)</f>
        <v>#N/A</v>
      </c>
      <c r="S957" t="e">
        <f>INDEX(script.out!G:G,results.txt!$M957)</f>
        <v>#N/A</v>
      </c>
      <c r="T957" t="e">
        <f>INDEX(script.out!H:H,results.txt!$M957)</f>
        <v>#N/A</v>
      </c>
      <c r="U957" t="e">
        <f>INDEX(script.out!I:I,results.txt!$M957)</f>
        <v>#N/A</v>
      </c>
      <c r="V957" t="e">
        <f>INDEX(script.out!J:J,results.txt!$M957)</f>
        <v>#N/A</v>
      </c>
      <c r="W957" t="e">
        <f>INDEX(script.out!K:K,results.txt!$M957)</f>
        <v>#N/A</v>
      </c>
      <c r="X957" t="e">
        <f>INDEX(script.out!L:L,results.txt!$M957)</f>
        <v>#N/A</v>
      </c>
      <c r="Y957" t="e">
        <f>INDEX(script.out!M:M,results.txt!$M957)</f>
        <v>#N/A</v>
      </c>
      <c r="Z957" t="e">
        <f>INDEX(script.out!N:N,results.txt!$M957)</f>
        <v>#N/A</v>
      </c>
      <c r="AA957" t="e">
        <f>INDEX(script.out!O:O,results.txt!$M957)</f>
        <v>#N/A</v>
      </c>
      <c r="AB957" t="e">
        <f>INDEX(script.out!P:P,results.txt!$M957)</f>
        <v>#N/A</v>
      </c>
      <c r="AC957" t="e">
        <f>INDEX(script.out!Q:Q,results.txt!$M957)</f>
        <v>#N/A</v>
      </c>
      <c r="AD957">
        <f t="shared" si="15"/>
        <v>0</v>
      </c>
    </row>
    <row r="958" spans="13:30" x14ac:dyDescent="0.25">
      <c r="M958" t="e">
        <f>MATCH(C958,script.out!B:B,0)</f>
        <v>#N/A</v>
      </c>
      <c r="N958" t="e">
        <f>INDEX(script.out!B:B,results.txt!$M958)</f>
        <v>#N/A</v>
      </c>
      <c r="O958" t="e">
        <f>INDEX(script.out!C:C,results.txt!$M958)</f>
        <v>#N/A</v>
      </c>
      <c r="P958" t="e">
        <f>INDEX(script.out!D:D,results.txt!$M958)</f>
        <v>#N/A</v>
      </c>
      <c r="Q958" t="e">
        <f>INDEX(script.out!E:E,results.txt!$M958)</f>
        <v>#N/A</v>
      </c>
      <c r="R958" t="e">
        <f>INDEX(script.out!F:F,results.txt!$M958)</f>
        <v>#N/A</v>
      </c>
      <c r="S958" t="e">
        <f>INDEX(script.out!G:G,results.txt!$M958)</f>
        <v>#N/A</v>
      </c>
      <c r="T958" t="e">
        <f>INDEX(script.out!H:H,results.txt!$M958)</f>
        <v>#N/A</v>
      </c>
      <c r="U958" t="e">
        <f>INDEX(script.out!I:I,results.txt!$M958)</f>
        <v>#N/A</v>
      </c>
      <c r="V958" t="e">
        <f>INDEX(script.out!J:J,results.txt!$M958)</f>
        <v>#N/A</v>
      </c>
      <c r="W958" t="e">
        <f>INDEX(script.out!K:K,results.txt!$M958)</f>
        <v>#N/A</v>
      </c>
      <c r="X958" t="e">
        <f>INDEX(script.out!L:L,results.txt!$M958)</f>
        <v>#N/A</v>
      </c>
      <c r="Y958" t="e">
        <f>INDEX(script.out!M:M,results.txt!$M958)</f>
        <v>#N/A</v>
      </c>
      <c r="Z958" t="e">
        <f>INDEX(script.out!N:N,results.txt!$M958)</f>
        <v>#N/A</v>
      </c>
      <c r="AA958" t="e">
        <f>INDEX(script.out!O:O,results.txt!$M958)</f>
        <v>#N/A</v>
      </c>
      <c r="AB958" t="e">
        <f>INDEX(script.out!P:P,results.txt!$M958)</f>
        <v>#N/A</v>
      </c>
      <c r="AC958" t="e">
        <f>INDEX(script.out!Q:Q,results.txt!$M958)</f>
        <v>#N/A</v>
      </c>
      <c r="AD958">
        <f t="shared" si="15"/>
        <v>0</v>
      </c>
    </row>
    <row r="959" spans="13:30" x14ac:dyDescent="0.25">
      <c r="M959" t="e">
        <f>MATCH(C959,script.out!B:B,0)</f>
        <v>#N/A</v>
      </c>
      <c r="N959" t="e">
        <f>INDEX(script.out!B:B,results.txt!$M959)</f>
        <v>#N/A</v>
      </c>
      <c r="O959" t="e">
        <f>INDEX(script.out!C:C,results.txt!$M959)</f>
        <v>#N/A</v>
      </c>
      <c r="P959" t="e">
        <f>INDEX(script.out!D:D,results.txt!$M959)</f>
        <v>#N/A</v>
      </c>
      <c r="Q959" t="e">
        <f>INDEX(script.out!E:E,results.txt!$M959)</f>
        <v>#N/A</v>
      </c>
      <c r="R959" t="e">
        <f>INDEX(script.out!F:F,results.txt!$M959)</f>
        <v>#N/A</v>
      </c>
      <c r="S959" t="e">
        <f>INDEX(script.out!G:G,results.txt!$M959)</f>
        <v>#N/A</v>
      </c>
      <c r="T959" t="e">
        <f>INDEX(script.out!H:H,results.txt!$M959)</f>
        <v>#N/A</v>
      </c>
      <c r="U959" t="e">
        <f>INDEX(script.out!I:I,results.txt!$M959)</f>
        <v>#N/A</v>
      </c>
      <c r="V959" t="e">
        <f>INDEX(script.out!J:J,results.txt!$M959)</f>
        <v>#N/A</v>
      </c>
      <c r="W959" t="e">
        <f>INDEX(script.out!K:K,results.txt!$M959)</f>
        <v>#N/A</v>
      </c>
      <c r="X959" t="e">
        <f>INDEX(script.out!L:L,results.txt!$M959)</f>
        <v>#N/A</v>
      </c>
      <c r="Y959" t="e">
        <f>INDEX(script.out!M:M,results.txt!$M959)</f>
        <v>#N/A</v>
      </c>
      <c r="Z959" t="e">
        <f>INDEX(script.out!N:N,results.txt!$M959)</f>
        <v>#N/A</v>
      </c>
      <c r="AA959" t="e">
        <f>INDEX(script.out!O:O,results.txt!$M959)</f>
        <v>#N/A</v>
      </c>
      <c r="AB959" t="e">
        <f>INDEX(script.out!P:P,results.txt!$M959)</f>
        <v>#N/A</v>
      </c>
      <c r="AC959" t="e">
        <f>INDEX(script.out!Q:Q,results.txt!$M959)</f>
        <v>#N/A</v>
      </c>
      <c r="AD959">
        <f t="shared" si="15"/>
        <v>0</v>
      </c>
    </row>
    <row r="960" spans="13:30" x14ac:dyDescent="0.25">
      <c r="M960" t="e">
        <f>MATCH(C960,script.out!B:B,0)</f>
        <v>#N/A</v>
      </c>
      <c r="N960" t="e">
        <f>INDEX(script.out!B:B,results.txt!$M960)</f>
        <v>#N/A</v>
      </c>
      <c r="O960" t="e">
        <f>INDEX(script.out!C:C,results.txt!$M960)</f>
        <v>#N/A</v>
      </c>
      <c r="P960" t="e">
        <f>INDEX(script.out!D:D,results.txt!$M960)</f>
        <v>#N/A</v>
      </c>
      <c r="Q960" t="e">
        <f>INDEX(script.out!E:E,results.txt!$M960)</f>
        <v>#N/A</v>
      </c>
      <c r="R960" t="e">
        <f>INDEX(script.out!F:F,results.txt!$M960)</f>
        <v>#N/A</v>
      </c>
      <c r="S960" t="e">
        <f>INDEX(script.out!G:G,results.txt!$M960)</f>
        <v>#N/A</v>
      </c>
      <c r="T960" t="e">
        <f>INDEX(script.out!H:H,results.txt!$M960)</f>
        <v>#N/A</v>
      </c>
      <c r="U960" t="e">
        <f>INDEX(script.out!I:I,results.txt!$M960)</f>
        <v>#N/A</v>
      </c>
      <c r="V960" t="e">
        <f>INDEX(script.out!J:J,results.txt!$M960)</f>
        <v>#N/A</v>
      </c>
      <c r="W960" t="e">
        <f>INDEX(script.out!K:K,results.txt!$M960)</f>
        <v>#N/A</v>
      </c>
      <c r="X960" t="e">
        <f>INDEX(script.out!L:L,results.txt!$M960)</f>
        <v>#N/A</v>
      </c>
      <c r="Y960" t="e">
        <f>INDEX(script.out!M:M,results.txt!$M960)</f>
        <v>#N/A</v>
      </c>
      <c r="Z960" t="e">
        <f>INDEX(script.out!N:N,results.txt!$M960)</f>
        <v>#N/A</v>
      </c>
      <c r="AA960" t="e">
        <f>INDEX(script.out!O:O,results.txt!$M960)</f>
        <v>#N/A</v>
      </c>
      <c r="AB960" t="e">
        <f>INDEX(script.out!P:P,results.txt!$M960)</f>
        <v>#N/A</v>
      </c>
      <c r="AC960" t="e">
        <f>INDEX(script.out!Q:Q,results.txt!$M960)</f>
        <v>#N/A</v>
      </c>
      <c r="AD960">
        <f t="shared" si="15"/>
        <v>0</v>
      </c>
    </row>
    <row r="961" spans="13:30" x14ac:dyDescent="0.25">
      <c r="M961" t="e">
        <f>MATCH(C961,script.out!B:B,0)</f>
        <v>#N/A</v>
      </c>
      <c r="N961" t="e">
        <f>INDEX(script.out!B:B,results.txt!$M961)</f>
        <v>#N/A</v>
      </c>
      <c r="O961" t="e">
        <f>INDEX(script.out!C:C,results.txt!$M961)</f>
        <v>#N/A</v>
      </c>
      <c r="P961" t="e">
        <f>INDEX(script.out!D:D,results.txt!$M961)</f>
        <v>#N/A</v>
      </c>
      <c r="Q961" t="e">
        <f>INDEX(script.out!E:E,results.txt!$M961)</f>
        <v>#N/A</v>
      </c>
      <c r="R961" t="e">
        <f>INDEX(script.out!F:F,results.txt!$M961)</f>
        <v>#N/A</v>
      </c>
      <c r="S961" t="e">
        <f>INDEX(script.out!G:G,results.txt!$M961)</f>
        <v>#N/A</v>
      </c>
      <c r="T961" t="e">
        <f>INDEX(script.out!H:H,results.txt!$M961)</f>
        <v>#N/A</v>
      </c>
      <c r="U961" t="e">
        <f>INDEX(script.out!I:I,results.txt!$M961)</f>
        <v>#N/A</v>
      </c>
      <c r="V961" t="e">
        <f>INDEX(script.out!J:J,results.txt!$M961)</f>
        <v>#N/A</v>
      </c>
      <c r="W961" t="e">
        <f>INDEX(script.out!K:K,results.txt!$M961)</f>
        <v>#N/A</v>
      </c>
      <c r="X961" t="e">
        <f>INDEX(script.out!L:L,results.txt!$M961)</f>
        <v>#N/A</v>
      </c>
      <c r="Y961" t="e">
        <f>INDEX(script.out!M:M,results.txt!$M961)</f>
        <v>#N/A</v>
      </c>
      <c r="Z961" t="e">
        <f>INDEX(script.out!N:N,results.txt!$M961)</f>
        <v>#N/A</v>
      </c>
      <c r="AA961" t="e">
        <f>INDEX(script.out!O:O,results.txt!$M961)</f>
        <v>#N/A</v>
      </c>
      <c r="AB961" t="e">
        <f>INDEX(script.out!P:P,results.txt!$M961)</f>
        <v>#N/A</v>
      </c>
      <c r="AC961" t="e">
        <f>INDEX(script.out!Q:Q,results.txt!$M961)</f>
        <v>#N/A</v>
      </c>
      <c r="AD961">
        <f t="shared" si="15"/>
        <v>0</v>
      </c>
    </row>
    <row r="962" spans="13:30" x14ac:dyDescent="0.25">
      <c r="M962" t="e">
        <f>MATCH(C962,script.out!B:B,0)</f>
        <v>#N/A</v>
      </c>
      <c r="N962" t="e">
        <f>INDEX(script.out!B:B,results.txt!$M962)</f>
        <v>#N/A</v>
      </c>
      <c r="O962" t="e">
        <f>INDEX(script.out!C:C,results.txt!$M962)</f>
        <v>#N/A</v>
      </c>
      <c r="P962" t="e">
        <f>INDEX(script.out!D:D,results.txt!$M962)</f>
        <v>#N/A</v>
      </c>
      <c r="Q962" t="e">
        <f>INDEX(script.out!E:E,results.txt!$M962)</f>
        <v>#N/A</v>
      </c>
      <c r="R962" t="e">
        <f>INDEX(script.out!F:F,results.txt!$M962)</f>
        <v>#N/A</v>
      </c>
      <c r="S962" t="e">
        <f>INDEX(script.out!G:G,results.txt!$M962)</f>
        <v>#N/A</v>
      </c>
      <c r="T962" t="e">
        <f>INDEX(script.out!H:H,results.txt!$M962)</f>
        <v>#N/A</v>
      </c>
      <c r="U962" t="e">
        <f>INDEX(script.out!I:I,results.txt!$M962)</f>
        <v>#N/A</v>
      </c>
      <c r="V962" t="e">
        <f>INDEX(script.out!J:J,results.txt!$M962)</f>
        <v>#N/A</v>
      </c>
      <c r="W962" t="e">
        <f>INDEX(script.out!K:K,results.txt!$M962)</f>
        <v>#N/A</v>
      </c>
      <c r="X962" t="e">
        <f>INDEX(script.out!L:L,results.txt!$M962)</f>
        <v>#N/A</v>
      </c>
      <c r="Y962" t="e">
        <f>INDEX(script.out!M:M,results.txt!$M962)</f>
        <v>#N/A</v>
      </c>
      <c r="Z962" t="e">
        <f>INDEX(script.out!N:N,results.txt!$M962)</f>
        <v>#N/A</v>
      </c>
      <c r="AA962" t="e">
        <f>INDEX(script.out!O:O,results.txt!$M962)</f>
        <v>#N/A</v>
      </c>
      <c r="AB962" t="e">
        <f>INDEX(script.out!P:P,results.txt!$M962)</f>
        <v>#N/A</v>
      </c>
      <c r="AC962" t="e">
        <f>INDEX(script.out!Q:Q,results.txt!$M962)</f>
        <v>#N/A</v>
      </c>
      <c r="AD962">
        <f t="shared" si="15"/>
        <v>0</v>
      </c>
    </row>
    <row r="963" spans="13:30" x14ac:dyDescent="0.25">
      <c r="M963" t="e">
        <f>MATCH(C963,script.out!B:B,0)</f>
        <v>#N/A</v>
      </c>
      <c r="N963" t="e">
        <f>INDEX(script.out!B:B,results.txt!$M963)</f>
        <v>#N/A</v>
      </c>
      <c r="O963" t="e">
        <f>INDEX(script.out!C:C,results.txt!$M963)</f>
        <v>#N/A</v>
      </c>
      <c r="P963" t="e">
        <f>INDEX(script.out!D:D,results.txt!$M963)</f>
        <v>#N/A</v>
      </c>
      <c r="Q963" t="e">
        <f>INDEX(script.out!E:E,results.txt!$M963)</f>
        <v>#N/A</v>
      </c>
      <c r="R963" t="e">
        <f>INDEX(script.out!F:F,results.txt!$M963)</f>
        <v>#N/A</v>
      </c>
      <c r="S963" t="e">
        <f>INDEX(script.out!G:G,results.txt!$M963)</f>
        <v>#N/A</v>
      </c>
      <c r="T963" t="e">
        <f>INDEX(script.out!H:H,results.txt!$M963)</f>
        <v>#N/A</v>
      </c>
      <c r="U963" t="e">
        <f>INDEX(script.out!I:I,results.txt!$M963)</f>
        <v>#N/A</v>
      </c>
      <c r="V963" t="e">
        <f>INDEX(script.out!J:J,results.txt!$M963)</f>
        <v>#N/A</v>
      </c>
      <c r="W963" t="e">
        <f>INDEX(script.out!K:K,results.txt!$M963)</f>
        <v>#N/A</v>
      </c>
      <c r="X963" t="e">
        <f>INDEX(script.out!L:L,results.txt!$M963)</f>
        <v>#N/A</v>
      </c>
      <c r="Y963" t="e">
        <f>INDEX(script.out!M:M,results.txt!$M963)</f>
        <v>#N/A</v>
      </c>
      <c r="Z963" t="e">
        <f>INDEX(script.out!N:N,results.txt!$M963)</f>
        <v>#N/A</v>
      </c>
      <c r="AA963" t="e">
        <f>INDEX(script.out!O:O,results.txt!$M963)</f>
        <v>#N/A</v>
      </c>
      <c r="AB963" t="e">
        <f>INDEX(script.out!P:P,results.txt!$M963)</f>
        <v>#N/A</v>
      </c>
      <c r="AC963" t="e">
        <f>INDEX(script.out!Q:Q,results.txt!$M963)</f>
        <v>#N/A</v>
      </c>
      <c r="AD963">
        <f t="shared" si="15"/>
        <v>0</v>
      </c>
    </row>
    <row r="964" spans="13:30" x14ac:dyDescent="0.25">
      <c r="M964" t="e">
        <f>MATCH(C964,script.out!B:B,0)</f>
        <v>#N/A</v>
      </c>
      <c r="N964" t="e">
        <f>INDEX(script.out!B:B,results.txt!$M964)</f>
        <v>#N/A</v>
      </c>
      <c r="O964" t="e">
        <f>INDEX(script.out!C:C,results.txt!$M964)</f>
        <v>#N/A</v>
      </c>
      <c r="P964" t="e">
        <f>INDEX(script.out!D:D,results.txt!$M964)</f>
        <v>#N/A</v>
      </c>
      <c r="Q964" t="e">
        <f>INDEX(script.out!E:E,results.txt!$M964)</f>
        <v>#N/A</v>
      </c>
      <c r="R964" t="e">
        <f>INDEX(script.out!F:F,results.txt!$M964)</f>
        <v>#N/A</v>
      </c>
      <c r="S964" t="e">
        <f>INDEX(script.out!G:G,results.txt!$M964)</f>
        <v>#N/A</v>
      </c>
      <c r="T964" t="e">
        <f>INDEX(script.out!H:H,results.txt!$M964)</f>
        <v>#N/A</v>
      </c>
      <c r="U964" t="e">
        <f>INDEX(script.out!I:I,results.txt!$M964)</f>
        <v>#N/A</v>
      </c>
      <c r="V964" t="e">
        <f>INDEX(script.out!J:J,results.txt!$M964)</f>
        <v>#N/A</v>
      </c>
      <c r="W964" t="e">
        <f>INDEX(script.out!K:K,results.txt!$M964)</f>
        <v>#N/A</v>
      </c>
      <c r="X964" t="e">
        <f>INDEX(script.out!L:L,results.txt!$M964)</f>
        <v>#N/A</v>
      </c>
      <c r="Y964" t="e">
        <f>INDEX(script.out!M:M,results.txt!$M964)</f>
        <v>#N/A</v>
      </c>
      <c r="Z964" t="e">
        <f>INDEX(script.out!N:N,results.txt!$M964)</f>
        <v>#N/A</v>
      </c>
      <c r="AA964" t="e">
        <f>INDEX(script.out!O:O,results.txt!$M964)</f>
        <v>#N/A</v>
      </c>
      <c r="AB964" t="e">
        <f>INDEX(script.out!P:P,results.txt!$M964)</f>
        <v>#N/A</v>
      </c>
      <c r="AC964" t="e">
        <f>INDEX(script.out!Q:Q,results.txt!$M964)</f>
        <v>#N/A</v>
      </c>
      <c r="AD964">
        <f t="shared" si="15"/>
        <v>0</v>
      </c>
    </row>
    <row r="965" spans="13:30" x14ac:dyDescent="0.25">
      <c r="M965" t="e">
        <f>MATCH(C965,script.out!B:B,0)</f>
        <v>#N/A</v>
      </c>
      <c r="N965" t="e">
        <f>INDEX(script.out!B:B,results.txt!$M965)</f>
        <v>#N/A</v>
      </c>
      <c r="O965" t="e">
        <f>INDEX(script.out!C:C,results.txt!$M965)</f>
        <v>#N/A</v>
      </c>
      <c r="P965" t="e">
        <f>INDEX(script.out!D:D,results.txt!$M965)</f>
        <v>#N/A</v>
      </c>
      <c r="Q965" t="e">
        <f>INDEX(script.out!E:E,results.txt!$M965)</f>
        <v>#N/A</v>
      </c>
      <c r="R965" t="e">
        <f>INDEX(script.out!F:F,results.txt!$M965)</f>
        <v>#N/A</v>
      </c>
      <c r="S965" t="e">
        <f>INDEX(script.out!G:G,results.txt!$M965)</f>
        <v>#N/A</v>
      </c>
      <c r="T965" t="e">
        <f>INDEX(script.out!H:H,results.txt!$M965)</f>
        <v>#N/A</v>
      </c>
      <c r="U965" t="e">
        <f>INDEX(script.out!I:I,results.txt!$M965)</f>
        <v>#N/A</v>
      </c>
      <c r="V965" t="e">
        <f>INDEX(script.out!J:J,results.txt!$M965)</f>
        <v>#N/A</v>
      </c>
      <c r="W965" t="e">
        <f>INDEX(script.out!K:K,results.txt!$M965)</f>
        <v>#N/A</v>
      </c>
      <c r="X965" t="e">
        <f>INDEX(script.out!L:L,results.txt!$M965)</f>
        <v>#N/A</v>
      </c>
      <c r="Y965" t="e">
        <f>INDEX(script.out!M:M,results.txt!$M965)</f>
        <v>#N/A</v>
      </c>
      <c r="Z965" t="e">
        <f>INDEX(script.out!N:N,results.txt!$M965)</f>
        <v>#N/A</v>
      </c>
      <c r="AA965" t="e">
        <f>INDEX(script.out!O:O,results.txt!$M965)</f>
        <v>#N/A</v>
      </c>
      <c r="AB965" t="e">
        <f>INDEX(script.out!P:P,results.txt!$M965)</f>
        <v>#N/A</v>
      </c>
      <c r="AC965" t="e">
        <f>INDEX(script.out!Q:Q,results.txt!$M965)</f>
        <v>#N/A</v>
      </c>
      <c r="AD965">
        <f t="shared" si="15"/>
        <v>0</v>
      </c>
    </row>
    <row r="966" spans="13:30" x14ac:dyDescent="0.25">
      <c r="M966" t="e">
        <f>MATCH(C966,script.out!B:B,0)</f>
        <v>#N/A</v>
      </c>
      <c r="N966" t="e">
        <f>INDEX(script.out!B:B,results.txt!$M966)</f>
        <v>#N/A</v>
      </c>
      <c r="O966" t="e">
        <f>INDEX(script.out!C:C,results.txt!$M966)</f>
        <v>#N/A</v>
      </c>
      <c r="P966" t="e">
        <f>INDEX(script.out!D:D,results.txt!$M966)</f>
        <v>#N/A</v>
      </c>
      <c r="Q966" t="e">
        <f>INDEX(script.out!E:E,results.txt!$M966)</f>
        <v>#N/A</v>
      </c>
      <c r="R966" t="e">
        <f>INDEX(script.out!F:F,results.txt!$M966)</f>
        <v>#N/A</v>
      </c>
      <c r="S966" t="e">
        <f>INDEX(script.out!G:G,results.txt!$M966)</f>
        <v>#N/A</v>
      </c>
      <c r="T966" t="e">
        <f>INDEX(script.out!H:H,results.txt!$M966)</f>
        <v>#N/A</v>
      </c>
      <c r="U966" t="e">
        <f>INDEX(script.out!I:I,results.txt!$M966)</f>
        <v>#N/A</v>
      </c>
      <c r="V966" t="e">
        <f>INDEX(script.out!J:J,results.txt!$M966)</f>
        <v>#N/A</v>
      </c>
      <c r="W966" t="e">
        <f>INDEX(script.out!K:K,results.txt!$M966)</f>
        <v>#N/A</v>
      </c>
      <c r="X966" t="e">
        <f>INDEX(script.out!L:L,results.txt!$M966)</f>
        <v>#N/A</v>
      </c>
      <c r="Y966" t="e">
        <f>INDEX(script.out!M:M,results.txt!$M966)</f>
        <v>#N/A</v>
      </c>
      <c r="Z966" t="e">
        <f>INDEX(script.out!N:N,results.txt!$M966)</f>
        <v>#N/A</v>
      </c>
      <c r="AA966" t="e">
        <f>INDEX(script.out!O:O,results.txt!$M966)</f>
        <v>#N/A</v>
      </c>
      <c r="AB966" t="e">
        <f>INDEX(script.out!P:P,results.txt!$M966)</f>
        <v>#N/A</v>
      </c>
      <c r="AC966" t="e">
        <f>INDEX(script.out!Q:Q,results.txt!$M966)</f>
        <v>#N/A</v>
      </c>
      <c r="AD966">
        <f t="shared" si="15"/>
        <v>0</v>
      </c>
    </row>
    <row r="967" spans="13:30" x14ac:dyDescent="0.25">
      <c r="M967" t="e">
        <f>MATCH(C967,script.out!B:B,0)</f>
        <v>#N/A</v>
      </c>
      <c r="N967" t="e">
        <f>INDEX(script.out!B:B,results.txt!$M967)</f>
        <v>#N/A</v>
      </c>
      <c r="O967" t="e">
        <f>INDEX(script.out!C:C,results.txt!$M967)</f>
        <v>#N/A</v>
      </c>
      <c r="P967" t="e">
        <f>INDEX(script.out!D:D,results.txt!$M967)</f>
        <v>#N/A</v>
      </c>
      <c r="Q967" t="e">
        <f>INDEX(script.out!E:E,results.txt!$M967)</f>
        <v>#N/A</v>
      </c>
      <c r="R967" t="e">
        <f>INDEX(script.out!F:F,results.txt!$M967)</f>
        <v>#N/A</v>
      </c>
      <c r="S967" t="e">
        <f>INDEX(script.out!G:G,results.txt!$M967)</f>
        <v>#N/A</v>
      </c>
      <c r="T967" t="e">
        <f>INDEX(script.out!H:H,results.txt!$M967)</f>
        <v>#N/A</v>
      </c>
      <c r="U967" t="e">
        <f>INDEX(script.out!I:I,results.txt!$M967)</f>
        <v>#N/A</v>
      </c>
      <c r="V967" t="e">
        <f>INDEX(script.out!J:J,results.txt!$M967)</f>
        <v>#N/A</v>
      </c>
      <c r="W967" t="e">
        <f>INDEX(script.out!K:K,results.txt!$M967)</f>
        <v>#N/A</v>
      </c>
      <c r="X967" t="e">
        <f>INDEX(script.out!L:L,results.txt!$M967)</f>
        <v>#N/A</v>
      </c>
      <c r="Y967" t="e">
        <f>INDEX(script.out!M:M,results.txt!$M967)</f>
        <v>#N/A</v>
      </c>
      <c r="Z967" t="e">
        <f>INDEX(script.out!N:N,results.txt!$M967)</f>
        <v>#N/A</v>
      </c>
      <c r="AA967" t="e">
        <f>INDEX(script.out!O:O,results.txt!$M967)</f>
        <v>#N/A</v>
      </c>
      <c r="AB967" t="e">
        <f>INDEX(script.out!P:P,results.txt!$M967)</f>
        <v>#N/A</v>
      </c>
      <c r="AC967" t="e">
        <f>INDEX(script.out!Q:Q,results.txt!$M967)</f>
        <v>#N/A</v>
      </c>
      <c r="AD967">
        <f t="shared" si="15"/>
        <v>0</v>
      </c>
    </row>
    <row r="968" spans="13:30" x14ac:dyDescent="0.25">
      <c r="M968" t="e">
        <f>MATCH(C968,script.out!B:B,0)</f>
        <v>#N/A</v>
      </c>
      <c r="N968" t="e">
        <f>INDEX(script.out!B:B,results.txt!$M968)</f>
        <v>#N/A</v>
      </c>
      <c r="O968" t="e">
        <f>INDEX(script.out!C:C,results.txt!$M968)</f>
        <v>#N/A</v>
      </c>
      <c r="P968" t="e">
        <f>INDEX(script.out!D:D,results.txt!$M968)</f>
        <v>#N/A</v>
      </c>
      <c r="Q968" t="e">
        <f>INDEX(script.out!E:E,results.txt!$M968)</f>
        <v>#N/A</v>
      </c>
      <c r="R968" t="e">
        <f>INDEX(script.out!F:F,results.txt!$M968)</f>
        <v>#N/A</v>
      </c>
      <c r="S968" t="e">
        <f>INDEX(script.out!G:G,results.txt!$M968)</f>
        <v>#N/A</v>
      </c>
      <c r="T968" t="e">
        <f>INDEX(script.out!H:H,results.txt!$M968)</f>
        <v>#N/A</v>
      </c>
      <c r="U968" t="e">
        <f>INDEX(script.out!I:I,results.txt!$M968)</f>
        <v>#N/A</v>
      </c>
      <c r="V968" t="e">
        <f>INDEX(script.out!J:J,results.txt!$M968)</f>
        <v>#N/A</v>
      </c>
      <c r="W968" t="e">
        <f>INDEX(script.out!K:K,results.txt!$M968)</f>
        <v>#N/A</v>
      </c>
      <c r="X968" t="e">
        <f>INDEX(script.out!L:L,results.txt!$M968)</f>
        <v>#N/A</v>
      </c>
      <c r="Y968" t="e">
        <f>INDEX(script.out!M:M,results.txt!$M968)</f>
        <v>#N/A</v>
      </c>
      <c r="Z968" t="e">
        <f>INDEX(script.out!N:N,results.txt!$M968)</f>
        <v>#N/A</v>
      </c>
      <c r="AA968" t="e">
        <f>INDEX(script.out!O:O,results.txt!$M968)</f>
        <v>#N/A</v>
      </c>
      <c r="AB968" t="e">
        <f>INDEX(script.out!P:P,results.txt!$M968)</f>
        <v>#N/A</v>
      </c>
      <c r="AC968" t="e">
        <f>INDEX(script.out!Q:Q,results.txt!$M968)</f>
        <v>#N/A</v>
      </c>
      <c r="AD968">
        <f t="shared" si="15"/>
        <v>0</v>
      </c>
    </row>
    <row r="969" spans="13:30" x14ac:dyDescent="0.25">
      <c r="M969" t="e">
        <f>MATCH(C969,script.out!B:B,0)</f>
        <v>#N/A</v>
      </c>
      <c r="N969" t="e">
        <f>INDEX(script.out!B:B,results.txt!$M969)</f>
        <v>#N/A</v>
      </c>
      <c r="O969" t="e">
        <f>INDEX(script.out!C:C,results.txt!$M969)</f>
        <v>#N/A</v>
      </c>
      <c r="P969" t="e">
        <f>INDEX(script.out!D:D,results.txt!$M969)</f>
        <v>#N/A</v>
      </c>
      <c r="Q969" t="e">
        <f>INDEX(script.out!E:E,results.txt!$M969)</f>
        <v>#N/A</v>
      </c>
      <c r="R969" t="e">
        <f>INDEX(script.out!F:F,results.txt!$M969)</f>
        <v>#N/A</v>
      </c>
      <c r="S969" t="e">
        <f>INDEX(script.out!G:G,results.txt!$M969)</f>
        <v>#N/A</v>
      </c>
      <c r="T969" t="e">
        <f>INDEX(script.out!H:H,results.txt!$M969)</f>
        <v>#N/A</v>
      </c>
      <c r="U969" t="e">
        <f>INDEX(script.out!I:I,results.txt!$M969)</f>
        <v>#N/A</v>
      </c>
      <c r="V969" t="e">
        <f>INDEX(script.out!J:J,results.txt!$M969)</f>
        <v>#N/A</v>
      </c>
      <c r="W969" t="e">
        <f>INDEX(script.out!K:K,results.txt!$M969)</f>
        <v>#N/A</v>
      </c>
      <c r="X969" t="e">
        <f>INDEX(script.out!L:L,results.txt!$M969)</f>
        <v>#N/A</v>
      </c>
      <c r="Y969" t="e">
        <f>INDEX(script.out!M:M,results.txt!$M969)</f>
        <v>#N/A</v>
      </c>
      <c r="Z969" t="e">
        <f>INDEX(script.out!N:N,results.txt!$M969)</f>
        <v>#N/A</v>
      </c>
      <c r="AA969" t="e">
        <f>INDEX(script.out!O:O,results.txt!$M969)</f>
        <v>#N/A</v>
      </c>
      <c r="AB969" t="e">
        <f>INDEX(script.out!P:P,results.txt!$M969)</f>
        <v>#N/A</v>
      </c>
      <c r="AC969" t="e">
        <f>INDEX(script.out!Q:Q,results.txt!$M969)</f>
        <v>#N/A</v>
      </c>
      <c r="AD969">
        <f t="shared" si="15"/>
        <v>0</v>
      </c>
    </row>
    <row r="970" spans="13:30" x14ac:dyDescent="0.25">
      <c r="M970" t="e">
        <f>MATCH(C970,script.out!B:B,0)</f>
        <v>#N/A</v>
      </c>
      <c r="N970" t="e">
        <f>INDEX(script.out!B:B,results.txt!$M970)</f>
        <v>#N/A</v>
      </c>
      <c r="O970" t="e">
        <f>INDEX(script.out!C:C,results.txt!$M970)</f>
        <v>#N/A</v>
      </c>
      <c r="P970" t="e">
        <f>INDEX(script.out!D:D,results.txt!$M970)</f>
        <v>#N/A</v>
      </c>
      <c r="Q970" t="e">
        <f>INDEX(script.out!E:E,results.txt!$M970)</f>
        <v>#N/A</v>
      </c>
      <c r="R970" t="e">
        <f>INDEX(script.out!F:F,results.txt!$M970)</f>
        <v>#N/A</v>
      </c>
      <c r="S970" t="e">
        <f>INDEX(script.out!G:G,results.txt!$M970)</f>
        <v>#N/A</v>
      </c>
      <c r="T970" t="e">
        <f>INDEX(script.out!H:H,results.txt!$M970)</f>
        <v>#N/A</v>
      </c>
      <c r="U970" t="e">
        <f>INDEX(script.out!I:I,results.txt!$M970)</f>
        <v>#N/A</v>
      </c>
      <c r="V970" t="e">
        <f>INDEX(script.out!J:J,results.txt!$M970)</f>
        <v>#N/A</v>
      </c>
      <c r="W970" t="e">
        <f>INDEX(script.out!K:K,results.txt!$M970)</f>
        <v>#N/A</v>
      </c>
      <c r="X970" t="e">
        <f>INDEX(script.out!L:L,results.txt!$M970)</f>
        <v>#N/A</v>
      </c>
      <c r="Y970" t="e">
        <f>INDEX(script.out!M:M,results.txt!$M970)</f>
        <v>#N/A</v>
      </c>
      <c r="Z970" t="e">
        <f>INDEX(script.out!N:N,results.txt!$M970)</f>
        <v>#N/A</v>
      </c>
      <c r="AA970" t="e">
        <f>INDEX(script.out!O:O,results.txt!$M970)</f>
        <v>#N/A</v>
      </c>
      <c r="AB970" t="e">
        <f>INDEX(script.out!P:P,results.txt!$M970)</f>
        <v>#N/A</v>
      </c>
      <c r="AC970" t="e">
        <f>INDEX(script.out!Q:Q,results.txt!$M970)</f>
        <v>#N/A</v>
      </c>
      <c r="AD970">
        <f t="shared" si="15"/>
        <v>0</v>
      </c>
    </row>
    <row r="971" spans="13:30" x14ac:dyDescent="0.25">
      <c r="M971" t="e">
        <f>MATCH(C971,script.out!B:B,0)</f>
        <v>#N/A</v>
      </c>
      <c r="N971" t="e">
        <f>INDEX(script.out!B:B,results.txt!$M971)</f>
        <v>#N/A</v>
      </c>
      <c r="O971" t="e">
        <f>INDEX(script.out!C:C,results.txt!$M971)</f>
        <v>#N/A</v>
      </c>
      <c r="P971" t="e">
        <f>INDEX(script.out!D:D,results.txt!$M971)</f>
        <v>#N/A</v>
      </c>
      <c r="Q971" t="e">
        <f>INDEX(script.out!E:E,results.txt!$M971)</f>
        <v>#N/A</v>
      </c>
      <c r="R971" t="e">
        <f>INDEX(script.out!F:F,results.txt!$M971)</f>
        <v>#N/A</v>
      </c>
      <c r="S971" t="e">
        <f>INDEX(script.out!G:G,results.txt!$M971)</f>
        <v>#N/A</v>
      </c>
      <c r="T971" t="e">
        <f>INDEX(script.out!H:H,results.txt!$M971)</f>
        <v>#N/A</v>
      </c>
      <c r="U971" t="e">
        <f>INDEX(script.out!I:I,results.txt!$M971)</f>
        <v>#N/A</v>
      </c>
      <c r="V971" t="e">
        <f>INDEX(script.out!J:J,results.txt!$M971)</f>
        <v>#N/A</v>
      </c>
      <c r="W971" t="e">
        <f>INDEX(script.out!K:K,results.txt!$M971)</f>
        <v>#N/A</v>
      </c>
      <c r="X971" t="e">
        <f>INDEX(script.out!L:L,results.txt!$M971)</f>
        <v>#N/A</v>
      </c>
      <c r="Y971" t="e">
        <f>INDEX(script.out!M:M,results.txt!$M971)</f>
        <v>#N/A</v>
      </c>
      <c r="Z971" t="e">
        <f>INDEX(script.out!N:N,results.txt!$M971)</f>
        <v>#N/A</v>
      </c>
      <c r="AA971" t="e">
        <f>INDEX(script.out!O:O,results.txt!$M971)</f>
        <v>#N/A</v>
      </c>
      <c r="AB971" t="e">
        <f>INDEX(script.out!P:P,results.txt!$M971)</f>
        <v>#N/A</v>
      </c>
      <c r="AC971" t="e">
        <f>INDEX(script.out!Q:Q,results.txt!$M971)</f>
        <v>#N/A</v>
      </c>
      <c r="AD971">
        <f t="shared" si="15"/>
        <v>0</v>
      </c>
    </row>
    <row r="972" spans="13:30" x14ac:dyDescent="0.25">
      <c r="M972" t="e">
        <f>MATCH(C972,script.out!B:B,0)</f>
        <v>#N/A</v>
      </c>
      <c r="N972" t="e">
        <f>INDEX(script.out!B:B,results.txt!$M972)</f>
        <v>#N/A</v>
      </c>
      <c r="O972" t="e">
        <f>INDEX(script.out!C:C,results.txt!$M972)</f>
        <v>#N/A</v>
      </c>
      <c r="P972" t="e">
        <f>INDEX(script.out!D:D,results.txt!$M972)</f>
        <v>#N/A</v>
      </c>
      <c r="Q972" t="e">
        <f>INDEX(script.out!E:E,results.txt!$M972)</f>
        <v>#N/A</v>
      </c>
      <c r="R972" t="e">
        <f>INDEX(script.out!F:F,results.txt!$M972)</f>
        <v>#N/A</v>
      </c>
      <c r="S972" t="e">
        <f>INDEX(script.out!G:G,results.txt!$M972)</f>
        <v>#N/A</v>
      </c>
      <c r="T972" t="e">
        <f>INDEX(script.out!H:H,results.txt!$M972)</f>
        <v>#N/A</v>
      </c>
      <c r="U972" t="e">
        <f>INDEX(script.out!I:I,results.txt!$M972)</f>
        <v>#N/A</v>
      </c>
      <c r="V972" t="e">
        <f>INDEX(script.out!J:J,results.txt!$M972)</f>
        <v>#N/A</v>
      </c>
      <c r="W972" t="e">
        <f>INDEX(script.out!K:K,results.txt!$M972)</f>
        <v>#N/A</v>
      </c>
      <c r="X972" t="e">
        <f>INDEX(script.out!L:L,results.txt!$M972)</f>
        <v>#N/A</v>
      </c>
      <c r="Y972" t="e">
        <f>INDEX(script.out!M:M,results.txt!$M972)</f>
        <v>#N/A</v>
      </c>
      <c r="Z972" t="e">
        <f>INDEX(script.out!N:N,results.txt!$M972)</f>
        <v>#N/A</v>
      </c>
      <c r="AA972" t="e">
        <f>INDEX(script.out!O:O,results.txt!$M972)</f>
        <v>#N/A</v>
      </c>
      <c r="AB972" t="e">
        <f>INDEX(script.out!P:P,results.txt!$M972)</f>
        <v>#N/A</v>
      </c>
      <c r="AC972" t="e">
        <f>INDEX(script.out!Q:Q,results.txt!$M972)</f>
        <v>#N/A</v>
      </c>
      <c r="AD972">
        <f t="shared" si="15"/>
        <v>0</v>
      </c>
    </row>
    <row r="973" spans="13:30" x14ac:dyDescent="0.25">
      <c r="M973" t="e">
        <f>MATCH(C973,script.out!B:B,0)</f>
        <v>#N/A</v>
      </c>
      <c r="N973" t="e">
        <f>INDEX(script.out!B:B,results.txt!$M973)</f>
        <v>#N/A</v>
      </c>
      <c r="O973" t="e">
        <f>INDEX(script.out!C:C,results.txt!$M973)</f>
        <v>#N/A</v>
      </c>
      <c r="P973" t="e">
        <f>INDEX(script.out!D:D,results.txt!$M973)</f>
        <v>#N/A</v>
      </c>
      <c r="Q973" t="e">
        <f>INDEX(script.out!E:E,results.txt!$M973)</f>
        <v>#N/A</v>
      </c>
      <c r="R973" t="e">
        <f>INDEX(script.out!F:F,results.txt!$M973)</f>
        <v>#N/A</v>
      </c>
      <c r="S973" t="e">
        <f>INDEX(script.out!G:G,results.txt!$M973)</f>
        <v>#N/A</v>
      </c>
      <c r="T973" t="e">
        <f>INDEX(script.out!H:H,results.txt!$M973)</f>
        <v>#N/A</v>
      </c>
      <c r="U973" t="e">
        <f>INDEX(script.out!I:I,results.txt!$M973)</f>
        <v>#N/A</v>
      </c>
      <c r="V973" t="e">
        <f>INDEX(script.out!J:J,results.txt!$M973)</f>
        <v>#N/A</v>
      </c>
      <c r="W973" t="e">
        <f>INDEX(script.out!K:K,results.txt!$M973)</f>
        <v>#N/A</v>
      </c>
      <c r="X973" t="e">
        <f>INDEX(script.out!L:L,results.txt!$M973)</f>
        <v>#N/A</v>
      </c>
      <c r="Y973" t="e">
        <f>INDEX(script.out!M:M,results.txt!$M973)</f>
        <v>#N/A</v>
      </c>
      <c r="Z973" t="e">
        <f>INDEX(script.out!N:N,results.txt!$M973)</f>
        <v>#N/A</v>
      </c>
      <c r="AA973" t="e">
        <f>INDEX(script.out!O:O,results.txt!$M973)</f>
        <v>#N/A</v>
      </c>
      <c r="AB973" t="e">
        <f>INDEX(script.out!P:P,results.txt!$M973)</f>
        <v>#N/A</v>
      </c>
      <c r="AC973" t="e">
        <f>INDEX(script.out!Q:Q,results.txt!$M973)</f>
        <v>#N/A</v>
      </c>
      <c r="AD973">
        <f t="shared" si="15"/>
        <v>0</v>
      </c>
    </row>
    <row r="974" spans="13:30" x14ac:dyDescent="0.25">
      <c r="M974" t="e">
        <f>MATCH(C974,script.out!B:B,0)</f>
        <v>#N/A</v>
      </c>
      <c r="N974" t="e">
        <f>INDEX(script.out!B:B,results.txt!$M974)</f>
        <v>#N/A</v>
      </c>
      <c r="O974" t="e">
        <f>INDEX(script.out!C:C,results.txt!$M974)</f>
        <v>#N/A</v>
      </c>
      <c r="P974" t="e">
        <f>INDEX(script.out!D:D,results.txt!$M974)</f>
        <v>#N/A</v>
      </c>
      <c r="Q974" t="e">
        <f>INDEX(script.out!E:E,results.txt!$M974)</f>
        <v>#N/A</v>
      </c>
      <c r="R974" t="e">
        <f>INDEX(script.out!F:F,results.txt!$M974)</f>
        <v>#N/A</v>
      </c>
      <c r="S974" t="e">
        <f>INDEX(script.out!G:G,results.txt!$M974)</f>
        <v>#N/A</v>
      </c>
      <c r="T974" t="e">
        <f>INDEX(script.out!H:H,results.txt!$M974)</f>
        <v>#N/A</v>
      </c>
      <c r="U974" t="e">
        <f>INDEX(script.out!I:I,results.txt!$M974)</f>
        <v>#N/A</v>
      </c>
      <c r="V974" t="e">
        <f>INDEX(script.out!J:J,results.txt!$M974)</f>
        <v>#N/A</v>
      </c>
      <c r="W974" t="e">
        <f>INDEX(script.out!K:K,results.txt!$M974)</f>
        <v>#N/A</v>
      </c>
      <c r="X974" t="e">
        <f>INDEX(script.out!L:L,results.txt!$M974)</f>
        <v>#N/A</v>
      </c>
      <c r="Y974" t="e">
        <f>INDEX(script.out!M:M,results.txt!$M974)</f>
        <v>#N/A</v>
      </c>
      <c r="Z974" t="e">
        <f>INDEX(script.out!N:N,results.txt!$M974)</f>
        <v>#N/A</v>
      </c>
      <c r="AA974" t="e">
        <f>INDEX(script.out!O:O,results.txt!$M974)</f>
        <v>#N/A</v>
      </c>
      <c r="AB974" t="e">
        <f>INDEX(script.out!P:P,results.txt!$M974)</f>
        <v>#N/A</v>
      </c>
      <c r="AC974" t="e">
        <f>INDEX(script.out!Q:Q,results.txt!$M974)</f>
        <v>#N/A</v>
      </c>
      <c r="AD974">
        <f t="shared" si="15"/>
        <v>0</v>
      </c>
    </row>
    <row r="975" spans="13:30" x14ac:dyDescent="0.25">
      <c r="M975" t="e">
        <f>MATCH(C975,script.out!B:B,0)</f>
        <v>#N/A</v>
      </c>
      <c r="N975" t="e">
        <f>INDEX(script.out!B:B,results.txt!$M975)</f>
        <v>#N/A</v>
      </c>
      <c r="O975" t="e">
        <f>INDEX(script.out!C:C,results.txt!$M975)</f>
        <v>#N/A</v>
      </c>
      <c r="P975" t="e">
        <f>INDEX(script.out!D:D,results.txt!$M975)</f>
        <v>#N/A</v>
      </c>
      <c r="Q975" t="e">
        <f>INDEX(script.out!E:E,results.txt!$M975)</f>
        <v>#N/A</v>
      </c>
      <c r="R975" t="e">
        <f>INDEX(script.out!F:F,results.txt!$M975)</f>
        <v>#N/A</v>
      </c>
      <c r="S975" t="e">
        <f>INDEX(script.out!G:G,results.txt!$M975)</f>
        <v>#N/A</v>
      </c>
      <c r="T975" t="e">
        <f>INDEX(script.out!H:H,results.txt!$M975)</f>
        <v>#N/A</v>
      </c>
      <c r="U975" t="e">
        <f>INDEX(script.out!I:I,results.txt!$M975)</f>
        <v>#N/A</v>
      </c>
      <c r="V975" t="e">
        <f>INDEX(script.out!J:J,results.txt!$M975)</f>
        <v>#N/A</v>
      </c>
      <c r="W975" t="e">
        <f>INDEX(script.out!K:K,results.txt!$M975)</f>
        <v>#N/A</v>
      </c>
      <c r="X975" t="e">
        <f>INDEX(script.out!L:L,results.txt!$M975)</f>
        <v>#N/A</v>
      </c>
      <c r="Y975" t="e">
        <f>INDEX(script.out!M:M,results.txt!$M975)</f>
        <v>#N/A</v>
      </c>
      <c r="Z975" t="e">
        <f>INDEX(script.out!N:N,results.txt!$M975)</f>
        <v>#N/A</v>
      </c>
      <c r="AA975" t="e">
        <f>INDEX(script.out!O:O,results.txt!$M975)</f>
        <v>#N/A</v>
      </c>
      <c r="AB975" t="e">
        <f>INDEX(script.out!P:P,results.txt!$M975)</f>
        <v>#N/A</v>
      </c>
      <c r="AC975" t="e">
        <f>INDEX(script.out!Q:Q,results.txt!$M975)</f>
        <v>#N/A</v>
      </c>
      <c r="AD975">
        <f t="shared" si="15"/>
        <v>0</v>
      </c>
    </row>
    <row r="976" spans="13:30" x14ac:dyDescent="0.25">
      <c r="M976" t="e">
        <f>MATCH(C976,script.out!B:B,0)</f>
        <v>#N/A</v>
      </c>
      <c r="N976" t="e">
        <f>INDEX(script.out!B:B,results.txt!$M976)</f>
        <v>#N/A</v>
      </c>
      <c r="O976" t="e">
        <f>INDEX(script.out!C:C,results.txt!$M976)</f>
        <v>#N/A</v>
      </c>
      <c r="P976" t="e">
        <f>INDEX(script.out!D:D,results.txt!$M976)</f>
        <v>#N/A</v>
      </c>
      <c r="Q976" t="e">
        <f>INDEX(script.out!E:E,results.txt!$M976)</f>
        <v>#N/A</v>
      </c>
      <c r="R976" t="e">
        <f>INDEX(script.out!F:F,results.txt!$M976)</f>
        <v>#N/A</v>
      </c>
      <c r="S976" t="e">
        <f>INDEX(script.out!G:G,results.txt!$M976)</f>
        <v>#N/A</v>
      </c>
      <c r="T976" t="e">
        <f>INDEX(script.out!H:H,results.txt!$M976)</f>
        <v>#N/A</v>
      </c>
      <c r="U976" t="e">
        <f>INDEX(script.out!I:I,results.txt!$M976)</f>
        <v>#N/A</v>
      </c>
      <c r="V976" t="e">
        <f>INDEX(script.out!J:J,results.txt!$M976)</f>
        <v>#N/A</v>
      </c>
      <c r="W976" t="e">
        <f>INDEX(script.out!K:K,results.txt!$M976)</f>
        <v>#N/A</v>
      </c>
      <c r="X976" t="e">
        <f>INDEX(script.out!L:L,results.txt!$M976)</f>
        <v>#N/A</v>
      </c>
      <c r="Y976" t="e">
        <f>INDEX(script.out!M:M,results.txt!$M976)</f>
        <v>#N/A</v>
      </c>
      <c r="Z976" t="e">
        <f>INDEX(script.out!N:N,results.txt!$M976)</f>
        <v>#N/A</v>
      </c>
      <c r="AA976" t="e">
        <f>INDEX(script.out!O:O,results.txt!$M976)</f>
        <v>#N/A</v>
      </c>
      <c r="AB976" t="e">
        <f>INDEX(script.out!P:P,results.txt!$M976)</f>
        <v>#N/A</v>
      </c>
      <c r="AC976" t="e">
        <f>INDEX(script.out!Q:Q,results.txt!$M976)</f>
        <v>#N/A</v>
      </c>
      <c r="AD976">
        <f t="shared" si="15"/>
        <v>0</v>
      </c>
    </row>
    <row r="977" spans="13:30" x14ac:dyDescent="0.25">
      <c r="M977" t="e">
        <f>MATCH(C977,script.out!B:B,0)</f>
        <v>#N/A</v>
      </c>
      <c r="N977" t="e">
        <f>INDEX(script.out!B:B,results.txt!$M977)</f>
        <v>#N/A</v>
      </c>
      <c r="O977" t="e">
        <f>INDEX(script.out!C:C,results.txt!$M977)</f>
        <v>#N/A</v>
      </c>
      <c r="P977" t="e">
        <f>INDEX(script.out!D:D,results.txt!$M977)</f>
        <v>#N/A</v>
      </c>
      <c r="Q977" t="e">
        <f>INDEX(script.out!E:E,results.txt!$M977)</f>
        <v>#N/A</v>
      </c>
      <c r="R977" t="e">
        <f>INDEX(script.out!F:F,results.txt!$M977)</f>
        <v>#N/A</v>
      </c>
      <c r="S977" t="e">
        <f>INDEX(script.out!G:G,results.txt!$M977)</f>
        <v>#N/A</v>
      </c>
      <c r="T977" t="e">
        <f>INDEX(script.out!H:H,results.txt!$M977)</f>
        <v>#N/A</v>
      </c>
      <c r="U977" t="e">
        <f>INDEX(script.out!I:I,results.txt!$M977)</f>
        <v>#N/A</v>
      </c>
      <c r="V977" t="e">
        <f>INDEX(script.out!J:J,results.txt!$M977)</f>
        <v>#N/A</v>
      </c>
      <c r="W977" t="e">
        <f>INDEX(script.out!K:K,results.txt!$M977)</f>
        <v>#N/A</v>
      </c>
      <c r="X977" t="e">
        <f>INDEX(script.out!L:L,results.txt!$M977)</f>
        <v>#N/A</v>
      </c>
      <c r="Y977" t="e">
        <f>INDEX(script.out!M:M,results.txt!$M977)</f>
        <v>#N/A</v>
      </c>
      <c r="Z977" t="e">
        <f>INDEX(script.out!N:N,results.txt!$M977)</f>
        <v>#N/A</v>
      </c>
      <c r="AA977" t="e">
        <f>INDEX(script.out!O:O,results.txt!$M977)</f>
        <v>#N/A</v>
      </c>
      <c r="AB977" t="e">
        <f>INDEX(script.out!P:P,results.txt!$M977)</f>
        <v>#N/A</v>
      </c>
      <c r="AC977" t="e">
        <f>INDEX(script.out!Q:Q,results.txt!$M977)</f>
        <v>#N/A</v>
      </c>
      <c r="AD977">
        <f t="shared" si="15"/>
        <v>0</v>
      </c>
    </row>
    <row r="978" spans="13:30" x14ac:dyDescent="0.25">
      <c r="M978" t="e">
        <f>MATCH(C978,script.out!B:B,0)</f>
        <v>#N/A</v>
      </c>
      <c r="N978" t="e">
        <f>INDEX(script.out!B:B,results.txt!$M978)</f>
        <v>#N/A</v>
      </c>
      <c r="O978" t="e">
        <f>INDEX(script.out!C:C,results.txt!$M978)</f>
        <v>#N/A</v>
      </c>
      <c r="P978" t="e">
        <f>INDEX(script.out!D:D,results.txt!$M978)</f>
        <v>#N/A</v>
      </c>
      <c r="Q978" t="e">
        <f>INDEX(script.out!E:E,results.txt!$M978)</f>
        <v>#N/A</v>
      </c>
      <c r="R978" t="e">
        <f>INDEX(script.out!F:F,results.txt!$M978)</f>
        <v>#N/A</v>
      </c>
      <c r="S978" t="e">
        <f>INDEX(script.out!G:G,results.txt!$M978)</f>
        <v>#N/A</v>
      </c>
      <c r="T978" t="e">
        <f>INDEX(script.out!H:H,results.txt!$M978)</f>
        <v>#N/A</v>
      </c>
      <c r="U978" t="e">
        <f>INDEX(script.out!I:I,results.txt!$M978)</f>
        <v>#N/A</v>
      </c>
      <c r="V978" t="e">
        <f>INDEX(script.out!J:J,results.txt!$M978)</f>
        <v>#N/A</v>
      </c>
      <c r="W978" t="e">
        <f>INDEX(script.out!K:K,results.txt!$M978)</f>
        <v>#N/A</v>
      </c>
      <c r="X978" t="e">
        <f>INDEX(script.out!L:L,results.txt!$M978)</f>
        <v>#N/A</v>
      </c>
      <c r="Y978" t="e">
        <f>INDEX(script.out!M:M,results.txt!$M978)</f>
        <v>#N/A</v>
      </c>
      <c r="Z978" t="e">
        <f>INDEX(script.out!N:N,results.txt!$M978)</f>
        <v>#N/A</v>
      </c>
      <c r="AA978" t="e">
        <f>INDEX(script.out!O:O,results.txt!$M978)</f>
        <v>#N/A</v>
      </c>
      <c r="AB978" t="e">
        <f>INDEX(script.out!P:P,results.txt!$M978)</f>
        <v>#N/A</v>
      </c>
      <c r="AC978" t="e">
        <f>INDEX(script.out!Q:Q,results.txt!$M978)</f>
        <v>#N/A</v>
      </c>
      <c r="AD978">
        <f t="shared" si="15"/>
        <v>0</v>
      </c>
    </row>
    <row r="979" spans="13:30" x14ac:dyDescent="0.25">
      <c r="M979" t="e">
        <f>MATCH(C979,script.out!B:B,0)</f>
        <v>#N/A</v>
      </c>
      <c r="N979" t="e">
        <f>INDEX(script.out!B:B,results.txt!$M979)</f>
        <v>#N/A</v>
      </c>
      <c r="O979" t="e">
        <f>INDEX(script.out!C:C,results.txt!$M979)</f>
        <v>#N/A</v>
      </c>
      <c r="P979" t="e">
        <f>INDEX(script.out!D:D,results.txt!$M979)</f>
        <v>#N/A</v>
      </c>
      <c r="Q979" t="e">
        <f>INDEX(script.out!E:E,results.txt!$M979)</f>
        <v>#N/A</v>
      </c>
      <c r="R979" t="e">
        <f>INDEX(script.out!F:F,results.txt!$M979)</f>
        <v>#N/A</v>
      </c>
      <c r="S979" t="e">
        <f>INDEX(script.out!G:G,results.txt!$M979)</f>
        <v>#N/A</v>
      </c>
      <c r="T979" t="e">
        <f>INDEX(script.out!H:H,results.txt!$M979)</f>
        <v>#N/A</v>
      </c>
      <c r="U979" t="e">
        <f>INDEX(script.out!I:I,results.txt!$M979)</f>
        <v>#N/A</v>
      </c>
      <c r="V979" t="e">
        <f>INDEX(script.out!J:J,results.txt!$M979)</f>
        <v>#N/A</v>
      </c>
      <c r="W979" t="e">
        <f>INDEX(script.out!K:K,results.txt!$M979)</f>
        <v>#N/A</v>
      </c>
      <c r="X979" t="e">
        <f>INDEX(script.out!L:L,results.txt!$M979)</f>
        <v>#N/A</v>
      </c>
      <c r="Y979" t="e">
        <f>INDEX(script.out!M:M,results.txt!$M979)</f>
        <v>#N/A</v>
      </c>
      <c r="Z979" t="e">
        <f>INDEX(script.out!N:N,results.txt!$M979)</f>
        <v>#N/A</v>
      </c>
      <c r="AA979" t="e">
        <f>INDEX(script.out!O:O,results.txt!$M979)</f>
        <v>#N/A</v>
      </c>
      <c r="AB979" t="e">
        <f>INDEX(script.out!P:P,results.txt!$M979)</f>
        <v>#N/A</v>
      </c>
      <c r="AC979" t="e">
        <f>INDEX(script.out!Q:Q,results.txt!$M979)</f>
        <v>#N/A</v>
      </c>
      <c r="AD979">
        <f t="shared" si="15"/>
        <v>0</v>
      </c>
    </row>
    <row r="980" spans="13:30" x14ac:dyDescent="0.25">
      <c r="M980" t="e">
        <f>MATCH(C980,script.out!B:B,0)</f>
        <v>#N/A</v>
      </c>
      <c r="N980" t="e">
        <f>INDEX(script.out!B:B,results.txt!$M980)</f>
        <v>#N/A</v>
      </c>
      <c r="O980" t="e">
        <f>INDEX(script.out!C:C,results.txt!$M980)</f>
        <v>#N/A</v>
      </c>
      <c r="P980" t="e">
        <f>INDEX(script.out!D:D,results.txt!$M980)</f>
        <v>#N/A</v>
      </c>
      <c r="Q980" t="e">
        <f>INDEX(script.out!E:E,results.txt!$M980)</f>
        <v>#N/A</v>
      </c>
      <c r="R980" t="e">
        <f>INDEX(script.out!F:F,results.txt!$M980)</f>
        <v>#N/A</v>
      </c>
      <c r="S980" t="e">
        <f>INDEX(script.out!G:G,results.txt!$M980)</f>
        <v>#N/A</v>
      </c>
      <c r="T980" t="e">
        <f>INDEX(script.out!H:H,results.txt!$M980)</f>
        <v>#N/A</v>
      </c>
      <c r="U980" t="e">
        <f>INDEX(script.out!I:I,results.txt!$M980)</f>
        <v>#N/A</v>
      </c>
      <c r="V980" t="e">
        <f>INDEX(script.out!J:J,results.txt!$M980)</f>
        <v>#N/A</v>
      </c>
      <c r="W980" t="e">
        <f>INDEX(script.out!K:K,results.txt!$M980)</f>
        <v>#N/A</v>
      </c>
      <c r="X980" t="e">
        <f>INDEX(script.out!L:L,results.txt!$M980)</f>
        <v>#N/A</v>
      </c>
      <c r="Y980" t="e">
        <f>INDEX(script.out!M:M,results.txt!$M980)</f>
        <v>#N/A</v>
      </c>
      <c r="Z980" t="e">
        <f>INDEX(script.out!N:N,results.txt!$M980)</f>
        <v>#N/A</v>
      </c>
      <c r="AA980" t="e">
        <f>INDEX(script.out!O:O,results.txt!$M980)</f>
        <v>#N/A</v>
      </c>
      <c r="AB980" t="e">
        <f>INDEX(script.out!P:P,results.txt!$M980)</f>
        <v>#N/A</v>
      </c>
      <c r="AC980" t="e">
        <f>INDEX(script.out!Q:Q,results.txt!$M980)</f>
        <v>#N/A</v>
      </c>
      <c r="AD980">
        <f t="shared" si="15"/>
        <v>0</v>
      </c>
    </row>
    <row r="981" spans="13:30" x14ac:dyDescent="0.25">
      <c r="M981" t="e">
        <f>MATCH(C981,script.out!B:B,0)</f>
        <v>#N/A</v>
      </c>
      <c r="N981" t="e">
        <f>INDEX(script.out!B:B,results.txt!$M981)</f>
        <v>#N/A</v>
      </c>
      <c r="O981" t="e">
        <f>INDEX(script.out!C:C,results.txt!$M981)</f>
        <v>#N/A</v>
      </c>
      <c r="P981" t="e">
        <f>INDEX(script.out!D:D,results.txt!$M981)</f>
        <v>#N/A</v>
      </c>
      <c r="Q981" t="e">
        <f>INDEX(script.out!E:E,results.txt!$M981)</f>
        <v>#N/A</v>
      </c>
      <c r="R981" t="e">
        <f>INDEX(script.out!F:F,results.txt!$M981)</f>
        <v>#N/A</v>
      </c>
      <c r="S981" t="e">
        <f>INDEX(script.out!G:G,results.txt!$M981)</f>
        <v>#N/A</v>
      </c>
      <c r="T981" t="e">
        <f>INDEX(script.out!H:H,results.txt!$M981)</f>
        <v>#N/A</v>
      </c>
      <c r="U981" t="e">
        <f>INDEX(script.out!I:I,results.txt!$M981)</f>
        <v>#N/A</v>
      </c>
      <c r="V981" t="e">
        <f>INDEX(script.out!J:J,results.txt!$M981)</f>
        <v>#N/A</v>
      </c>
      <c r="W981" t="e">
        <f>INDEX(script.out!K:K,results.txt!$M981)</f>
        <v>#N/A</v>
      </c>
      <c r="X981" t="e">
        <f>INDEX(script.out!L:L,results.txt!$M981)</f>
        <v>#N/A</v>
      </c>
      <c r="Y981" t="e">
        <f>INDEX(script.out!M:M,results.txt!$M981)</f>
        <v>#N/A</v>
      </c>
      <c r="Z981" t="e">
        <f>INDEX(script.out!N:N,results.txt!$M981)</f>
        <v>#N/A</v>
      </c>
      <c r="AA981" t="e">
        <f>INDEX(script.out!O:O,results.txt!$M981)</f>
        <v>#N/A</v>
      </c>
      <c r="AB981" t="e">
        <f>INDEX(script.out!P:P,results.txt!$M981)</f>
        <v>#N/A</v>
      </c>
      <c r="AC981" t="e">
        <f>INDEX(script.out!Q:Q,results.txt!$M981)</f>
        <v>#N/A</v>
      </c>
      <c r="AD981">
        <f t="shared" si="15"/>
        <v>0</v>
      </c>
    </row>
    <row r="982" spans="13:30" x14ac:dyDescent="0.25">
      <c r="M982" t="e">
        <f>MATCH(C982,script.out!B:B,0)</f>
        <v>#N/A</v>
      </c>
      <c r="N982" t="e">
        <f>INDEX(script.out!B:B,results.txt!$M982)</f>
        <v>#N/A</v>
      </c>
      <c r="O982" t="e">
        <f>INDEX(script.out!C:C,results.txt!$M982)</f>
        <v>#N/A</v>
      </c>
      <c r="P982" t="e">
        <f>INDEX(script.out!D:D,results.txt!$M982)</f>
        <v>#N/A</v>
      </c>
      <c r="Q982" t="e">
        <f>INDEX(script.out!E:E,results.txt!$M982)</f>
        <v>#N/A</v>
      </c>
      <c r="R982" t="e">
        <f>INDEX(script.out!F:F,results.txt!$M982)</f>
        <v>#N/A</v>
      </c>
      <c r="S982" t="e">
        <f>INDEX(script.out!G:G,results.txt!$M982)</f>
        <v>#N/A</v>
      </c>
      <c r="T982" t="e">
        <f>INDEX(script.out!H:H,results.txt!$M982)</f>
        <v>#N/A</v>
      </c>
      <c r="U982" t="e">
        <f>INDEX(script.out!I:I,results.txt!$M982)</f>
        <v>#N/A</v>
      </c>
      <c r="V982" t="e">
        <f>INDEX(script.out!J:J,results.txt!$M982)</f>
        <v>#N/A</v>
      </c>
      <c r="W982" t="e">
        <f>INDEX(script.out!K:K,results.txt!$M982)</f>
        <v>#N/A</v>
      </c>
      <c r="X982" t="e">
        <f>INDEX(script.out!L:L,results.txt!$M982)</f>
        <v>#N/A</v>
      </c>
      <c r="Y982" t="e">
        <f>INDEX(script.out!M:M,results.txt!$M982)</f>
        <v>#N/A</v>
      </c>
      <c r="Z982" t="e">
        <f>INDEX(script.out!N:N,results.txt!$M982)</f>
        <v>#N/A</v>
      </c>
      <c r="AA982" t="e">
        <f>INDEX(script.out!O:O,results.txt!$M982)</f>
        <v>#N/A</v>
      </c>
      <c r="AB982" t="e">
        <f>INDEX(script.out!P:P,results.txt!$M982)</f>
        <v>#N/A</v>
      </c>
      <c r="AC982" t="e">
        <f>INDEX(script.out!Q:Q,results.txt!$M982)</f>
        <v>#N/A</v>
      </c>
      <c r="AD982">
        <f t="shared" si="15"/>
        <v>0</v>
      </c>
    </row>
    <row r="983" spans="13:30" x14ac:dyDescent="0.25">
      <c r="M983" t="e">
        <f>MATCH(C983,script.out!B:B,0)</f>
        <v>#N/A</v>
      </c>
      <c r="N983" t="e">
        <f>INDEX(script.out!B:B,results.txt!$M983)</f>
        <v>#N/A</v>
      </c>
      <c r="O983" t="e">
        <f>INDEX(script.out!C:C,results.txt!$M983)</f>
        <v>#N/A</v>
      </c>
      <c r="P983" t="e">
        <f>INDEX(script.out!D:D,results.txt!$M983)</f>
        <v>#N/A</v>
      </c>
      <c r="Q983" t="e">
        <f>INDEX(script.out!E:E,results.txt!$M983)</f>
        <v>#N/A</v>
      </c>
      <c r="R983" t="e">
        <f>INDEX(script.out!F:F,results.txt!$M983)</f>
        <v>#N/A</v>
      </c>
      <c r="S983" t="e">
        <f>INDEX(script.out!G:G,results.txt!$M983)</f>
        <v>#N/A</v>
      </c>
      <c r="T983" t="e">
        <f>INDEX(script.out!H:H,results.txt!$M983)</f>
        <v>#N/A</v>
      </c>
      <c r="U983" t="e">
        <f>INDEX(script.out!I:I,results.txt!$M983)</f>
        <v>#N/A</v>
      </c>
      <c r="V983" t="e">
        <f>INDEX(script.out!J:J,results.txt!$M983)</f>
        <v>#N/A</v>
      </c>
      <c r="W983" t="e">
        <f>INDEX(script.out!K:K,results.txt!$M983)</f>
        <v>#N/A</v>
      </c>
      <c r="X983" t="e">
        <f>INDEX(script.out!L:L,results.txt!$M983)</f>
        <v>#N/A</v>
      </c>
      <c r="Y983" t="e">
        <f>INDEX(script.out!M:M,results.txt!$M983)</f>
        <v>#N/A</v>
      </c>
      <c r="Z983" t="e">
        <f>INDEX(script.out!N:N,results.txt!$M983)</f>
        <v>#N/A</v>
      </c>
      <c r="AA983" t="e">
        <f>INDEX(script.out!O:O,results.txt!$M983)</f>
        <v>#N/A</v>
      </c>
      <c r="AB983" t="e">
        <f>INDEX(script.out!P:P,results.txt!$M983)</f>
        <v>#N/A</v>
      </c>
      <c r="AC983" t="e">
        <f>INDEX(script.out!Q:Q,results.txt!$M983)</f>
        <v>#N/A</v>
      </c>
      <c r="AD983">
        <f t="shared" si="15"/>
        <v>0</v>
      </c>
    </row>
    <row r="984" spans="13:30" x14ac:dyDescent="0.25">
      <c r="M984" t="e">
        <f>MATCH(C984,script.out!B:B,0)</f>
        <v>#N/A</v>
      </c>
      <c r="N984" t="e">
        <f>INDEX(script.out!B:B,results.txt!$M984)</f>
        <v>#N/A</v>
      </c>
      <c r="O984" t="e">
        <f>INDEX(script.out!C:C,results.txt!$M984)</f>
        <v>#N/A</v>
      </c>
      <c r="P984" t="e">
        <f>INDEX(script.out!D:D,results.txt!$M984)</f>
        <v>#N/A</v>
      </c>
      <c r="Q984" t="e">
        <f>INDEX(script.out!E:E,results.txt!$M984)</f>
        <v>#N/A</v>
      </c>
      <c r="R984" t="e">
        <f>INDEX(script.out!F:F,results.txt!$M984)</f>
        <v>#N/A</v>
      </c>
      <c r="S984" t="e">
        <f>INDEX(script.out!G:G,results.txt!$M984)</f>
        <v>#N/A</v>
      </c>
      <c r="T984" t="e">
        <f>INDEX(script.out!H:H,results.txt!$M984)</f>
        <v>#N/A</v>
      </c>
      <c r="U984" t="e">
        <f>INDEX(script.out!I:I,results.txt!$M984)</f>
        <v>#N/A</v>
      </c>
      <c r="V984" t="e">
        <f>INDEX(script.out!J:J,results.txt!$M984)</f>
        <v>#N/A</v>
      </c>
      <c r="W984" t="e">
        <f>INDEX(script.out!K:K,results.txt!$M984)</f>
        <v>#N/A</v>
      </c>
      <c r="X984" t="e">
        <f>INDEX(script.out!L:L,results.txt!$M984)</f>
        <v>#N/A</v>
      </c>
      <c r="Y984" t="e">
        <f>INDEX(script.out!M:M,results.txt!$M984)</f>
        <v>#N/A</v>
      </c>
      <c r="Z984" t="e">
        <f>INDEX(script.out!N:N,results.txt!$M984)</f>
        <v>#N/A</v>
      </c>
      <c r="AA984" t="e">
        <f>INDEX(script.out!O:O,results.txt!$M984)</f>
        <v>#N/A</v>
      </c>
      <c r="AB984" t="e">
        <f>INDEX(script.out!P:P,results.txt!$M984)</f>
        <v>#N/A</v>
      </c>
      <c r="AC984" t="e">
        <f>INDEX(script.out!Q:Q,results.txt!$M984)</f>
        <v>#N/A</v>
      </c>
      <c r="AD984">
        <f t="shared" si="15"/>
        <v>0</v>
      </c>
    </row>
    <row r="985" spans="13:30" x14ac:dyDescent="0.25">
      <c r="M985" t="e">
        <f>MATCH(C985,script.out!B:B,0)</f>
        <v>#N/A</v>
      </c>
      <c r="N985" t="e">
        <f>INDEX(script.out!B:B,results.txt!$M985)</f>
        <v>#N/A</v>
      </c>
      <c r="O985" t="e">
        <f>INDEX(script.out!C:C,results.txt!$M985)</f>
        <v>#N/A</v>
      </c>
      <c r="P985" t="e">
        <f>INDEX(script.out!D:D,results.txt!$M985)</f>
        <v>#N/A</v>
      </c>
      <c r="Q985" t="e">
        <f>INDEX(script.out!E:E,results.txt!$M985)</f>
        <v>#N/A</v>
      </c>
      <c r="R985" t="e">
        <f>INDEX(script.out!F:F,results.txt!$M985)</f>
        <v>#N/A</v>
      </c>
      <c r="S985" t="e">
        <f>INDEX(script.out!G:G,results.txt!$M985)</f>
        <v>#N/A</v>
      </c>
      <c r="T985" t="e">
        <f>INDEX(script.out!H:H,results.txt!$M985)</f>
        <v>#N/A</v>
      </c>
      <c r="U985" t="e">
        <f>INDEX(script.out!I:I,results.txt!$M985)</f>
        <v>#N/A</v>
      </c>
      <c r="V985" t="e">
        <f>INDEX(script.out!J:J,results.txt!$M985)</f>
        <v>#N/A</v>
      </c>
      <c r="W985" t="e">
        <f>INDEX(script.out!K:K,results.txt!$M985)</f>
        <v>#N/A</v>
      </c>
      <c r="X985" t="e">
        <f>INDEX(script.out!L:L,results.txt!$M985)</f>
        <v>#N/A</v>
      </c>
      <c r="Y985" t="e">
        <f>INDEX(script.out!M:M,results.txt!$M985)</f>
        <v>#N/A</v>
      </c>
      <c r="Z985" t="e">
        <f>INDEX(script.out!N:N,results.txt!$M985)</f>
        <v>#N/A</v>
      </c>
      <c r="AA985" t="e">
        <f>INDEX(script.out!O:O,results.txt!$M985)</f>
        <v>#N/A</v>
      </c>
      <c r="AB985" t="e">
        <f>INDEX(script.out!P:P,results.txt!$M985)</f>
        <v>#N/A</v>
      </c>
      <c r="AC985" t="e">
        <f>INDEX(script.out!Q:Q,results.txt!$M985)</f>
        <v>#N/A</v>
      </c>
      <c r="AD985">
        <f t="shared" si="15"/>
        <v>0</v>
      </c>
    </row>
    <row r="986" spans="13:30" x14ac:dyDescent="0.25">
      <c r="M986" t="e">
        <f>MATCH(C986,script.out!B:B,0)</f>
        <v>#N/A</v>
      </c>
      <c r="N986" t="e">
        <f>INDEX(script.out!B:B,results.txt!$M986)</f>
        <v>#N/A</v>
      </c>
      <c r="O986" t="e">
        <f>INDEX(script.out!C:C,results.txt!$M986)</f>
        <v>#N/A</v>
      </c>
      <c r="P986" t="e">
        <f>INDEX(script.out!D:D,results.txt!$M986)</f>
        <v>#N/A</v>
      </c>
      <c r="Q986" t="e">
        <f>INDEX(script.out!E:E,results.txt!$M986)</f>
        <v>#N/A</v>
      </c>
      <c r="R986" t="e">
        <f>INDEX(script.out!F:F,results.txt!$M986)</f>
        <v>#N/A</v>
      </c>
      <c r="S986" t="e">
        <f>INDEX(script.out!G:G,results.txt!$M986)</f>
        <v>#N/A</v>
      </c>
      <c r="T986" t="e">
        <f>INDEX(script.out!H:H,results.txt!$M986)</f>
        <v>#N/A</v>
      </c>
      <c r="U986" t="e">
        <f>INDEX(script.out!I:I,results.txt!$M986)</f>
        <v>#N/A</v>
      </c>
      <c r="V986" t="e">
        <f>INDEX(script.out!J:J,results.txt!$M986)</f>
        <v>#N/A</v>
      </c>
      <c r="W986" t="e">
        <f>INDEX(script.out!K:K,results.txt!$M986)</f>
        <v>#N/A</v>
      </c>
      <c r="X986" t="e">
        <f>INDEX(script.out!L:L,results.txt!$M986)</f>
        <v>#N/A</v>
      </c>
      <c r="Y986" t="e">
        <f>INDEX(script.out!M:M,results.txt!$M986)</f>
        <v>#N/A</v>
      </c>
      <c r="Z986" t="e">
        <f>INDEX(script.out!N:N,results.txt!$M986)</f>
        <v>#N/A</v>
      </c>
      <c r="AA986" t="e">
        <f>INDEX(script.out!O:O,results.txt!$M986)</f>
        <v>#N/A</v>
      </c>
      <c r="AB986" t="e">
        <f>INDEX(script.out!P:P,results.txt!$M986)</f>
        <v>#N/A</v>
      </c>
      <c r="AC986" t="e">
        <f>INDEX(script.out!Q:Q,results.txt!$M986)</f>
        <v>#N/A</v>
      </c>
      <c r="AD986">
        <f t="shared" si="15"/>
        <v>0</v>
      </c>
    </row>
    <row r="987" spans="13:30" x14ac:dyDescent="0.25">
      <c r="M987" t="e">
        <f>MATCH(C987,script.out!B:B,0)</f>
        <v>#N/A</v>
      </c>
      <c r="N987" t="e">
        <f>INDEX(script.out!B:B,results.txt!$M987)</f>
        <v>#N/A</v>
      </c>
      <c r="O987" t="e">
        <f>INDEX(script.out!C:C,results.txt!$M987)</f>
        <v>#N/A</v>
      </c>
      <c r="P987" t="e">
        <f>INDEX(script.out!D:D,results.txt!$M987)</f>
        <v>#N/A</v>
      </c>
      <c r="Q987" t="e">
        <f>INDEX(script.out!E:E,results.txt!$M987)</f>
        <v>#N/A</v>
      </c>
      <c r="R987" t="e">
        <f>INDEX(script.out!F:F,results.txt!$M987)</f>
        <v>#N/A</v>
      </c>
      <c r="S987" t="e">
        <f>INDEX(script.out!G:G,results.txt!$M987)</f>
        <v>#N/A</v>
      </c>
      <c r="T987" t="e">
        <f>INDEX(script.out!H:H,results.txt!$M987)</f>
        <v>#N/A</v>
      </c>
      <c r="U987" t="e">
        <f>INDEX(script.out!I:I,results.txt!$M987)</f>
        <v>#N/A</v>
      </c>
      <c r="V987" t="e">
        <f>INDEX(script.out!J:J,results.txt!$M987)</f>
        <v>#N/A</v>
      </c>
      <c r="W987" t="e">
        <f>INDEX(script.out!K:K,results.txt!$M987)</f>
        <v>#N/A</v>
      </c>
      <c r="X987" t="e">
        <f>INDEX(script.out!L:L,results.txt!$M987)</f>
        <v>#N/A</v>
      </c>
      <c r="Y987" t="e">
        <f>INDEX(script.out!M:M,results.txt!$M987)</f>
        <v>#N/A</v>
      </c>
      <c r="Z987" t="e">
        <f>INDEX(script.out!N:N,results.txt!$M987)</f>
        <v>#N/A</v>
      </c>
      <c r="AA987" t="e">
        <f>INDEX(script.out!O:O,results.txt!$M987)</f>
        <v>#N/A</v>
      </c>
      <c r="AB987" t="e">
        <f>INDEX(script.out!P:P,results.txt!$M987)</f>
        <v>#N/A</v>
      </c>
      <c r="AC987" t="e">
        <f>INDEX(script.out!Q:Q,results.txt!$M987)</f>
        <v>#N/A</v>
      </c>
      <c r="AD987">
        <f t="shared" si="15"/>
        <v>0</v>
      </c>
    </row>
    <row r="988" spans="13:30" x14ac:dyDescent="0.25">
      <c r="M988" t="e">
        <f>MATCH(C988,script.out!B:B,0)</f>
        <v>#N/A</v>
      </c>
      <c r="N988" t="e">
        <f>INDEX(script.out!B:B,results.txt!$M988)</f>
        <v>#N/A</v>
      </c>
      <c r="O988" t="e">
        <f>INDEX(script.out!C:C,results.txt!$M988)</f>
        <v>#N/A</v>
      </c>
      <c r="P988" t="e">
        <f>INDEX(script.out!D:D,results.txt!$M988)</f>
        <v>#N/A</v>
      </c>
      <c r="Q988" t="e">
        <f>INDEX(script.out!E:E,results.txt!$M988)</f>
        <v>#N/A</v>
      </c>
      <c r="R988" t="e">
        <f>INDEX(script.out!F:F,results.txt!$M988)</f>
        <v>#N/A</v>
      </c>
      <c r="S988" t="e">
        <f>INDEX(script.out!G:G,results.txt!$M988)</f>
        <v>#N/A</v>
      </c>
      <c r="T988" t="e">
        <f>INDEX(script.out!H:H,results.txt!$M988)</f>
        <v>#N/A</v>
      </c>
      <c r="U988" t="e">
        <f>INDEX(script.out!I:I,results.txt!$M988)</f>
        <v>#N/A</v>
      </c>
      <c r="V988" t="e">
        <f>INDEX(script.out!J:J,results.txt!$M988)</f>
        <v>#N/A</v>
      </c>
      <c r="W988" t="e">
        <f>INDEX(script.out!K:K,results.txt!$M988)</f>
        <v>#N/A</v>
      </c>
      <c r="X988" t="e">
        <f>INDEX(script.out!L:L,results.txt!$M988)</f>
        <v>#N/A</v>
      </c>
      <c r="Y988" t="e">
        <f>INDEX(script.out!M:M,results.txt!$M988)</f>
        <v>#N/A</v>
      </c>
      <c r="Z988" t="e">
        <f>INDEX(script.out!N:N,results.txt!$M988)</f>
        <v>#N/A</v>
      </c>
      <c r="AA988" t="e">
        <f>INDEX(script.out!O:O,results.txt!$M988)</f>
        <v>#N/A</v>
      </c>
      <c r="AB988" t="e">
        <f>INDEX(script.out!P:P,results.txt!$M988)</f>
        <v>#N/A</v>
      </c>
      <c r="AC988" t="e">
        <f>INDEX(script.out!Q:Q,results.txt!$M988)</f>
        <v>#N/A</v>
      </c>
      <c r="AD988">
        <f t="shared" si="15"/>
        <v>0</v>
      </c>
    </row>
    <row r="989" spans="13:30" x14ac:dyDescent="0.25">
      <c r="M989" t="e">
        <f>MATCH(C989,script.out!B:B,0)</f>
        <v>#N/A</v>
      </c>
      <c r="N989" t="e">
        <f>INDEX(script.out!B:B,results.txt!$M989)</f>
        <v>#N/A</v>
      </c>
      <c r="O989" t="e">
        <f>INDEX(script.out!C:C,results.txt!$M989)</f>
        <v>#N/A</v>
      </c>
      <c r="P989" t="e">
        <f>INDEX(script.out!D:D,results.txt!$M989)</f>
        <v>#N/A</v>
      </c>
      <c r="Q989" t="e">
        <f>INDEX(script.out!E:E,results.txt!$M989)</f>
        <v>#N/A</v>
      </c>
      <c r="R989" t="e">
        <f>INDEX(script.out!F:F,results.txt!$M989)</f>
        <v>#N/A</v>
      </c>
      <c r="S989" t="e">
        <f>INDEX(script.out!G:G,results.txt!$M989)</f>
        <v>#N/A</v>
      </c>
      <c r="T989" t="e">
        <f>INDEX(script.out!H:H,results.txt!$M989)</f>
        <v>#N/A</v>
      </c>
      <c r="U989" t="e">
        <f>INDEX(script.out!I:I,results.txt!$M989)</f>
        <v>#N/A</v>
      </c>
      <c r="V989" t="e">
        <f>INDEX(script.out!J:J,results.txt!$M989)</f>
        <v>#N/A</v>
      </c>
      <c r="W989" t="e">
        <f>INDEX(script.out!K:K,results.txt!$M989)</f>
        <v>#N/A</v>
      </c>
      <c r="X989" t="e">
        <f>INDEX(script.out!L:L,results.txt!$M989)</f>
        <v>#N/A</v>
      </c>
      <c r="Y989" t="e">
        <f>INDEX(script.out!M:M,results.txt!$M989)</f>
        <v>#N/A</v>
      </c>
      <c r="Z989" t="e">
        <f>INDEX(script.out!N:N,results.txt!$M989)</f>
        <v>#N/A</v>
      </c>
      <c r="AA989" t="e">
        <f>INDEX(script.out!O:O,results.txt!$M989)</f>
        <v>#N/A</v>
      </c>
      <c r="AB989" t="e">
        <f>INDEX(script.out!P:P,results.txt!$M989)</f>
        <v>#N/A</v>
      </c>
      <c r="AC989" t="e">
        <f>INDEX(script.out!Q:Q,results.txt!$M989)</f>
        <v>#N/A</v>
      </c>
      <c r="AD989">
        <f t="shared" si="15"/>
        <v>0</v>
      </c>
    </row>
    <row r="990" spans="13:30" x14ac:dyDescent="0.25">
      <c r="M990" t="e">
        <f>MATCH(C990,script.out!B:B,0)</f>
        <v>#N/A</v>
      </c>
      <c r="N990" t="e">
        <f>INDEX(script.out!B:B,results.txt!$M990)</f>
        <v>#N/A</v>
      </c>
      <c r="O990" t="e">
        <f>INDEX(script.out!C:C,results.txt!$M990)</f>
        <v>#N/A</v>
      </c>
      <c r="P990" t="e">
        <f>INDEX(script.out!D:D,results.txt!$M990)</f>
        <v>#N/A</v>
      </c>
      <c r="Q990" t="e">
        <f>INDEX(script.out!E:E,results.txt!$M990)</f>
        <v>#N/A</v>
      </c>
      <c r="R990" t="e">
        <f>INDEX(script.out!F:F,results.txt!$M990)</f>
        <v>#N/A</v>
      </c>
      <c r="S990" t="e">
        <f>INDEX(script.out!G:G,results.txt!$M990)</f>
        <v>#N/A</v>
      </c>
      <c r="T990" t="e">
        <f>INDEX(script.out!H:H,results.txt!$M990)</f>
        <v>#N/A</v>
      </c>
      <c r="U990" t="e">
        <f>INDEX(script.out!I:I,results.txt!$M990)</f>
        <v>#N/A</v>
      </c>
      <c r="V990" t="e">
        <f>INDEX(script.out!J:J,results.txt!$M990)</f>
        <v>#N/A</v>
      </c>
      <c r="W990" t="e">
        <f>INDEX(script.out!K:K,results.txt!$M990)</f>
        <v>#N/A</v>
      </c>
      <c r="X990" t="e">
        <f>INDEX(script.out!L:L,results.txt!$M990)</f>
        <v>#N/A</v>
      </c>
      <c r="Y990" t="e">
        <f>INDEX(script.out!M:M,results.txt!$M990)</f>
        <v>#N/A</v>
      </c>
      <c r="Z990" t="e">
        <f>INDEX(script.out!N:N,results.txt!$M990)</f>
        <v>#N/A</v>
      </c>
      <c r="AA990" t="e">
        <f>INDEX(script.out!O:O,results.txt!$M990)</f>
        <v>#N/A</v>
      </c>
      <c r="AB990" t="e">
        <f>INDEX(script.out!P:P,results.txt!$M990)</f>
        <v>#N/A</v>
      </c>
      <c r="AC990" t="e">
        <f>INDEX(script.out!Q:Q,results.txt!$M990)</f>
        <v>#N/A</v>
      </c>
      <c r="AD990">
        <f t="shared" si="15"/>
        <v>0</v>
      </c>
    </row>
    <row r="991" spans="13:30" x14ac:dyDescent="0.25">
      <c r="M991" t="e">
        <f>MATCH(C991,script.out!B:B,0)</f>
        <v>#N/A</v>
      </c>
      <c r="N991" t="e">
        <f>INDEX(script.out!B:B,results.txt!$M991)</f>
        <v>#N/A</v>
      </c>
      <c r="O991" t="e">
        <f>INDEX(script.out!C:C,results.txt!$M991)</f>
        <v>#N/A</v>
      </c>
      <c r="P991" t="e">
        <f>INDEX(script.out!D:D,results.txt!$M991)</f>
        <v>#N/A</v>
      </c>
      <c r="Q991" t="e">
        <f>INDEX(script.out!E:E,results.txt!$M991)</f>
        <v>#N/A</v>
      </c>
      <c r="R991" t="e">
        <f>INDEX(script.out!F:F,results.txt!$M991)</f>
        <v>#N/A</v>
      </c>
      <c r="S991" t="e">
        <f>INDEX(script.out!G:G,results.txt!$M991)</f>
        <v>#N/A</v>
      </c>
      <c r="T991" t="e">
        <f>INDEX(script.out!H:H,results.txt!$M991)</f>
        <v>#N/A</v>
      </c>
      <c r="U991" t="e">
        <f>INDEX(script.out!I:I,results.txt!$M991)</f>
        <v>#N/A</v>
      </c>
      <c r="V991" t="e">
        <f>INDEX(script.out!J:J,results.txt!$M991)</f>
        <v>#N/A</v>
      </c>
      <c r="W991" t="e">
        <f>INDEX(script.out!K:K,results.txt!$M991)</f>
        <v>#N/A</v>
      </c>
      <c r="X991" t="e">
        <f>INDEX(script.out!L:L,results.txt!$M991)</f>
        <v>#N/A</v>
      </c>
      <c r="Y991" t="e">
        <f>INDEX(script.out!M:M,results.txt!$M991)</f>
        <v>#N/A</v>
      </c>
      <c r="Z991" t="e">
        <f>INDEX(script.out!N:N,results.txt!$M991)</f>
        <v>#N/A</v>
      </c>
      <c r="AA991" t="e">
        <f>INDEX(script.out!O:O,results.txt!$M991)</f>
        <v>#N/A</v>
      </c>
      <c r="AB991" t="e">
        <f>INDEX(script.out!P:P,results.txt!$M991)</f>
        <v>#N/A</v>
      </c>
      <c r="AC991" t="e">
        <f>INDEX(script.out!Q:Q,results.txt!$M991)</f>
        <v>#N/A</v>
      </c>
      <c r="AD991">
        <f t="shared" si="15"/>
        <v>0</v>
      </c>
    </row>
    <row r="992" spans="13:30" x14ac:dyDescent="0.25">
      <c r="M992" t="e">
        <f>MATCH(C992,script.out!B:B,0)</f>
        <v>#N/A</v>
      </c>
      <c r="N992" t="e">
        <f>INDEX(script.out!B:B,results.txt!$M992)</f>
        <v>#N/A</v>
      </c>
      <c r="O992" t="e">
        <f>INDEX(script.out!C:C,results.txt!$M992)</f>
        <v>#N/A</v>
      </c>
      <c r="P992" t="e">
        <f>INDEX(script.out!D:D,results.txt!$M992)</f>
        <v>#N/A</v>
      </c>
      <c r="Q992" t="e">
        <f>INDEX(script.out!E:E,results.txt!$M992)</f>
        <v>#N/A</v>
      </c>
      <c r="R992" t="e">
        <f>INDEX(script.out!F:F,results.txt!$M992)</f>
        <v>#N/A</v>
      </c>
      <c r="S992" t="e">
        <f>INDEX(script.out!G:G,results.txt!$M992)</f>
        <v>#N/A</v>
      </c>
      <c r="T992" t="e">
        <f>INDEX(script.out!H:H,results.txt!$M992)</f>
        <v>#N/A</v>
      </c>
      <c r="U992" t="e">
        <f>INDEX(script.out!I:I,results.txt!$M992)</f>
        <v>#N/A</v>
      </c>
      <c r="V992" t="e">
        <f>INDEX(script.out!J:J,results.txt!$M992)</f>
        <v>#N/A</v>
      </c>
      <c r="W992" t="e">
        <f>INDEX(script.out!K:K,results.txt!$M992)</f>
        <v>#N/A</v>
      </c>
      <c r="X992" t="e">
        <f>INDEX(script.out!L:L,results.txt!$M992)</f>
        <v>#N/A</v>
      </c>
      <c r="Y992" t="e">
        <f>INDEX(script.out!M:M,results.txt!$M992)</f>
        <v>#N/A</v>
      </c>
      <c r="Z992" t="e">
        <f>INDEX(script.out!N:N,results.txt!$M992)</f>
        <v>#N/A</v>
      </c>
      <c r="AA992" t="e">
        <f>INDEX(script.out!O:O,results.txt!$M992)</f>
        <v>#N/A</v>
      </c>
      <c r="AB992" t="e">
        <f>INDEX(script.out!P:P,results.txt!$M992)</f>
        <v>#N/A</v>
      </c>
      <c r="AC992" t="e">
        <f>INDEX(script.out!Q:Q,results.txt!$M992)</f>
        <v>#N/A</v>
      </c>
      <c r="AD992">
        <f t="shared" si="15"/>
        <v>0</v>
      </c>
    </row>
    <row r="993" spans="13:30" x14ac:dyDescent="0.25">
      <c r="M993" t="e">
        <f>MATCH(C993,script.out!B:B,0)</f>
        <v>#N/A</v>
      </c>
      <c r="N993" t="e">
        <f>INDEX(script.out!B:B,results.txt!$M993)</f>
        <v>#N/A</v>
      </c>
      <c r="O993" t="e">
        <f>INDEX(script.out!C:C,results.txt!$M993)</f>
        <v>#N/A</v>
      </c>
      <c r="P993" t="e">
        <f>INDEX(script.out!D:D,results.txt!$M993)</f>
        <v>#N/A</v>
      </c>
      <c r="Q993" t="e">
        <f>INDEX(script.out!E:E,results.txt!$M993)</f>
        <v>#N/A</v>
      </c>
      <c r="R993" t="e">
        <f>INDEX(script.out!F:F,results.txt!$M993)</f>
        <v>#N/A</v>
      </c>
      <c r="S993" t="e">
        <f>INDEX(script.out!G:G,results.txt!$M993)</f>
        <v>#N/A</v>
      </c>
      <c r="T993" t="e">
        <f>INDEX(script.out!H:H,results.txt!$M993)</f>
        <v>#N/A</v>
      </c>
      <c r="U993" t="e">
        <f>INDEX(script.out!I:I,results.txt!$M993)</f>
        <v>#N/A</v>
      </c>
      <c r="V993" t="e">
        <f>INDEX(script.out!J:J,results.txt!$M993)</f>
        <v>#N/A</v>
      </c>
      <c r="W993" t="e">
        <f>INDEX(script.out!K:K,results.txt!$M993)</f>
        <v>#N/A</v>
      </c>
      <c r="X993" t="e">
        <f>INDEX(script.out!L:L,results.txt!$M993)</f>
        <v>#N/A</v>
      </c>
      <c r="Y993" t="e">
        <f>INDEX(script.out!M:M,results.txt!$M993)</f>
        <v>#N/A</v>
      </c>
      <c r="Z993" t="e">
        <f>INDEX(script.out!N:N,results.txt!$M993)</f>
        <v>#N/A</v>
      </c>
      <c r="AA993" t="e">
        <f>INDEX(script.out!O:O,results.txt!$M993)</f>
        <v>#N/A</v>
      </c>
      <c r="AB993" t="e">
        <f>INDEX(script.out!P:P,results.txt!$M993)</f>
        <v>#N/A</v>
      </c>
      <c r="AC993" t="e">
        <f>INDEX(script.out!Q:Q,results.txt!$M993)</f>
        <v>#N/A</v>
      </c>
      <c r="AD993">
        <f t="shared" si="15"/>
        <v>0</v>
      </c>
    </row>
    <row r="994" spans="13:30" x14ac:dyDescent="0.25">
      <c r="M994" t="e">
        <f>MATCH(C994,script.out!B:B,0)</f>
        <v>#N/A</v>
      </c>
      <c r="N994" t="e">
        <f>INDEX(script.out!B:B,results.txt!$M994)</f>
        <v>#N/A</v>
      </c>
      <c r="O994" t="e">
        <f>INDEX(script.out!C:C,results.txt!$M994)</f>
        <v>#N/A</v>
      </c>
      <c r="P994" t="e">
        <f>INDEX(script.out!D:D,results.txt!$M994)</f>
        <v>#N/A</v>
      </c>
      <c r="Q994" t="e">
        <f>INDEX(script.out!E:E,results.txt!$M994)</f>
        <v>#N/A</v>
      </c>
      <c r="R994" t="e">
        <f>INDEX(script.out!F:F,results.txt!$M994)</f>
        <v>#N/A</v>
      </c>
      <c r="S994" t="e">
        <f>INDEX(script.out!G:G,results.txt!$M994)</f>
        <v>#N/A</v>
      </c>
      <c r="T994" t="e">
        <f>INDEX(script.out!H:H,results.txt!$M994)</f>
        <v>#N/A</v>
      </c>
      <c r="U994" t="e">
        <f>INDEX(script.out!I:I,results.txt!$M994)</f>
        <v>#N/A</v>
      </c>
      <c r="V994" t="e">
        <f>INDEX(script.out!J:J,results.txt!$M994)</f>
        <v>#N/A</v>
      </c>
      <c r="W994" t="e">
        <f>INDEX(script.out!K:K,results.txt!$M994)</f>
        <v>#N/A</v>
      </c>
      <c r="X994" t="e">
        <f>INDEX(script.out!L:L,results.txt!$M994)</f>
        <v>#N/A</v>
      </c>
      <c r="Y994" t="e">
        <f>INDEX(script.out!M:M,results.txt!$M994)</f>
        <v>#N/A</v>
      </c>
      <c r="Z994" t="e">
        <f>INDEX(script.out!N:N,results.txt!$M994)</f>
        <v>#N/A</v>
      </c>
      <c r="AA994" t="e">
        <f>INDEX(script.out!O:O,results.txt!$M994)</f>
        <v>#N/A</v>
      </c>
      <c r="AB994" t="e">
        <f>INDEX(script.out!P:P,results.txt!$M994)</f>
        <v>#N/A</v>
      </c>
      <c r="AC994" t="e">
        <f>INDEX(script.out!Q:Q,results.txt!$M994)</f>
        <v>#N/A</v>
      </c>
      <c r="AD994">
        <f t="shared" si="15"/>
        <v>0</v>
      </c>
    </row>
    <row r="995" spans="13:30" x14ac:dyDescent="0.25">
      <c r="M995" t="e">
        <f>MATCH(C995,script.out!B:B,0)</f>
        <v>#N/A</v>
      </c>
      <c r="N995" t="e">
        <f>INDEX(script.out!B:B,results.txt!$M995)</f>
        <v>#N/A</v>
      </c>
      <c r="O995" t="e">
        <f>INDEX(script.out!C:C,results.txt!$M995)</f>
        <v>#N/A</v>
      </c>
      <c r="P995" t="e">
        <f>INDEX(script.out!D:D,results.txt!$M995)</f>
        <v>#N/A</v>
      </c>
      <c r="Q995" t="e">
        <f>INDEX(script.out!E:E,results.txt!$M995)</f>
        <v>#N/A</v>
      </c>
      <c r="R995" t="e">
        <f>INDEX(script.out!F:F,results.txt!$M995)</f>
        <v>#N/A</v>
      </c>
      <c r="S995" t="e">
        <f>INDEX(script.out!G:G,results.txt!$M995)</f>
        <v>#N/A</v>
      </c>
      <c r="T995" t="e">
        <f>INDEX(script.out!H:H,results.txt!$M995)</f>
        <v>#N/A</v>
      </c>
      <c r="U995" t="e">
        <f>INDEX(script.out!I:I,results.txt!$M995)</f>
        <v>#N/A</v>
      </c>
      <c r="V995" t="e">
        <f>INDEX(script.out!J:J,results.txt!$M995)</f>
        <v>#N/A</v>
      </c>
      <c r="W995" t="e">
        <f>INDEX(script.out!K:K,results.txt!$M995)</f>
        <v>#N/A</v>
      </c>
      <c r="X995" t="e">
        <f>INDEX(script.out!L:L,results.txt!$M995)</f>
        <v>#N/A</v>
      </c>
      <c r="Y995" t="e">
        <f>INDEX(script.out!M:M,results.txt!$M995)</f>
        <v>#N/A</v>
      </c>
      <c r="Z995" t="e">
        <f>INDEX(script.out!N:N,results.txt!$M995)</f>
        <v>#N/A</v>
      </c>
      <c r="AA995" t="e">
        <f>INDEX(script.out!O:O,results.txt!$M995)</f>
        <v>#N/A</v>
      </c>
      <c r="AB995" t="e">
        <f>INDEX(script.out!P:P,results.txt!$M995)</f>
        <v>#N/A</v>
      </c>
      <c r="AC995" t="e">
        <f>INDEX(script.out!Q:Q,results.txt!$M995)</f>
        <v>#N/A</v>
      </c>
      <c r="AD995">
        <f t="shared" si="15"/>
        <v>0</v>
      </c>
    </row>
    <row r="996" spans="13:30" x14ac:dyDescent="0.25">
      <c r="M996" t="e">
        <f>MATCH(C996,script.out!B:B,0)</f>
        <v>#N/A</v>
      </c>
      <c r="N996" t="e">
        <f>INDEX(script.out!B:B,results.txt!$M996)</f>
        <v>#N/A</v>
      </c>
      <c r="O996" t="e">
        <f>INDEX(script.out!C:C,results.txt!$M996)</f>
        <v>#N/A</v>
      </c>
      <c r="P996" t="e">
        <f>INDEX(script.out!D:D,results.txt!$M996)</f>
        <v>#N/A</v>
      </c>
      <c r="Q996" t="e">
        <f>INDEX(script.out!E:E,results.txt!$M996)</f>
        <v>#N/A</v>
      </c>
      <c r="R996" t="e">
        <f>INDEX(script.out!F:F,results.txt!$M996)</f>
        <v>#N/A</v>
      </c>
      <c r="S996" t="e">
        <f>INDEX(script.out!G:G,results.txt!$M996)</f>
        <v>#N/A</v>
      </c>
      <c r="T996" t="e">
        <f>INDEX(script.out!H:H,results.txt!$M996)</f>
        <v>#N/A</v>
      </c>
      <c r="U996" t="e">
        <f>INDEX(script.out!I:I,results.txt!$M996)</f>
        <v>#N/A</v>
      </c>
      <c r="V996" t="e">
        <f>INDEX(script.out!J:J,results.txt!$M996)</f>
        <v>#N/A</v>
      </c>
      <c r="W996" t="e">
        <f>INDEX(script.out!K:K,results.txt!$M996)</f>
        <v>#N/A</v>
      </c>
      <c r="X996" t="e">
        <f>INDEX(script.out!L:L,results.txt!$M996)</f>
        <v>#N/A</v>
      </c>
      <c r="Y996" t="e">
        <f>INDEX(script.out!M:M,results.txt!$M996)</f>
        <v>#N/A</v>
      </c>
      <c r="Z996" t="e">
        <f>INDEX(script.out!N:N,results.txt!$M996)</f>
        <v>#N/A</v>
      </c>
      <c r="AA996" t="e">
        <f>INDEX(script.out!O:O,results.txt!$M996)</f>
        <v>#N/A</v>
      </c>
      <c r="AB996" t="e">
        <f>INDEX(script.out!P:P,results.txt!$M996)</f>
        <v>#N/A</v>
      </c>
      <c r="AC996" t="e">
        <f>INDEX(script.out!Q:Q,results.txt!$M996)</f>
        <v>#N/A</v>
      </c>
      <c r="AD996">
        <f t="shared" si="15"/>
        <v>0</v>
      </c>
    </row>
    <row r="997" spans="13:30" x14ac:dyDescent="0.25">
      <c r="M997" t="e">
        <f>MATCH(C997,script.out!B:B,0)</f>
        <v>#N/A</v>
      </c>
      <c r="N997" t="e">
        <f>INDEX(script.out!B:B,results.txt!$M997)</f>
        <v>#N/A</v>
      </c>
      <c r="O997" t="e">
        <f>INDEX(script.out!C:C,results.txt!$M997)</f>
        <v>#N/A</v>
      </c>
      <c r="P997" t="e">
        <f>INDEX(script.out!D:D,results.txt!$M997)</f>
        <v>#N/A</v>
      </c>
      <c r="Q997" t="e">
        <f>INDEX(script.out!E:E,results.txt!$M997)</f>
        <v>#N/A</v>
      </c>
      <c r="R997" t="e">
        <f>INDEX(script.out!F:F,results.txt!$M997)</f>
        <v>#N/A</v>
      </c>
      <c r="S997" t="e">
        <f>INDEX(script.out!G:G,results.txt!$M997)</f>
        <v>#N/A</v>
      </c>
      <c r="T997" t="e">
        <f>INDEX(script.out!H:H,results.txt!$M997)</f>
        <v>#N/A</v>
      </c>
      <c r="U997" t="e">
        <f>INDEX(script.out!I:I,results.txt!$M997)</f>
        <v>#N/A</v>
      </c>
      <c r="V997" t="e">
        <f>INDEX(script.out!J:J,results.txt!$M997)</f>
        <v>#N/A</v>
      </c>
      <c r="W997" t="e">
        <f>INDEX(script.out!K:K,results.txt!$M997)</f>
        <v>#N/A</v>
      </c>
      <c r="X997" t="e">
        <f>INDEX(script.out!L:L,results.txt!$M997)</f>
        <v>#N/A</v>
      </c>
      <c r="Y997" t="e">
        <f>INDEX(script.out!M:M,results.txt!$M997)</f>
        <v>#N/A</v>
      </c>
      <c r="Z997" t="e">
        <f>INDEX(script.out!N:N,results.txt!$M997)</f>
        <v>#N/A</v>
      </c>
      <c r="AA997" t="e">
        <f>INDEX(script.out!O:O,results.txt!$M997)</f>
        <v>#N/A</v>
      </c>
      <c r="AB997" t="e">
        <f>INDEX(script.out!P:P,results.txt!$M997)</f>
        <v>#N/A</v>
      </c>
      <c r="AC997" t="e">
        <f>INDEX(script.out!Q:Q,results.txt!$M997)</f>
        <v>#N/A</v>
      </c>
      <c r="AD997">
        <f t="shared" si="15"/>
        <v>0</v>
      </c>
    </row>
    <row r="998" spans="13:30" x14ac:dyDescent="0.25">
      <c r="M998" t="e">
        <f>MATCH(C998,script.out!B:B,0)</f>
        <v>#N/A</v>
      </c>
      <c r="N998" t="e">
        <f>INDEX(script.out!B:B,results.txt!$M998)</f>
        <v>#N/A</v>
      </c>
      <c r="O998" t="e">
        <f>INDEX(script.out!C:C,results.txt!$M998)</f>
        <v>#N/A</v>
      </c>
      <c r="P998" t="e">
        <f>INDEX(script.out!D:D,results.txt!$M998)</f>
        <v>#N/A</v>
      </c>
      <c r="Q998" t="e">
        <f>INDEX(script.out!E:E,results.txt!$M998)</f>
        <v>#N/A</v>
      </c>
      <c r="R998" t="e">
        <f>INDEX(script.out!F:F,results.txt!$M998)</f>
        <v>#N/A</v>
      </c>
      <c r="S998" t="e">
        <f>INDEX(script.out!G:G,results.txt!$M998)</f>
        <v>#N/A</v>
      </c>
      <c r="T998" t="e">
        <f>INDEX(script.out!H:H,results.txt!$M998)</f>
        <v>#N/A</v>
      </c>
      <c r="U998" t="e">
        <f>INDEX(script.out!I:I,results.txt!$M998)</f>
        <v>#N/A</v>
      </c>
      <c r="V998" t="e">
        <f>INDEX(script.out!J:J,results.txt!$M998)</f>
        <v>#N/A</v>
      </c>
      <c r="W998" t="e">
        <f>INDEX(script.out!K:K,results.txt!$M998)</f>
        <v>#N/A</v>
      </c>
      <c r="X998" t="e">
        <f>INDEX(script.out!L:L,results.txt!$M998)</f>
        <v>#N/A</v>
      </c>
      <c r="Y998" t="e">
        <f>INDEX(script.out!M:M,results.txt!$M998)</f>
        <v>#N/A</v>
      </c>
      <c r="Z998" t="e">
        <f>INDEX(script.out!N:N,results.txt!$M998)</f>
        <v>#N/A</v>
      </c>
      <c r="AA998" t="e">
        <f>INDEX(script.out!O:O,results.txt!$M998)</f>
        <v>#N/A</v>
      </c>
      <c r="AB998" t="e">
        <f>INDEX(script.out!P:P,results.txt!$M998)</f>
        <v>#N/A</v>
      </c>
      <c r="AC998" t="e">
        <f>INDEX(script.out!Q:Q,results.txt!$M998)</f>
        <v>#N/A</v>
      </c>
      <c r="AD998">
        <f t="shared" si="15"/>
        <v>0</v>
      </c>
    </row>
    <row r="999" spans="13:30" x14ac:dyDescent="0.25">
      <c r="M999" t="e">
        <f>MATCH(C999,script.out!B:B,0)</f>
        <v>#N/A</v>
      </c>
      <c r="N999" t="e">
        <f>INDEX(script.out!B:B,results.txt!$M999)</f>
        <v>#N/A</v>
      </c>
      <c r="O999" t="e">
        <f>INDEX(script.out!C:C,results.txt!$M999)</f>
        <v>#N/A</v>
      </c>
      <c r="P999" t="e">
        <f>INDEX(script.out!D:D,results.txt!$M999)</f>
        <v>#N/A</v>
      </c>
      <c r="Q999" t="e">
        <f>INDEX(script.out!E:E,results.txt!$M999)</f>
        <v>#N/A</v>
      </c>
      <c r="R999" t="e">
        <f>INDEX(script.out!F:F,results.txt!$M999)</f>
        <v>#N/A</v>
      </c>
      <c r="S999" t="e">
        <f>INDEX(script.out!G:G,results.txt!$M999)</f>
        <v>#N/A</v>
      </c>
      <c r="T999" t="e">
        <f>INDEX(script.out!H:H,results.txt!$M999)</f>
        <v>#N/A</v>
      </c>
      <c r="U999" t="e">
        <f>INDEX(script.out!I:I,results.txt!$M999)</f>
        <v>#N/A</v>
      </c>
      <c r="V999" t="e">
        <f>INDEX(script.out!J:J,results.txt!$M999)</f>
        <v>#N/A</v>
      </c>
      <c r="W999" t="e">
        <f>INDEX(script.out!K:K,results.txt!$M999)</f>
        <v>#N/A</v>
      </c>
      <c r="X999" t="e">
        <f>INDEX(script.out!L:L,results.txt!$M999)</f>
        <v>#N/A</v>
      </c>
      <c r="Y999" t="e">
        <f>INDEX(script.out!M:M,results.txt!$M999)</f>
        <v>#N/A</v>
      </c>
      <c r="Z999" t="e">
        <f>INDEX(script.out!N:N,results.txt!$M999)</f>
        <v>#N/A</v>
      </c>
      <c r="AA999" t="e">
        <f>INDEX(script.out!O:O,results.txt!$M999)</f>
        <v>#N/A</v>
      </c>
      <c r="AB999" t="e">
        <f>INDEX(script.out!P:P,results.txt!$M999)</f>
        <v>#N/A</v>
      </c>
      <c r="AC999" t="e">
        <f>INDEX(script.out!Q:Q,results.txt!$M999)</f>
        <v>#N/A</v>
      </c>
      <c r="AD999">
        <f t="shared" si="15"/>
        <v>0</v>
      </c>
    </row>
    <row r="1000" spans="13:30" x14ac:dyDescent="0.25">
      <c r="M1000" t="e">
        <f>MATCH(C1000,script.out!B:B,0)</f>
        <v>#N/A</v>
      </c>
      <c r="N1000" t="e">
        <f>INDEX(script.out!B:B,results.txt!$M1000)</f>
        <v>#N/A</v>
      </c>
      <c r="O1000" t="e">
        <f>INDEX(script.out!C:C,results.txt!$M1000)</f>
        <v>#N/A</v>
      </c>
      <c r="P1000" t="e">
        <f>INDEX(script.out!D:D,results.txt!$M1000)</f>
        <v>#N/A</v>
      </c>
      <c r="Q1000" t="e">
        <f>INDEX(script.out!E:E,results.txt!$M1000)</f>
        <v>#N/A</v>
      </c>
      <c r="R1000" t="e">
        <f>INDEX(script.out!F:F,results.txt!$M1000)</f>
        <v>#N/A</v>
      </c>
      <c r="S1000" t="e">
        <f>INDEX(script.out!G:G,results.txt!$M1000)</f>
        <v>#N/A</v>
      </c>
      <c r="T1000" t="e">
        <f>INDEX(script.out!H:H,results.txt!$M1000)</f>
        <v>#N/A</v>
      </c>
      <c r="U1000" t="e">
        <f>INDEX(script.out!I:I,results.txt!$M1000)</f>
        <v>#N/A</v>
      </c>
      <c r="V1000" t="e">
        <f>INDEX(script.out!J:J,results.txt!$M1000)</f>
        <v>#N/A</v>
      </c>
      <c r="W1000" t="e">
        <f>INDEX(script.out!K:K,results.txt!$M1000)</f>
        <v>#N/A</v>
      </c>
      <c r="X1000" t="e">
        <f>INDEX(script.out!L:L,results.txt!$M1000)</f>
        <v>#N/A</v>
      </c>
      <c r="Y1000" t="e">
        <f>INDEX(script.out!M:M,results.txt!$M1000)</f>
        <v>#N/A</v>
      </c>
      <c r="Z1000" t="e">
        <f>INDEX(script.out!N:N,results.txt!$M1000)</f>
        <v>#N/A</v>
      </c>
      <c r="AA1000" t="e">
        <f>INDEX(script.out!O:O,results.txt!$M1000)</f>
        <v>#N/A</v>
      </c>
      <c r="AB1000" t="e">
        <f>INDEX(script.out!P:P,results.txt!$M1000)</f>
        <v>#N/A</v>
      </c>
      <c r="AC1000" t="e">
        <f>INDEX(script.out!Q:Q,results.txt!$M1000)</f>
        <v>#N/A</v>
      </c>
      <c r="AD1000">
        <f t="shared" si="15"/>
        <v>0</v>
      </c>
    </row>
    <row r="1001" spans="13:30" x14ac:dyDescent="0.25">
      <c r="M1001" t="e">
        <f>MATCH(C1001,script.out!B:B,0)</f>
        <v>#N/A</v>
      </c>
      <c r="N1001" t="e">
        <f>INDEX(script.out!B:B,results.txt!$M1001)</f>
        <v>#N/A</v>
      </c>
      <c r="O1001" t="e">
        <f>INDEX(script.out!C:C,results.txt!$M1001)</f>
        <v>#N/A</v>
      </c>
      <c r="P1001" t="e">
        <f>INDEX(script.out!D:D,results.txt!$M1001)</f>
        <v>#N/A</v>
      </c>
      <c r="Q1001" t="e">
        <f>INDEX(script.out!E:E,results.txt!$M1001)</f>
        <v>#N/A</v>
      </c>
      <c r="R1001" t="e">
        <f>INDEX(script.out!F:F,results.txt!$M1001)</f>
        <v>#N/A</v>
      </c>
      <c r="S1001" t="e">
        <f>INDEX(script.out!G:G,results.txt!$M1001)</f>
        <v>#N/A</v>
      </c>
      <c r="T1001" t="e">
        <f>INDEX(script.out!H:H,results.txt!$M1001)</f>
        <v>#N/A</v>
      </c>
      <c r="U1001" t="e">
        <f>INDEX(script.out!I:I,results.txt!$M1001)</f>
        <v>#N/A</v>
      </c>
      <c r="V1001" t="e">
        <f>INDEX(script.out!J:J,results.txt!$M1001)</f>
        <v>#N/A</v>
      </c>
      <c r="W1001" t="e">
        <f>INDEX(script.out!K:K,results.txt!$M1001)</f>
        <v>#N/A</v>
      </c>
      <c r="X1001" t="e">
        <f>INDEX(script.out!L:L,results.txt!$M1001)</f>
        <v>#N/A</v>
      </c>
      <c r="Y1001" t="e">
        <f>INDEX(script.out!M:M,results.txt!$M1001)</f>
        <v>#N/A</v>
      </c>
      <c r="Z1001" t="e">
        <f>INDEX(script.out!N:N,results.txt!$M1001)</f>
        <v>#N/A</v>
      </c>
      <c r="AA1001" t="e">
        <f>INDEX(script.out!O:O,results.txt!$M1001)</f>
        <v>#N/A</v>
      </c>
      <c r="AB1001" t="e">
        <f>INDEX(script.out!P:P,results.txt!$M1001)</f>
        <v>#N/A</v>
      </c>
      <c r="AC1001" t="e">
        <f>INDEX(script.out!Q:Q,results.txt!$M1001)</f>
        <v>#N/A</v>
      </c>
      <c r="AD1001">
        <f t="shared" si="15"/>
        <v>0</v>
      </c>
    </row>
    <row r="1002" spans="13:30" x14ac:dyDescent="0.25">
      <c r="M1002" t="e">
        <f>MATCH(C1002,script.out!B:B,0)</f>
        <v>#N/A</v>
      </c>
      <c r="N1002" t="e">
        <f>INDEX(script.out!B:B,results.txt!$M1002)</f>
        <v>#N/A</v>
      </c>
      <c r="O1002" t="e">
        <f>INDEX(script.out!C:C,results.txt!$M1002)</f>
        <v>#N/A</v>
      </c>
      <c r="P1002" t="e">
        <f>INDEX(script.out!D:D,results.txt!$M1002)</f>
        <v>#N/A</v>
      </c>
      <c r="Q1002" t="e">
        <f>INDEX(script.out!E:E,results.txt!$M1002)</f>
        <v>#N/A</v>
      </c>
      <c r="R1002" t="e">
        <f>INDEX(script.out!F:F,results.txt!$M1002)</f>
        <v>#N/A</v>
      </c>
      <c r="S1002" t="e">
        <f>INDEX(script.out!G:G,results.txt!$M1002)</f>
        <v>#N/A</v>
      </c>
      <c r="T1002" t="e">
        <f>INDEX(script.out!H:H,results.txt!$M1002)</f>
        <v>#N/A</v>
      </c>
      <c r="U1002" t="e">
        <f>INDEX(script.out!I:I,results.txt!$M1002)</f>
        <v>#N/A</v>
      </c>
      <c r="V1002" t="e">
        <f>INDEX(script.out!J:J,results.txt!$M1002)</f>
        <v>#N/A</v>
      </c>
      <c r="W1002" t="e">
        <f>INDEX(script.out!K:K,results.txt!$M1002)</f>
        <v>#N/A</v>
      </c>
      <c r="X1002" t="e">
        <f>INDEX(script.out!L:L,results.txt!$M1002)</f>
        <v>#N/A</v>
      </c>
      <c r="Y1002" t="e">
        <f>INDEX(script.out!M:M,results.txt!$M1002)</f>
        <v>#N/A</v>
      </c>
      <c r="Z1002" t="e">
        <f>INDEX(script.out!N:N,results.txt!$M1002)</f>
        <v>#N/A</v>
      </c>
      <c r="AA1002" t="e">
        <f>INDEX(script.out!O:O,results.txt!$M1002)</f>
        <v>#N/A</v>
      </c>
      <c r="AB1002" t="e">
        <f>INDEX(script.out!P:P,results.txt!$M1002)</f>
        <v>#N/A</v>
      </c>
      <c r="AC1002" t="e">
        <f>INDEX(script.out!Q:Q,results.txt!$M1002)</f>
        <v>#N/A</v>
      </c>
      <c r="AD1002">
        <f t="shared" si="15"/>
        <v>0</v>
      </c>
    </row>
    <row r="1003" spans="13:30" x14ac:dyDescent="0.25">
      <c r="M1003" t="e">
        <f>MATCH(C1003,script.out!B:B,0)</f>
        <v>#N/A</v>
      </c>
      <c r="N1003" t="e">
        <f>INDEX(script.out!B:B,results.txt!$M1003)</f>
        <v>#N/A</v>
      </c>
      <c r="O1003" t="e">
        <f>INDEX(script.out!C:C,results.txt!$M1003)</f>
        <v>#N/A</v>
      </c>
      <c r="P1003" t="e">
        <f>INDEX(script.out!D:D,results.txt!$M1003)</f>
        <v>#N/A</v>
      </c>
      <c r="Q1003" t="e">
        <f>INDEX(script.out!E:E,results.txt!$M1003)</f>
        <v>#N/A</v>
      </c>
      <c r="R1003" t="e">
        <f>INDEX(script.out!F:F,results.txt!$M1003)</f>
        <v>#N/A</v>
      </c>
      <c r="S1003" t="e">
        <f>INDEX(script.out!G:G,results.txt!$M1003)</f>
        <v>#N/A</v>
      </c>
      <c r="T1003" t="e">
        <f>INDEX(script.out!H:H,results.txt!$M1003)</f>
        <v>#N/A</v>
      </c>
      <c r="U1003" t="e">
        <f>INDEX(script.out!I:I,results.txt!$M1003)</f>
        <v>#N/A</v>
      </c>
      <c r="V1003" t="e">
        <f>INDEX(script.out!J:J,results.txt!$M1003)</f>
        <v>#N/A</v>
      </c>
      <c r="W1003" t="e">
        <f>INDEX(script.out!K:K,results.txt!$M1003)</f>
        <v>#N/A</v>
      </c>
      <c r="X1003" t="e">
        <f>INDEX(script.out!L:L,results.txt!$M1003)</f>
        <v>#N/A</v>
      </c>
      <c r="Y1003" t="e">
        <f>INDEX(script.out!M:M,results.txt!$M1003)</f>
        <v>#N/A</v>
      </c>
      <c r="Z1003" t="e">
        <f>INDEX(script.out!N:N,results.txt!$M1003)</f>
        <v>#N/A</v>
      </c>
      <c r="AA1003" t="e">
        <f>INDEX(script.out!O:O,results.txt!$M1003)</f>
        <v>#N/A</v>
      </c>
      <c r="AB1003" t="e">
        <f>INDEX(script.out!P:P,results.txt!$M1003)</f>
        <v>#N/A</v>
      </c>
      <c r="AC1003" t="e">
        <f>INDEX(script.out!Q:Q,results.txt!$M1003)</f>
        <v>#N/A</v>
      </c>
      <c r="AD1003">
        <f t="shared" ref="AD1003:AD1066" si="16">IF(A1003="all",1)+IF(A1003="nonDominatedFront",2)</f>
        <v>0</v>
      </c>
    </row>
    <row r="1004" spans="13:30" x14ac:dyDescent="0.25">
      <c r="M1004" t="e">
        <f>MATCH(C1004,script.out!B:B,0)</f>
        <v>#N/A</v>
      </c>
      <c r="N1004" t="e">
        <f>INDEX(script.out!B:B,results.txt!$M1004)</f>
        <v>#N/A</v>
      </c>
      <c r="O1004" t="e">
        <f>INDEX(script.out!C:C,results.txt!$M1004)</f>
        <v>#N/A</v>
      </c>
      <c r="P1004" t="e">
        <f>INDEX(script.out!D:D,results.txt!$M1004)</f>
        <v>#N/A</v>
      </c>
      <c r="Q1004" t="e">
        <f>INDEX(script.out!E:E,results.txt!$M1004)</f>
        <v>#N/A</v>
      </c>
      <c r="R1004" t="e">
        <f>INDEX(script.out!F:F,results.txt!$M1004)</f>
        <v>#N/A</v>
      </c>
      <c r="S1004" t="e">
        <f>INDEX(script.out!G:G,results.txt!$M1004)</f>
        <v>#N/A</v>
      </c>
      <c r="T1004" t="e">
        <f>INDEX(script.out!H:H,results.txt!$M1004)</f>
        <v>#N/A</v>
      </c>
      <c r="U1004" t="e">
        <f>INDEX(script.out!I:I,results.txt!$M1004)</f>
        <v>#N/A</v>
      </c>
      <c r="V1004" t="e">
        <f>INDEX(script.out!J:J,results.txt!$M1004)</f>
        <v>#N/A</v>
      </c>
      <c r="W1004" t="e">
        <f>INDEX(script.out!K:K,results.txt!$M1004)</f>
        <v>#N/A</v>
      </c>
      <c r="X1004" t="e">
        <f>INDEX(script.out!L:L,results.txt!$M1004)</f>
        <v>#N/A</v>
      </c>
      <c r="Y1004" t="e">
        <f>INDEX(script.out!M:M,results.txt!$M1004)</f>
        <v>#N/A</v>
      </c>
      <c r="Z1004" t="e">
        <f>INDEX(script.out!N:N,results.txt!$M1004)</f>
        <v>#N/A</v>
      </c>
      <c r="AA1004" t="e">
        <f>INDEX(script.out!O:O,results.txt!$M1004)</f>
        <v>#N/A</v>
      </c>
      <c r="AB1004" t="e">
        <f>INDEX(script.out!P:P,results.txt!$M1004)</f>
        <v>#N/A</v>
      </c>
      <c r="AC1004" t="e">
        <f>INDEX(script.out!Q:Q,results.txt!$M1004)</f>
        <v>#N/A</v>
      </c>
      <c r="AD1004">
        <f t="shared" si="16"/>
        <v>0</v>
      </c>
    </row>
    <row r="1005" spans="13:30" x14ac:dyDescent="0.25">
      <c r="M1005" t="e">
        <f>MATCH(C1005,script.out!B:B,0)</f>
        <v>#N/A</v>
      </c>
      <c r="N1005" t="e">
        <f>INDEX(script.out!B:B,results.txt!$M1005)</f>
        <v>#N/A</v>
      </c>
      <c r="O1005" t="e">
        <f>INDEX(script.out!C:C,results.txt!$M1005)</f>
        <v>#N/A</v>
      </c>
      <c r="P1005" t="e">
        <f>INDEX(script.out!D:D,results.txt!$M1005)</f>
        <v>#N/A</v>
      </c>
      <c r="Q1005" t="e">
        <f>INDEX(script.out!E:E,results.txt!$M1005)</f>
        <v>#N/A</v>
      </c>
      <c r="R1005" t="e">
        <f>INDEX(script.out!F:F,results.txt!$M1005)</f>
        <v>#N/A</v>
      </c>
      <c r="S1005" t="e">
        <f>INDEX(script.out!G:G,results.txt!$M1005)</f>
        <v>#N/A</v>
      </c>
      <c r="T1005" t="e">
        <f>INDEX(script.out!H:H,results.txt!$M1005)</f>
        <v>#N/A</v>
      </c>
      <c r="U1005" t="e">
        <f>INDEX(script.out!I:I,results.txt!$M1005)</f>
        <v>#N/A</v>
      </c>
      <c r="V1005" t="e">
        <f>INDEX(script.out!J:J,results.txt!$M1005)</f>
        <v>#N/A</v>
      </c>
      <c r="W1005" t="e">
        <f>INDEX(script.out!K:K,results.txt!$M1005)</f>
        <v>#N/A</v>
      </c>
      <c r="X1005" t="e">
        <f>INDEX(script.out!L:L,results.txt!$M1005)</f>
        <v>#N/A</v>
      </c>
      <c r="Y1005" t="e">
        <f>INDEX(script.out!M:M,results.txt!$M1005)</f>
        <v>#N/A</v>
      </c>
      <c r="Z1005" t="e">
        <f>INDEX(script.out!N:N,results.txt!$M1005)</f>
        <v>#N/A</v>
      </c>
      <c r="AA1005" t="e">
        <f>INDEX(script.out!O:O,results.txt!$M1005)</f>
        <v>#N/A</v>
      </c>
      <c r="AB1005" t="e">
        <f>INDEX(script.out!P:P,results.txt!$M1005)</f>
        <v>#N/A</v>
      </c>
      <c r="AC1005" t="e">
        <f>INDEX(script.out!Q:Q,results.txt!$M1005)</f>
        <v>#N/A</v>
      </c>
      <c r="AD1005">
        <f t="shared" si="16"/>
        <v>0</v>
      </c>
    </row>
    <row r="1006" spans="13:30" x14ac:dyDescent="0.25">
      <c r="M1006" t="e">
        <f>MATCH(C1006,script.out!B:B,0)</f>
        <v>#N/A</v>
      </c>
      <c r="N1006" t="e">
        <f>INDEX(script.out!B:B,results.txt!$M1006)</f>
        <v>#N/A</v>
      </c>
      <c r="O1006" t="e">
        <f>INDEX(script.out!C:C,results.txt!$M1006)</f>
        <v>#N/A</v>
      </c>
      <c r="P1006" t="e">
        <f>INDEX(script.out!D:D,results.txt!$M1006)</f>
        <v>#N/A</v>
      </c>
      <c r="Q1006" t="e">
        <f>INDEX(script.out!E:E,results.txt!$M1006)</f>
        <v>#N/A</v>
      </c>
      <c r="R1006" t="e">
        <f>INDEX(script.out!F:F,results.txt!$M1006)</f>
        <v>#N/A</v>
      </c>
      <c r="S1006" t="e">
        <f>INDEX(script.out!G:G,results.txt!$M1006)</f>
        <v>#N/A</v>
      </c>
      <c r="T1006" t="e">
        <f>INDEX(script.out!H:H,results.txt!$M1006)</f>
        <v>#N/A</v>
      </c>
      <c r="U1006" t="e">
        <f>INDEX(script.out!I:I,results.txt!$M1006)</f>
        <v>#N/A</v>
      </c>
      <c r="V1006" t="e">
        <f>INDEX(script.out!J:J,results.txt!$M1006)</f>
        <v>#N/A</v>
      </c>
      <c r="W1006" t="e">
        <f>INDEX(script.out!K:K,results.txt!$M1006)</f>
        <v>#N/A</v>
      </c>
      <c r="X1006" t="e">
        <f>INDEX(script.out!L:L,results.txt!$M1006)</f>
        <v>#N/A</v>
      </c>
      <c r="Y1006" t="e">
        <f>INDEX(script.out!M:M,results.txt!$M1006)</f>
        <v>#N/A</v>
      </c>
      <c r="Z1006" t="e">
        <f>INDEX(script.out!N:N,results.txt!$M1006)</f>
        <v>#N/A</v>
      </c>
      <c r="AA1006" t="e">
        <f>INDEX(script.out!O:O,results.txt!$M1006)</f>
        <v>#N/A</v>
      </c>
      <c r="AB1006" t="e">
        <f>INDEX(script.out!P:P,results.txt!$M1006)</f>
        <v>#N/A</v>
      </c>
      <c r="AC1006" t="e">
        <f>INDEX(script.out!Q:Q,results.txt!$M1006)</f>
        <v>#N/A</v>
      </c>
      <c r="AD1006">
        <f t="shared" si="16"/>
        <v>0</v>
      </c>
    </row>
    <row r="1007" spans="13:30" x14ac:dyDescent="0.25">
      <c r="M1007" t="e">
        <f>MATCH(C1007,script.out!B:B,0)</f>
        <v>#N/A</v>
      </c>
      <c r="N1007" t="e">
        <f>INDEX(script.out!B:B,results.txt!$M1007)</f>
        <v>#N/A</v>
      </c>
      <c r="O1007" t="e">
        <f>INDEX(script.out!C:C,results.txt!$M1007)</f>
        <v>#N/A</v>
      </c>
      <c r="P1007" t="e">
        <f>INDEX(script.out!D:D,results.txt!$M1007)</f>
        <v>#N/A</v>
      </c>
      <c r="Q1007" t="e">
        <f>INDEX(script.out!E:E,results.txt!$M1007)</f>
        <v>#N/A</v>
      </c>
      <c r="R1007" t="e">
        <f>INDEX(script.out!F:F,results.txt!$M1007)</f>
        <v>#N/A</v>
      </c>
      <c r="S1007" t="e">
        <f>INDEX(script.out!G:G,results.txt!$M1007)</f>
        <v>#N/A</v>
      </c>
      <c r="T1007" t="e">
        <f>INDEX(script.out!H:H,results.txt!$M1007)</f>
        <v>#N/A</v>
      </c>
      <c r="U1007" t="e">
        <f>INDEX(script.out!I:I,results.txt!$M1007)</f>
        <v>#N/A</v>
      </c>
      <c r="V1007" t="e">
        <f>INDEX(script.out!J:J,results.txt!$M1007)</f>
        <v>#N/A</v>
      </c>
      <c r="W1007" t="e">
        <f>INDEX(script.out!K:K,results.txt!$M1007)</f>
        <v>#N/A</v>
      </c>
      <c r="X1007" t="e">
        <f>INDEX(script.out!L:L,results.txt!$M1007)</f>
        <v>#N/A</v>
      </c>
      <c r="Y1007" t="e">
        <f>INDEX(script.out!M:M,results.txt!$M1007)</f>
        <v>#N/A</v>
      </c>
      <c r="Z1007" t="e">
        <f>INDEX(script.out!N:N,results.txt!$M1007)</f>
        <v>#N/A</v>
      </c>
      <c r="AA1007" t="e">
        <f>INDEX(script.out!O:O,results.txt!$M1007)</f>
        <v>#N/A</v>
      </c>
      <c r="AB1007" t="e">
        <f>INDEX(script.out!P:P,results.txt!$M1007)</f>
        <v>#N/A</v>
      </c>
      <c r="AC1007" t="e">
        <f>INDEX(script.out!Q:Q,results.txt!$M1007)</f>
        <v>#N/A</v>
      </c>
      <c r="AD1007">
        <f t="shared" si="16"/>
        <v>0</v>
      </c>
    </row>
    <row r="1008" spans="13:30" x14ac:dyDescent="0.25">
      <c r="M1008" t="e">
        <f>MATCH(C1008,script.out!B:B,0)</f>
        <v>#N/A</v>
      </c>
      <c r="N1008" t="e">
        <f>INDEX(script.out!B:B,results.txt!$M1008)</f>
        <v>#N/A</v>
      </c>
      <c r="O1008" t="e">
        <f>INDEX(script.out!C:C,results.txt!$M1008)</f>
        <v>#N/A</v>
      </c>
      <c r="P1008" t="e">
        <f>INDEX(script.out!D:D,results.txt!$M1008)</f>
        <v>#N/A</v>
      </c>
      <c r="Q1008" t="e">
        <f>INDEX(script.out!E:E,results.txt!$M1008)</f>
        <v>#N/A</v>
      </c>
      <c r="R1008" t="e">
        <f>INDEX(script.out!F:F,results.txt!$M1008)</f>
        <v>#N/A</v>
      </c>
      <c r="S1008" t="e">
        <f>INDEX(script.out!G:G,results.txt!$M1008)</f>
        <v>#N/A</v>
      </c>
      <c r="T1008" t="e">
        <f>INDEX(script.out!H:H,results.txt!$M1008)</f>
        <v>#N/A</v>
      </c>
      <c r="U1008" t="e">
        <f>INDEX(script.out!I:I,results.txt!$M1008)</f>
        <v>#N/A</v>
      </c>
      <c r="V1008" t="e">
        <f>INDEX(script.out!J:J,results.txt!$M1008)</f>
        <v>#N/A</v>
      </c>
      <c r="W1008" t="e">
        <f>INDEX(script.out!K:K,results.txt!$M1008)</f>
        <v>#N/A</v>
      </c>
      <c r="X1008" t="e">
        <f>INDEX(script.out!L:L,results.txt!$M1008)</f>
        <v>#N/A</v>
      </c>
      <c r="Y1008" t="e">
        <f>INDEX(script.out!M:M,results.txt!$M1008)</f>
        <v>#N/A</v>
      </c>
      <c r="Z1008" t="e">
        <f>INDEX(script.out!N:N,results.txt!$M1008)</f>
        <v>#N/A</v>
      </c>
      <c r="AA1008" t="e">
        <f>INDEX(script.out!O:O,results.txt!$M1008)</f>
        <v>#N/A</v>
      </c>
      <c r="AB1008" t="e">
        <f>INDEX(script.out!P:P,results.txt!$M1008)</f>
        <v>#N/A</v>
      </c>
      <c r="AC1008" t="e">
        <f>INDEX(script.out!Q:Q,results.txt!$M1008)</f>
        <v>#N/A</v>
      </c>
      <c r="AD1008">
        <f t="shared" si="16"/>
        <v>0</v>
      </c>
    </row>
    <row r="1009" spans="13:30" x14ac:dyDescent="0.25">
      <c r="M1009" t="e">
        <f>MATCH(C1009,script.out!B:B,0)</f>
        <v>#N/A</v>
      </c>
      <c r="N1009" t="e">
        <f>INDEX(script.out!B:B,results.txt!$M1009)</f>
        <v>#N/A</v>
      </c>
      <c r="O1009" t="e">
        <f>INDEX(script.out!C:C,results.txt!$M1009)</f>
        <v>#N/A</v>
      </c>
      <c r="P1009" t="e">
        <f>INDEX(script.out!D:D,results.txt!$M1009)</f>
        <v>#N/A</v>
      </c>
      <c r="Q1009" t="e">
        <f>INDEX(script.out!E:E,results.txt!$M1009)</f>
        <v>#N/A</v>
      </c>
      <c r="R1009" t="e">
        <f>INDEX(script.out!F:F,results.txt!$M1009)</f>
        <v>#N/A</v>
      </c>
      <c r="S1009" t="e">
        <f>INDEX(script.out!G:G,results.txt!$M1009)</f>
        <v>#N/A</v>
      </c>
      <c r="T1009" t="e">
        <f>INDEX(script.out!H:H,results.txt!$M1009)</f>
        <v>#N/A</v>
      </c>
      <c r="U1009" t="e">
        <f>INDEX(script.out!I:I,results.txt!$M1009)</f>
        <v>#N/A</v>
      </c>
      <c r="V1009" t="e">
        <f>INDEX(script.out!J:J,results.txt!$M1009)</f>
        <v>#N/A</v>
      </c>
      <c r="W1009" t="e">
        <f>INDEX(script.out!K:K,results.txt!$M1009)</f>
        <v>#N/A</v>
      </c>
      <c r="X1009" t="e">
        <f>INDEX(script.out!L:L,results.txt!$M1009)</f>
        <v>#N/A</v>
      </c>
      <c r="Y1009" t="e">
        <f>INDEX(script.out!M:M,results.txt!$M1009)</f>
        <v>#N/A</v>
      </c>
      <c r="Z1009" t="e">
        <f>INDEX(script.out!N:N,results.txt!$M1009)</f>
        <v>#N/A</v>
      </c>
      <c r="AA1009" t="e">
        <f>INDEX(script.out!O:O,results.txt!$M1009)</f>
        <v>#N/A</v>
      </c>
      <c r="AB1009" t="e">
        <f>INDEX(script.out!P:P,results.txt!$M1009)</f>
        <v>#N/A</v>
      </c>
      <c r="AC1009" t="e">
        <f>INDEX(script.out!Q:Q,results.txt!$M1009)</f>
        <v>#N/A</v>
      </c>
      <c r="AD1009">
        <f t="shared" si="16"/>
        <v>0</v>
      </c>
    </row>
    <row r="1010" spans="13:30" x14ac:dyDescent="0.25">
      <c r="M1010" t="e">
        <f>MATCH(C1010,script.out!B:B,0)</f>
        <v>#N/A</v>
      </c>
      <c r="N1010" t="e">
        <f>INDEX(script.out!B:B,results.txt!$M1010)</f>
        <v>#N/A</v>
      </c>
      <c r="O1010" t="e">
        <f>INDEX(script.out!C:C,results.txt!$M1010)</f>
        <v>#N/A</v>
      </c>
      <c r="P1010" t="e">
        <f>INDEX(script.out!D:D,results.txt!$M1010)</f>
        <v>#N/A</v>
      </c>
      <c r="Q1010" t="e">
        <f>INDEX(script.out!E:E,results.txt!$M1010)</f>
        <v>#N/A</v>
      </c>
      <c r="R1010" t="e">
        <f>INDEX(script.out!F:F,results.txt!$M1010)</f>
        <v>#N/A</v>
      </c>
      <c r="S1010" t="e">
        <f>INDEX(script.out!G:G,results.txt!$M1010)</f>
        <v>#N/A</v>
      </c>
      <c r="T1010" t="e">
        <f>INDEX(script.out!H:H,results.txt!$M1010)</f>
        <v>#N/A</v>
      </c>
      <c r="U1010" t="e">
        <f>INDEX(script.out!I:I,results.txt!$M1010)</f>
        <v>#N/A</v>
      </c>
      <c r="V1010" t="e">
        <f>INDEX(script.out!J:J,results.txt!$M1010)</f>
        <v>#N/A</v>
      </c>
      <c r="W1010" t="e">
        <f>INDEX(script.out!K:K,results.txt!$M1010)</f>
        <v>#N/A</v>
      </c>
      <c r="X1010" t="e">
        <f>INDEX(script.out!L:L,results.txt!$M1010)</f>
        <v>#N/A</v>
      </c>
      <c r="Y1010" t="e">
        <f>INDEX(script.out!M:M,results.txt!$M1010)</f>
        <v>#N/A</v>
      </c>
      <c r="Z1010" t="e">
        <f>INDEX(script.out!N:N,results.txt!$M1010)</f>
        <v>#N/A</v>
      </c>
      <c r="AA1010" t="e">
        <f>INDEX(script.out!O:O,results.txt!$M1010)</f>
        <v>#N/A</v>
      </c>
      <c r="AB1010" t="e">
        <f>INDEX(script.out!P:P,results.txt!$M1010)</f>
        <v>#N/A</v>
      </c>
      <c r="AC1010" t="e">
        <f>INDEX(script.out!Q:Q,results.txt!$M1010)</f>
        <v>#N/A</v>
      </c>
      <c r="AD1010">
        <f t="shared" si="16"/>
        <v>0</v>
      </c>
    </row>
    <row r="1011" spans="13:30" x14ac:dyDescent="0.25">
      <c r="M1011" t="e">
        <f>MATCH(C1011,script.out!B:B,0)</f>
        <v>#N/A</v>
      </c>
      <c r="N1011" t="e">
        <f>INDEX(script.out!B:B,results.txt!$M1011)</f>
        <v>#N/A</v>
      </c>
      <c r="O1011" t="e">
        <f>INDEX(script.out!C:C,results.txt!$M1011)</f>
        <v>#N/A</v>
      </c>
      <c r="P1011" t="e">
        <f>INDEX(script.out!D:D,results.txt!$M1011)</f>
        <v>#N/A</v>
      </c>
      <c r="Q1011" t="e">
        <f>INDEX(script.out!E:E,results.txt!$M1011)</f>
        <v>#N/A</v>
      </c>
      <c r="R1011" t="e">
        <f>INDEX(script.out!F:F,results.txt!$M1011)</f>
        <v>#N/A</v>
      </c>
      <c r="S1011" t="e">
        <f>INDEX(script.out!G:G,results.txt!$M1011)</f>
        <v>#N/A</v>
      </c>
      <c r="T1011" t="e">
        <f>INDEX(script.out!H:H,results.txt!$M1011)</f>
        <v>#N/A</v>
      </c>
      <c r="U1011" t="e">
        <f>INDEX(script.out!I:I,results.txt!$M1011)</f>
        <v>#N/A</v>
      </c>
      <c r="V1011" t="e">
        <f>INDEX(script.out!J:J,results.txt!$M1011)</f>
        <v>#N/A</v>
      </c>
      <c r="W1011" t="e">
        <f>INDEX(script.out!K:K,results.txt!$M1011)</f>
        <v>#N/A</v>
      </c>
      <c r="X1011" t="e">
        <f>INDEX(script.out!L:L,results.txt!$M1011)</f>
        <v>#N/A</v>
      </c>
      <c r="Y1011" t="e">
        <f>INDEX(script.out!M:M,results.txt!$M1011)</f>
        <v>#N/A</v>
      </c>
      <c r="Z1011" t="e">
        <f>INDEX(script.out!N:N,results.txt!$M1011)</f>
        <v>#N/A</v>
      </c>
      <c r="AA1011" t="e">
        <f>INDEX(script.out!O:O,results.txt!$M1011)</f>
        <v>#N/A</v>
      </c>
      <c r="AB1011" t="e">
        <f>INDEX(script.out!P:P,results.txt!$M1011)</f>
        <v>#N/A</v>
      </c>
      <c r="AC1011" t="e">
        <f>INDEX(script.out!Q:Q,results.txt!$M1011)</f>
        <v>#N/A</v>
      </c>
      <c r="AD1011">
        <f t="shared" si="16"/>
        <v>0</v>
      </c>
    </row>
    <row r="1012" spans="13:30" x14ac:dyDescent="0.25">
      <c r="M1012" t="e">
        <f>MATCH(C1012,script.out!B:B,0)</f>
        <v>#N/A</v>
      </c>
      <c r="N1012" t="e">
        <f>INDEX(script.out!B:B,results.txt!$M1012)</f>
        <v>#N/A</v>
      </c>
      <c r="O1012" t="e">
        <f>INDEX(script.out!C:C,results.txt!$M1012)</f>
        <v>#N/A</v>
      </c>
      <c r="P1012" t="e">
        <f>INDEX(script.out!D:D,results.txt!$M1012)</f>
        <v>#N/A</v>
      </c>
      <c r="Q1012" t="e">
        <f>INDEX(script.out!E:E,results.txt!$M1012)</f>
        <v>#N/A</v>
      </c>
      <c r="R1012" t="e">
        <f>INDEX(script.out!F:F,results.txt!$M1012)</f>
        <v>#N/A</v>
      </c>
      <c r="S1012" t="e">
        <f>INDEX(script.out!G:G,results.txt!$M1012)</f>
        <v>#N/A</v>
      </c>
      <c r="T1012" t="e">
        <f>INDEX(script.out!H:H,results.txt!$M1012)</f>
        <v>#N/A</v>
      </c>
      <c r="U1012" t="e">
        <f>INDEX(script.out!I:I,results.txt!$M1012)</f>
        <v>#N/A</v>
      </c>
      <c r="V1012" t="e">
        <f>INDEX(script.out!J:J,results.txt!$M1012)</f>
        <v>#N/A</v>
      </c>
      <c r="W1012" t="e">
        <f>INDEX(script.out!K:K,results.txt!$M1012)</f>
        <v>#N/A</v>
      </c>
      <c r="X1012" t="e">
        <f>INDEX(script.out!L:L,results.txt!$M1012)</f>
        <v>#N/A</v>
      </c>
      <c r="Y1012" t="e">
        <f>INDEX(script.out!M:M,results.txt!$M1012)</f>
        <v>#N/A</v>
      </c>
      <c r="Z1012" t="e">
        <f>INDEX(script.out!N:N,results.txt!$M1012)</f>
        <v>#N/A</v>
      </c>
      <c r="AA1012" t="e">
        <f>INDEX(script.out!O:O,results.txt!$M1012)</f>
        <v>#N/A</v>
      </c>
      <c r="AB1012" t="e">
        <f>INDEX(script.out!P:P,results.txt!$M1012)</f>
        <v>#N/A</v>
      </c>
      <c r="AC1012" t="e">
        <f>INDEX(script.out!Q:Q,results.txt!$M1012)</f>
        <v>#N/A</v>
      </c>
      <c r="AD1012">
        <f t="shared" si="16"/>
        <v>0</v>
      </c>
    </row>
    <row r="1013" spans="13:30" x14ac:dyDescent="0.25">
      <c r="M1013" t="e">
        <f>MATCH(C1013,script.out!B:B,0)</f>
        <v>#N/A</v>
      </c>
      <c r="N1013" t="e">
        <f>INDEX(script.out!B:B,results.txt!$M1013)</f>
        <v>#N/A</v>
      </c>
      <c r="O1013" t="e">
        <f>INDEX(script.out!C:C,results.txt!$M1013)</f>
        <v>#N/A</v>
      </c>
      <c r="P1013" t="e">
        <f>INDEX(script.out!D:D,results.txt!$M1013)</f>
        <v>#N/A</v>
      </c>
      <c r="Q1013" t="e">
        <f>INDEX(script.out!E:E,results.txt!$M1013)</f>
        <v>#N/A</v>
      </c>
      <c r="R1013" t="e">
        <f>INDEX(script.out!F:F,results.txt!$M1013)</f>
        <v>#N/A</v>
      </c>
      <c r="S1013" t="e">
        <f>INDEX(script.out!G:G,results.txt!$M1013)</f>
        <v>#N/A</v>
      </c>
      <c r="T1013" t="e">
        <f>INDEX(script.out!H:H,results.txt!$M1013)</f>
        <v>#N/A</v>
      </c>
      <c r="U1013" t="e">
        <f>INDEX(script.out!I:I,results.txt!$M1013)</f>
        <v>#N/A</v>
      </c>
      <c r="V1013" t="e">
        <f>INDEX(script.out!J:J,results.txt!$M1013)</f>
        <v>#N/A</v>
      </c>
      <c r="W1013" t="e">
        <f>INDEX(script.out!K:K,results.txt!$M1013)</f>
        <v>#N/A</v>
      </c>
      <c r="X1013" t="e">
        <f>INDEX(script.out!L:L,results.txt!$M1013)</f>
        <v>#N/A</v>
      </c>
      <c r="Y1013" t="e">
        <f>INDEX(script.out!M:M,results.txt!$M1013)</f>
        <v>#N/A</v>
      </c>
      <c r="Z1013" t="e">
        <f>INDEX(script.out!N:N,results.txt!$M1013)</f>
        <v>#N/A</v>
      </c>
      <c r="AA1013" t="e">
        <f>INDEX(script.out!O:O,results.txt!$M1013)</f>
        <v>#N/A</v>
      </c>
      <c r="AB1013" t="e">
        <f>INDEX(script.out!P:P,results.txt!$M1013)</f>
        <v>#N/A</v>
      </c>
      <c r="AC1013" t="e">
        <f>INDEX(script.out!Q:Q,results.txt!$M1013)</f>
        <v>#N/A</v>
      </c>
      <c r="AD1013">
        <f t="shared" si="16"/>
        <v>0</v>
      </c>
    </row>
    <row r="1014" spans="13:30" x14ac:dyDescent="0.25">
      <c r="M1014" t="e">
        <f>MATCH(C1014,script.out!B:B,0)</f>
        <v>#N/A</v>
      </c>
      <c r="N1014" t="e">
        <f>INDEX(script.out!B:B,results.txt!$M1014)</f>
        <v>#N/A</v>
      </c>
      <c r="O1014" t="e">
        <f>INDEX(script.out!C:C,results.txt!$M1014)</f>
        <v>#N/A</v>
      </c>
      <c r="P1014" t="e">
        <f>INDEX(script.out!D:D,results.txt!$M1014)</f>
        <v>#N/A</v>
      </c>
      <c r="Q1014" t="e">
        <f>INDEX(script.out!E:E,results.txt!$M1014)</f>
        <v>#N/A</v>
      </c>
      <c r="R1014" t="e">
        <f>INDEX(script.out!F:F,results.txt!$M1014)</f>
        <v>#N/A</v>
      </c>
      <c r="S1014" t="e">
        <f>INDEX(script.out!G:G,results.txt!$M1014)</f>
        <v>#N/A</v>
      </c>
      <c r="T1014" t="e">
        <f>INDEX(script.out!H:H,results.txt!$M1014)</f>
        <v>#N/A</v>
      </c>
      <c r="U1014" t="e">
        <f>INDEX(script.out!I:I,results.txt!$M1014)</f>
        <v>#N/A</v>
      </c>
      <c r="V1014" t="e">
        <f>INDEX(script.out!J:J,results.txt!$M1014)</f>
        <v>#N/A</v>
      </c>
      <c r="W1014" t="e">
        <f>INDEX(script.out!K:K,results.txt!$M1014)</f>
        <v>#N/A</v>
      </c>
      <c r="X1014" t="e">
        <f>INDEX(script.out!L:L,results.txt!$M1014)</f>
        <v>#N/A</v>
      </c>
      <c r="Y1014" t="e">
        <f>INDEX(script.out!M:M,results.txt!$M1014)</f>
        <v>#N/A</v>
      </c>
      <c r="Z1014" t="e">
        <f>INDEX(script.out!N:N,results.txt!$M1014)</f>
        <v>#N/A</v>
      </c>
      <c r="AA1014" t="e">
        <f>INDEX(script.out!O:O,results.txt!$M1014)</f>
        <v>#N/A</v>
      </c>
      <c r="AB1014" t="e">
        <f>INDEX(script.out!P:P,results.txt!$M1014)</f>
        <v>#N/A</v>
      </c>
      <c r="AC1014" t="e">
        <f>INDEX(script.out!Q:Q,results.txt!$M1014)</f>
        <v>#N/A</v>
      </c>
      <c r="AD1014">
        <f t="shared" si="16"/>
        <v>0</v>
      </c>
    </row>
    <row r="1015" spans="13:30" x14ac:dyDescent="0.25">
      <c r="M1015" t="e">
        <f>MATCH(C1015,script.out!B:B,0)</f>
        <v>#N/A</v>
      </c>
      <c r="N1015" t="e">
        <f>INDEX(script.out!B:B,results.txt!$M1015)</f>
        <v>#N/A</v>
      </c>
      <c r="O1015" t="e">
        <f>INDEX(script.out!C:C,results.txt!$M1015)</f>
        <v>#N/A</v>
      </c>
      <c r="P1015" t="e">
        <f>INDEX(script.out!D:D,results.txt!$M1015)</f>
        <v>#N/A</v>
      </c>
      <c r="Q1015" t="e">
        <f>INDEX(script.out!E:E,results.txt!$M1015)</f>
        <v>#N/A</v>
      </c>
      <c r="R1015" t="e">
        <f>INDEX(script.out!F:F,results.txt!$M1015)</f>
        <v>#N/A</v>
      </c>
      <c r="S1015" t="e">
        <f>INDEX(script.out!G:G,results.txt!$M1015)</f>
        <v>#N/A</v>
      </c>
      <c r="T1015" t="e">
        <f>INDEX(script.out!H:H,results.txt!$M1015)</f>
        <v>#N/A</v>
      </c>
      <c r="U1015" t="e">
        <f>INDEX(script.out!I:I,results.txt!$M1015)</f>
        <v>#N/A</v>
      </c>
      <c r="V1015" t="e">
        <f>INDEX(script.out!J:J,results.txt!$M1015)</f>
        <v>#N/A</v>
      </c>
      <c r="W1015" t="e">
        <f>INDEX(script.out!K:K,results.txt!$M1015)</f>
        <v>#N/A</v>
      </c>
      <c r="X1015" t="e">
        <f>INDEX(script.out!L:L,results.txt!$M1015)</f>
        <v>#N/A</v>
      </c>
      <c r="Y1015" t="e">
        <f>INDEX(script.out!M:M,results.txt!$M1015)</f>
        <v>#N/A</v>
      </c>
      <c r="Z1015" t="e">
        <f>INDEX(script.out!N:N,results.txt!$M1015)</f>
        <v>#N/A</v>
      </c>
      <c r="AA1015" t="e">
        <f>INDEX(script.out!O:O,results.txt!$M1015)</f>
        <v>#N/A</v>
      </c>
      <c r="AB1015" t="e">
        <f>INDEX(script.out!P:P,results.txt!$M1015)</f>
        <v>#N/A</v>
      </c>
      <c r="AC1015" t="e">
        <f>INDEX(script.out!Q:Q,results.txt!$M1015)</f>
        <v>#N/A</v>
      </c>
      <c r="AD1015">
        <f t="shared" si="16"/>
        <v>0</v>
      </c>
    </row>
    <row r="1016" spans="13:30" x14ac:dyDescent="0.25">
      <c r="M1016" t="e">
        <f>MATCH(C1016,script.out!B:B,0)</f>
        <v>#N/A</v>
      </c>
      <c r="N1016" t="e">
        <f>INDEX(script.out!B:B,results.txt!$M1016)</f>
        <v>#N/A</v>
      </c>
      <c r="O1016" t="e">
        <f>INDEX(script.out!C:C,results.txt!$M1016)</f>
        <v>#N/A</v>
      </c>
      <c r="P1016" t="e">
        <f>INDEX(script.out!D:D,results.txt!$M1016)</f>
        <v>#N/A</v>
      </c>
      <c r="Q1016" t="e">
        <f>INDEX(script.out!E:E,results.txt!$M1016)</f>
        <v>#N/A</v>
      </c>
      <c r="R1016" t="e">
        <f>INDEX(script.out!F:F,results.txt!$M1016)</f>
        <v>#N/A</v>
      </c>
      <c r="S1016" t="e">
        <f>INDEX(script.out!G:G,results.txt!$M1016)</f>
        <v>#N/A</v>
      </c>
      <c r="T1016" t="e">
        <f>INDEX(script.out!H:H,results.txt!$M1016)</f>
        <v>#N/A</v>
      </c>
      <c r="U1016" t="e">
        <f>INDEX(script.out!I:I,results.txt!$M1016)</f>
        <v>#N/A</v>
      </c>
      <c r="V1016" t="e">
        <f>INDEX(script.out!J:J,results.txt!$M1016)</f>
        <v>#N/A</v>
      </c>
      <c r="W1016" t="e">
        <f>INDEX(script.out!K:K,results.txt!$M1016)</f>
        <v>#N/A</v>
      </c>
      <c r="X1016" t="e">
        <f>INDEX(script.out!L:L,results.txt!$M1016)</f>
        <v>#N/A</v>
      </c>
      <c r="Y1016" t="e">
        <f>INDEX(script.out!M:M,results.txt!$M1016)</f>
        <v>#N/A</v>
      </c>
      <c r="Z1016" t="e">
        <f>INDEX(script.out!N:N,results.txt!$M1016)</f>
        <v>#N/A</v>
      </c>
      <c r="AA1016" t="e">
        <f>INDEX(script.out!O:O,results.txt!$M1016)</f>
        <v>#N/A</v>
      </c>
      <c r="AB1016" t="e">
        <f>INDEX(script.out!P:P,results.txt!$M1016)</f>
        <v>#N/A</v>
      </c>
      <c r="AC1016" t="e">
        <f>INDEX(script.out!Q:Q,results.txt!$M1016)</f>
        <v>#N/A</v>
      </c>
      <c r="AD1016">
        <f t="shared" si="16"/>
        <v>0</v>
      </c>
    </row>
    <row r="1017" spans="13:30" x14ac:dyDescent="0.25">
      <c r="M1017" t="e">
        <f>MATCH(C1017,script.out!B:B,0)</f>
        <v>#N/A</v>
      </c>
      <c r="N1017" t="e">
        <f>INDEX(script.out!B:B,results.txt!$M1017)</f>
        <v>#N/A</v>
      </c>
      <c r="O1017" t="e">
        <f>INDEX(script.out!C:C,results.txt!$M1017)</f>
        <v>#N/A</v>
      </c>
      <c r="P1017" t="e">
        <f>INDEX(script.out!D:D,results.txt!$M1017)</f>
        <v>#N/A</v>
      </c>
      <c r="Q1017" t="e">
        <f>INDEX(script.out!E:E,results.txt!$M1017)</f>
        <v>#N/A</v>
      </c>
      <c r="R1017" t="e">
        <f>INDEX(script.out!F:F,results.txt!$M1017)</f>
        <v>#N/A</v>
      </c>
      <c r="S1017" t="e">
        <f>INDEX(script.out!G:G,results.txt!$M1017)</f>
        <v>#N/A</v>
      </c>
      <c r="T1017" t="e">
        <f>INDEX(script.out!H:H,results.txt!$M1017)</f>
        <v>#N/A</v>
      </c>
      <c r="U1017" t="e">
        <f>INDEX(script.out!I:I,results.txt!$M1017)</f>
        <v>#N/A</v>
      </c>
      <c r="V1017" t="e">
        <f>INDEX(script.out!J:J,results.txt!$M1017)</f>
        <v>#N/A</v>
      </c>
      <c r="W1017" t="e">
        <f>INDEX(script.out!K:K,results.txt!$M1017)</f>
        <v>#N/A</v>
      </c>
      <c r="X1017" t="e">
        <f>INDEX(script.out!L:L,results.txt!$M1017)</f>
        <v>#N/A</v>
      </c>
      <c r="Y1017" t="e">
        <f>INDEX(script.out!M:M,results.txt!$M1017)</f>
        <v>#N/A</v>
      </c>
      <c r="Z1017" t="e">
        <f>INDEX(script.out!N:N,results.txt!$M1017)</f>
        <v>#N/A</v>
      </c>
      <c r="AA1017" t="e">
        <f>INDEX(script.out!O:O,results.txt!$M1017)</f>
        <v>#N/A</v>
      </c>
      <c r="AB1017" t="e">
        <f>INDEX(script.out!P:P,results.txt!$M1017)</f>
        <v>#N/A</v>
      </c>
      <c r="AC1017" t="e">
        <f>INDEX(script.out!Q:Q,results.txt!$M1017)</f>
        <v>#N/A</v>
      </c>
      <c r="AD1017">
        <f t="shared" si="16"/>
        <v>0</v>
      </c>
    </row>
    <row r="1018" spans="13:30" x14ac:dyDescent="0.25">
      <c r="M1018" t="e">
        <f>MATCH(C1018,script.out!B:B,0)</f>
        <v>#N/A</v>
      </c>
      <c r="N1018" t="e">
        <f>INDEX(script.out!B:B,results.txt!$M1018)</f>
        <v>#N/A</v>
      </c>
      <c r="O1018" t="e">
        <f>INDEX(script.out!C:C,results.txt!$M1018)</f>
        <v>#N/A</v>
      </c>
      <c r="P1018" t="e">
        <f>INDEX(script.out!D:D,results.txt!$M1018)</f>
        <v>#N/A</v>
      </c>
      <c r="Q1018" t="e">
        <f>INDEX(script.out!E:E,results.txt!$M1018)</f>
        <v>#N/A</v>
      </c>
      <c r="R1018" t="e">
        <f>INDEX(script.out!F:F,results.txt!$M1018)</f>
        <v>#N/A</v>
      </c>
      <c r="S1018" t="e">
        <f>INDEX(script.out!G:G,results.txt!$M1018)</f>
        <v>#N/A</v>
      </c>
      <c r="T1018" t="e">
        <f>INDEX(script.out!H:H,results.txt!$M1018)</f>
        <v>#N/A</v>
      </c>
      <c r="U1018" t="e">
        <f>INDEX(script.out!I:I,results.txt!$M1018)</f>
        <v>#N/A</v>
      </c>
      <c r="V1018" t="e">
        <f>INDEX(script.out!J:J,results.txt!$M1018)</f>
        <v>#N/A</v>
      </c>
      <c r="W1018" t="e">
        <f>INDEX(script.out!K:K,results.txt!$M1018)</f>
        <v>#N/A</v>
      </c>
      <c r="X1018" t="e">
        <f>INDEX(script.out!L:L,results.txt!$M1018)</f>
        <v>#N/A</v>
      </c>
      <c r="Y1018" t="e">
        <f>INDEX(script.out!M:M,results.txt!$M1018)</f>
        <v>#N/A</v>
      </c>
      <c r="Z1018" t="e">
        <f>INDEX(script.out!N:N,results.txt!$M1018)</f>
        <v>#N/A</v>
      </c>
      <c r="AA1018" t="e">
        <f>INDEX(script.out!O:O,results.txt!$M1018)</f>
        <v>#N/A</v>
      </c>
      <c r="AB1018" t="e">
        <f>INDEX(script.out!P:P,results.txt!$M1018)</f>
        <v>#N/A</v>
      </c>
      <c r="AC1018" t="e">
        <f>INDEX(script.out!Q:Q,results.txt!$M1018)</f>
        <v>#N/A</v>
      </c>
      <c r="AD1018">
        <f t="shared" si="16"/>
        <v>0</v>
      </c>
    </row>
    <row r="1019" spans="13:30" x14ac:dyDescent="0.25">
      <c r="M1019" t="e">
        <f>MATCH(C1019,script.out!B:B,0)</f>
        <v>#N/A</v>
      </c>
      <c r="N1019" t="e">
        <f>INDEX(script.out!B:B,results.txt!$M1019)</f>
        <v>#N/A</v>
      </c>
      <c r="O1019" t="e">
        <f>INDEX(script.out!C:C,results.txt!$M1019)</f>
        <v>#N/A</v>
      </c>
      <c r="P1019" t="e">
        <f>INDEX(script.out!D:D,results.txt!$M1019)</f>
        <v>#N/A</v>
      </c>
      <c r="Q1019" t="e">
        <f>INDEX(script.out!E:E,results.txt!$M1019)</f>
        <v>#N/A</v>
      </c>
      <c r="R1019" t="e">
        <f>INDEX(script.out!F:F,results.txt!$M1019)</f>
        <v>#N/A</v>
      </c>
      <c r="S1019" t="e">
        <f>INDEX(script.out!G:G,results.txt!$M1019)</f>
        <v>#N/A</v>
      </c>
      <c r="T1019" t="e">
        <f>INDEX(script.out!H:H,results.txt!$M1019)</f>
        <v>#N/A</v>
      </c>
      <c r="U1019" t="e">
        <f>INDEX(script.out!I:I,results.txt!$M1019)</f>
        <v>#N/A</v>
      </c>
      <c r="V1019" t="e">
        <f>INDEX(script.out!J:J,results.txt!$M1019)</f>
        <v>#N/A</v>
      </c>
      <c r="W1019" t="e">
        <f>INDEX(script.out!K:K,results.txt!$M1019)</f>
        <v>#N/A</v>
      </c>
      <c r="X1019" t="e">
        <f>INDEX(script.out!L:L,results.txt!$M1019)</f>
        <v>#N/A</v>
      </c>
      <c r="Y1019" t="e">
        <f>INDEX(script.out!M:M,results.txt!$M1019)</f>
        <v>#N/A</v>
      </c>
      <c r="Z1019" t="e">
        <f>INDEX(script.out!N:N,results.txt!$M1019)</f>
        <v>#N/A</v>
      </c>
      <c r="AA1019" t="e">
        <f>INDEX(script.out!O:O,results.txt!$M1019)</f>
        <v>#N/A</v>
      </c>
      <c r="AB1019" t="e">
        <f>INDEX(script.out!P:P,results.txt!$M1019)</f>
        <v>#N/A</v>
      </c>
      <c r="AC1019" t="e">
        <f>INDEX(script.out!Q:Q,results.txt!$M1019)</f>
        <v>#N/A</v>
      </c>
      <c r="AD1019">
        <f t="shared" si="16"/>
        <v>0</v>
      </c>
    </row>
    <row r="1020" spans="13:30" x14ac:dyDescent="0.25">
      <c r="M1020" t="e">
        <f>MATCH(C1020,script.out!B:B,0)</f>
        <v>#N/A</v>
      </c>
      <c r="N1020" t="e">
        <f>INDEX(script.out!B:B,results.txt!$M1020)</f>
        <v>#N/A</v>
      </c>
      <c r="O1020" t="e">
        <f>INDEX(script.out!C:C,results.txt!$M1020)</f>
        <v>#N/A</v>
      </c>
      <c r="P1020" t="e">
        <f>INDEX(script.out!D:D,results.txt!$M1020)</f>
        <v>#N/A</v>
      </c>
      <c r="Q1020" t="e">
        <f>INDEX(script.out!E:E,results.txt!$M1020)</f>
        <v>#N/A</v>
      </c>
      <c r="R1020" t="e">
        <f>INDEX(script.out!F:F,results.txt!$M1020)</f>
        <v>#N/A</v>
      </c>
      <c r="S1020" t="e">
        <f>INDEX(script.out!G:G,results.txt!$M1020)</f>
        <v>#N/A</v>
      </c>
      <c r="T1020" t="e">
        <f>INDEX(script.out!H:H,results.txt!$M1020)</f>
        <v>#N/A</v>
      </c>
      <c r="U1020" t="e">
        <f>INDEX(script.out!I:I,results.txt!$M1020)</f>
        <v>#N/A</v>
      </c>
      <c r="V1020" t="e">
        <f>INDEX(script.out!J:J,results.txt!$M1020)</f>
        <v>#N/A</v>
      </c>
      <c r="W1020" t="e">
        <f>INDEX(script.out!K:K,results.txt!$M1020)</f>
        <v>#N/A</v>
      </c>
      <c r="X1020" t="e">
        <f>INDEX(script.out!L:L,results.txt!$M1020)</f>
        <v>#N/A</v>
      </c>
      <c r="Y1020" t="e">
        <f>INDEX(script.out!M:M,results.txt!$M1020)</f>
        <v>#N/A</v>
      </c>
      <c r="Z1020" t="e">
        <f>INDEX(script.out!N:N,results.txt!$M1020)</f>
        <v>#N/A</v>
      </c>
      <c r="AA1020" t="e">
        <f>INDEX(script.out!O:O,results.txt!$M1020)</f>
        <v>#N/A</v>
      </c>
      <c r="AB1020" t="e">
        <f>INDEX(script.out!P:P,results.txt!$M1020)</f>
        <v>#N/A</v>
      </c>
      <c r="AC1020" t="e">
        <f>INDEX(script.out!Q:Q,results.txt!$M1020)</f>
        <v>#N/A</v>
      </c>
      <c r="AD1020">
        <f t="shared" si="16"/>
        <v>0</v>
      </c>
    </row>
    <row r="1021" spans="13:30" x14ac:dyDescent="0.25">
      <c r="M1021" t="e">
        <f>MATCH(C1021,script.out!B:B,0)</f>
        <v>#N/A</v>
      </c>
      <c r="N1021" t="e">
        <f>INDEX(script.out!B:B,results.txt!$M1021)</f>
        <v>#N/A</v>
      </c>
      <c r="O1021" t="e">
        <f>INDEX(script.out!C:C,results.txt!$M1021)</f>
        <v>#N/A</v>
      </c>
      <c r="P1021" t="e">
        <f>INDEX(script.out!D:D,results.txt!$M1021)</f>
        <v>#N/A</v>
      </c>
      <c r="Q1021" t="e">
        <f>INDEX(script.out!E:E,results.txt!$M1021)</f>
        <v>#N/A</v>
      </c>
      <c r="R1021" t="e">
        <f>INDEX(script.out!F:F,results.txt!$M1021)</f>
        <v>#N/A</v>
      </c>
      <c r="S1021" t="e">
        <f>INDEX(script.out!G:G,results.txt!$M1021)</f>
        <v>#N/A</v>
      </c>
      <c r="T1021" t="e">
        <f>INDEX(script.out!H:H,results.txt!$M1021)</f>
        <v>#N/A</v>
      </c>
      <c r="U1021" t="e">
        <f>INDEX(script.out!I:I,results.txt!$M1021)</f>
        <v>#N/A</v>
      </c>
      <c r="V1021" t="e">
        <f>INDEX(script.out!J:J,results.txt!$M1021)</f>
        <v>#N/A</v>
      </c>
      <c r="W1021" t="e">
        <f>INDEX(script.out!K:K,results.txt!$M1021)</f>
        <v>#N/A</v>
      </c>
      <c r="X1021" t="e">
        <f>INDEX(script.out!L:L,results.txt!$M1021)</f>
        <v>#N/A</v>
      </c>
      <c r="Y1021" t="e">
        <f>INDEX(script.out!M:M,results.txt!$M1021)</f>
        <v>#N/A</v>
      </c>
      <c r="Z1021" t="e">
        <f>INDEX(script.out!N:N,results.txt!$M1021)</f>
        <v>#N/A</v>
      </c>
      <c r="AA1021" t="e">
        <f>INDEX(script.out!O:O,results.txt!$M1021)</f>
        <v>#N/A</v>
      </c>
      <c r="AB1021" t="e">
        <f>INDEX(script.out!P:P,results.txt!$M1021)</f>
        <v>#N/A</v>
      </c>
      <c r="AC1021" t="e">
        <f>INDEX(script.out!Q:Q,results.txt!$M1021)</f>
        <v>#N/A</v>
      </c>
      <c r="AD1021">
        <f t="shared" si="16"/>
        <v>0</v>
      </c>
    </row>
    <row r="1022" spans="13:30" x14ac:dyDescent="0.25">
      <c r="M1022" t="e">
        <f>MATCH(C1022,script.out!B:B,0)</f>
        <v>#N/A</v>
      </c>
      <c r="N1022" t="e">
        <f>INDEX(script.out!B:B,results.txt!$M1022)</f>
        <v>#N/A</v>
      </c>
      <c r="O1022" t="e">
        <f>INDEX(script.out!C:C,results.txt!$M1022)</f>
        <v>#N/A</v>
      </c>
      <c r="P1022" t="e">
        <f>INDEX(script.out!D:D,results.txt!$M1022)</f>
        <v>#N/A</v>
      </c>
      <c r="Q1022" t="e">
        <f>INDEX(script.out!E:E,results.txt!$M1022)</f>
        <v>#N/A</v>
      </c>
      <c r="R1022" t="e">
        <f>INDEX(script.out!F:F,results.txt!$M1022)</f>
        <v>#N/A</v>
      </c>
      <c r="S1022" t="e">
        <f>INDEX(script.out!G:G,results.txt!$M1022)</f>
        <v>#N/A</v>
      </c>
      <c r="T1022" t="e">
        <f>INDEX(script.out!H:H,results.txt!$M1022)</f>
        <v>#N/A</v>
      </c>
      <c r="U1022" t="e">
        <f>INDEX(script.out!I:I,results.txt!$M1022)</f>
        <v>#N/A</v>
      </c>
      <c r="V1022" t="e">
        <f>INDEX(script.out!J:J,results.txt!$M1022)</f>
        <v>#N/A</v>
      </c>
      <c r="W1022" t="e">
        <f>INDEX(script.out!K:K,results.txt!$M1022)</f>
        <v>#N/A</v>
      </c>
      <c r="X1022" t="e">
        <f>INDEX(script.out!L:L,results.txt!$M1022)</f>
        <v>#N/A</v>
      </c>
      <c r="Y1022" t="e">
        <f>INDEX(script.out!M:M,results.txt!$M1022)</f>
        <v>#N/A</v>
      </c>
      <c r="Z1022" t="e">
        <f>INDEX(script.out!N:N,results.txt!$M1022)</f>
        <v>#N/A</v>
      </c>
      <c r="AA1022" t="e">
        <f>INDEX(script.out!O:O,results.txt!$M1022)</f>
        <v>#N/A</v>
      </c>
      <c r="AB1022" t="e">
        <f>INDEX(script.out!P:P,results.txt!$M1022)</f>
        <v>#N/A</v>
      </c>
      <c r="AC1022" t="e">
        <f>INDEX(script.out!Q:Q,results.txt!$M1022)</f>
        <v>#N/A</v>
      </c>
      <c r="AD1022">
        <f t="shared" si="16"/>
        <v>0</v>
      </c>
    </row>
    <row r="1023" spans="13:30" x14ac:dyDescent="0.25">
      <c r="M1023" t="e">
        <f>MATCH(C1023,script.out!B:B,0)</f>
        <v>#N/A</v>
      </c>
      <c r="N1023" t="e">
        <f>INDEX(script.out!B:B,results.txt!$M1023)</f>
        <v>#N/A</v>
      </c>
      <c r="O1023" t="e">
        <f>INDEX(script.out!C:C,results.txt!$M1023)</f>
        <v>#N/A</v>
      </c>
      <c r="P1023" t="e">
        <f>INDEX(script.out!D:D,results.txt!$M1023)</f>
        <v>#N/A</v>
      </c>
      <c r="Q1023" t="e">
        <f>INDEX(script.out!E:E,results.txt!$M1023)</f>
        <v>#N/A</v>
      </c>
      <c r="R1023" t="e">
        <f>INDEX(script.out!F:F,results.txt!$M1023)</f>
        <v>#N/A</v>
      </c>
      <c r="S1023" t="e">
        <f>INDEX(script.out!G:G,results.txt!$M1023)</f>
        <v>#N/A</v>
      </c>
      <c r="T1023" t="e">
        <f>INDEX(script.out!H:H,results.txt!$M1023)</f>
        <v>#N/A</v>
      </c>
      <c r="U1023" t="e">
        <f>INDEX(script.out!I:I,results.txt!$M1023)</f>
        <v>#N/A</v>
      </c>
      <c r="V1023" t="e">
        <f>INDEX(script.out!J:J,results.txt!$M1023)</f>
        <v>#N/A</v>
      </c>
      <c r="W1023" t="e">
        <f>INDEX(script.out!K:K,results.txt!$M1023)</f>
        <v>#N/A</v>
      </c>
      <c r="X1023" t="e">
        <f>INDEX(script.out!L:L,results.txt!$M1023)</f>
        <v>#N/A</v>
      </c>
      <c r="Y1023" t="e">
        <f>INDEX(script.out!M:M,results.txt!$M1023)</f>
        <v>#N/A</v>
      </c>
      <c r="Z1023" t="e">
        <f>INDEX(script.out!N:N,results.txt!$M1023)</f>
        <v>#N/A</v>
      </c>
      <c r="AA1023" t="e">
        <f>INDEX(script.out!O:O,results.txt!$M1023)</f>
        <v>#N/A</v>
      </c>
      <c r="AB1023" t="e">
        <f>INDEX(script.out!P:P,results.txt!$M1023)</f>
        <v>#N/A</v>
      </c>
      <c r="AC1023" t="e">
        <f>INDEX(script.out!Q:Q,results.txt!$M1023)</f>
        <v>#N/A</v>
      </c>
      <c r="AD1023">
        <f t="shared" si="16"/>
        <v>0</v>
      </c>
    </row>
    <row r="1024" spans="13:30" x14ac:dyDescent="0.25">
      <c r="M1024" t="e">
        <f>MATCH(C1024,script.out!B:B,0)</f>
        <v>#N/A</v>
      </c>
      <c r="N1024" t="e">
        <f>INDEX(script.out!B:B,results.txt!$M1024)</f>
        <v>#N/A</v>
      </c>
      <c r="O1024" t="e">
        <f>INDEX(script.out!C:C,results.txt!$M1024)</f>
        <v>#N/A</v>
      </c>
      <c r="P1024" t="e">
        <f>INDEX(script.out!D:D,results.txt!$M1024)</f>
        <v>#N/A</v>
      </c>
      <c r="Q1024" t="e">
        <f>INDEX(script.out!E:E,results.txt!$M1024)</f>
        <v>#N/A</v>
      </c>
      <c r="R1024" t="e">
        <f>INDEX(script.out!F:F,results.txt!$M1024)</f>
        <v>#N/A</v>
      </c>
      <c r="S1024" t="e">
        <f>INDEX(script.out!G:G,results.txt!$M1024)</f>
        <v>#N/A</v>
      </c>
      <c r="T1024" t="e">
        <f>INDEX(script.out!H:H,results.txt!$M1024)</f>
        <v>#N/A</v>
      </c>
      <c r="U1024" t="e">
        <f>INDEX(script.out!I:I,results.txt!$M1024)</f>
        <v>#N/A</v>
      </c>
      <c r="V1024" t="e">
        <f>INDEX(script.out!J:J,results.txt!$M1024)</f>
        <v>#N/A</v>
      </c>
      <c r="W1024" t="e">
        <f>INDEX(script.out!K:K,results.txt!$M1024)</f>
        <v>#N/A</v>
      </c>
      <c r="X1024" t="e">
        <f>INDEX(script.out!L:L,results.txt!$M1024)</f>
        <v>#N/A</v>
      </c>
      <c r="Y1024" t="e">
        <f>INDEX(script.out!M:M,results.txt!$M1024)</f>
        <v>#N/A</v>
      </c>
      <c r="Z1024" t="e">
        <f>INDEX(script.out!N:N,results.txt!$M1024)</f>
        <v>#N/A</v>
      </c>
      <c r="AA1024" t="e">
        <f>INDEX(script.out!O:O,results.txt!$M1024)</f>
        <v>#N/A</v>
      </c>
      <c r="AB1024" t="e">
        <f>INDEX(script.out!P:P,results.txt!$M1024)</f>
        <v>#N/A</v>
      </c>
      <c r="AC1024" t="e">
        <f>INDEX(script.out!Q:Q,results.txt!$M1024)</f>
        <v>#N/A</v>
      </c>
      <c r="AD1024">
        <f t="shared" si="16"/>
        <v>0</v>
      </c>
    </row>
    <row r="1025" spans="13:30" x14ac:dyDescent="0.25">
      <c r="M1025" t="e">
        <f>MATCH(C1025,script.out!B:B,0)</f>
        <v>#N/A</v>
      </c>
      <c r="N1025" t="e">
        <f>INDEX(script.out!B:B,results.txt!$M1025)</f>
        <v>#N/A</v>
      </c>
      <c r="O1025" t="e">
        <f>INDEX(script.out!C:C,results.txt!$M1025)</f>
        <v>#N/A</v>
      </c>
      <c r="P1025" t="e">
        <f>INDEX(script.out!D:D,results.txt!$M1025)</f>
        <v>#N/A</v>
      </c>
      <c r="Q1025" t="e">
        <f>INDEX(script.out!E:E,results.txt!$M1025)</f>
        <v>#N/A</v>
      </c>
      <c r="R1025" t="e">
        <f>INDEX(script.out!F:F,results.txt!$M1025)</f>
        <v>#N/A</v>
      </c>
      <c r="S1025" t="e">
        <f>INDEX(script.out!G:G,results.txt!$M1025)</f>
        <v>#N/A</v>
      </c>
      <c r="T1025" t="e">
        <f>INDEX(script.out!H:H,results.txt!$M1025)</f>
        <v>#N/A</v>
      </c>
      <c r="U1025" t="e">
        <f>INDEX(script.out!I:I,results.txt!$M1025)</f>
        <v>#N/A</v>
      </c>
      <c r="V1025" t="e">
        <f>INDEX(script.out!J:J,results.txt!$M1025)</f>
        <v>#N/A</v>
      </c>
      <c r="W1025" t="e">
        <f>INDEX(script.out!K:K,results.txt!$M1025)</f>
        <v>#N/A</v>
      </c>
      <c r="X1025" t="e">
        <f>INDEX(script.out!L:L,results.txt!$M1025)</f>
        <v>#N/A</v>
      </c>
      <c r="Y1025" t="e">
        <f>INDEX(script.out!M:M,results.txt!$M1025)</f>
        <v>#N/A</v>
      </c>
      <c r="Z1025" t="e">
        <f>INDEX(script.out!N:N,results.txt!$M1025)</f>
        <v>#N/A</v>
      </c>
      <c r="AA1025" t="e">
        <f>INDEX(script.out!O:O,results.txt!$M1025)</f>
        <v>#N/A</v>
      </c>
      <c r="AB1025" t="e">
        <f>INDEX(script.out!P:P,results.txt!$M1025)</f>
        <v>#N/A</v>
      </c>
      <c r="AC1025" t="e">
        <f>INDEX(script.out!Q:Q,results.txt!$M1025)</f>
        <v>#N/A</v>
      </c>
      <c r="AD1025">
        <f t="shared" si="16"/>
        <v>0</v>
      </c>
    </row>
    <row r="1026" spans="13:30" x14ac:dyDescent="0.25">
      <c r="M1026" t="e">
        <f>MATCH(C1026,script.out!B:B,0)</f>
        <v>#N/A</v>
      </c>
      <c r="N1026" t="e">
        <f>INDEX(script.out!B:B,results.txt!$M1026)</f>
        <v>#N/A</v>
      </c>
      <c r="O1026" t="e">
        <f>INDEX(script.out!C:C,results.txt!$M1026)</f>
        <v>#N/A</v>
      </c>
      <c r="P1026" t="e">
        <f>INDEX(script.out!D:D,results.txt!$M1026)</f>
        <v>#N/A</v>
      </c>
      <c r="Q1026" t="e">
        <f>INDEX(script.out!E:E,results.txt!$M1026)</f>
        <v>#N/A</v>
      </c>
      <c r="R1026" t="e">
        <f>INDEX(script.out!F:F,results.txt!$M1026)</f>
        <v>#N/A</v>
      </c>
      <c r="S1026" t="e">
        <f>INDEX(script.out!G:G,results.txt!$M1026)</f>
        <v>#N/A</v>
      </c>
      <c r="T1026" t="e">
        <f>INDEX(script.out!H:H,results.txt!$M1026)</f>
        <v>#N/A</v>
      </c>
      <c r="U1026" t="e">
        <f>INDEX(script.out!I:I,results.txt!$M1026)</f>
        <v>#N/A</v>
      </c>
      <c r="V1026" t="e">
        <f>INDEX(script.out!J:J,results.txt!$M1026)</f>
        <v>#N/A</v>
      </c>
      <c r="W1026" t="e">
        <f>INDEX(script.out!K:K,results.txt!$M1026)</f>
        <v>#N/A</v>
      </c>
      <c r="X1026" t="e">
        <f>INDEX(script.out!L:L,results.txt!$M1026)</f>
        <v>#N/A</v>
      </c>
      <c r="Y1026" t="e">
        <f>INDEX(script.out!M:M,results.txt!$M1026)</f>
        <v>#N/A</v>
      </c>
      <c r="Z1026" t="e">
        <f>INDEX(script.out!N:N,results.txt!$M1026)</f>
        <v>#N/A</v>
      </c>
      <c r="AA1026" t="e">
        <f>INDEX(script.out!O:O,results.txt!$M1026)</f>
        <v>#N/A</v>
      </c>
      <c r="AB1026" t="e">
        <f>INDEX(script.out!P:P,results.txt!$M1026)</f>
        <v>#N/A</v>
      </c>
      <c r="AC1026" t="e">
        <f>INDEX(script.out!Q:Q,results.txt!$M1026)</f>
        <v>#N/A</v>
      </c>
      <c r="AD1026">
        <f t="shared" si="16"/>
        <v>0</v>
      </c>
    </row>
    <row r="1027" spans="13:30" x14ac:dyDescent="0.25">
      <c r="M1027" t="e">
        <f>MATCH(C1027,script.out!B:B,0)</f>
        <v>#N/A</v>
      </c>
      <c r="N1027" t="e">
        <f>INDEX(script.out!B:B,results.txt!$M1027)</f>
        <v>#N/A</v>
      </c>
      <c r="O1027" t="e">
        <f>INDEX(script.out!C:C,results.txt!$M1027)</f>
        <v>#N/A</v>
      </c>
      <c r="P1027" t="e">
        <f>INDEX(script.out!D:D,results.txt!$M1027)</f>
        <v>#N/A</v>
      </c>
      <c r="Q1027" t="e">
        <f>INDEX(script.out!E:E,results.txt!$M1027)</f>
        <v>#N/A</v>
      </c>
      <c r="R1027" t="e">
        <f>INDEX(script.out!F:F,results.txt!$M1027)</f>
        <v>#N/A</v>
      </c>
      <c r="S1027" t="e">
        <f>INDEX(script.out!G:G,results.txt!$M1027)</f>
        <v>#N/A</v>
      </c>
      <c r="T1027" t="e">
        <f>INDEX(script.out!H:H,results.txt!$M1027)</f>
        <v>#N/A</v>
      </c>
      <c r="U1027" t="e">
        <f>INDEX(script.out!I:I,results.txt!$M1027)</f>
        <v>#N/A</v>
      </c>
      <c r="V1027" t="e">
        <f>INDEX(script.out!J:J,results.txt!$M1027)</f>
        <v>#N/A</v>
      </c>
      <c r="W1027" t="e">
        <f>INDEX(script.out!K:K,results.txt!$M1027)</f>
        <v>#N/A</v>
      </c>
      <c r="X1027" t="e">
        <f>INDEX(script.out!L:L,results.txt!$M1027)</f>
        <v>#N/A</v>
      </c>
      <c r="Y1027" t="e">
        <f>INDEX(script.out!M:M,results.txt!$M1027)</f>
        <v>#N/A</v>
      </c>
      <c r="Z1027" t="e">
        <f>INDEX(script.out!N:N,results.txt!$M1027)</f>
        <v>#N/A</v>
      </c>
      <c r="AA1027" t="e">
        <f>INDEX(script.out!O:O,results.txt!$M1027)</f>
        <v>#N/A</v>
      </c>
      <c r="AB1027" t="e">
        <f>INDEX(script.out!P:P,results.txt!$M1027)</f>
        <v>#N/A</v>
      </c>
      <c r="AC1027" t="e">
        <f>INDEX(script.out!Q:Q,results.txt!$M1027)</f>
        <v>#N/A</v>
      </c>
      <c r="AD1027">
        <f t="shared" si="16"/>
        <v>0</v>
      </c>
    </row>
    <row r="1028" spans="13:30" x14ac:dyDescent="0.25">
      <c r="M1028" t="e">
        <f>MATCH(C1028,script.out!B:B,0)</f>
        <v>#N/A</v>
      </c>
      <c r="N1028" t="e">
        <f>INDEX(script.out!B:B,results.txt!$M1028)</f>
        <v>#N/A</v>
      </c>
      <c r="O1028" t="e">
        <f>INDEX(script.out!C:C,results.txt!$M1028)</f>
        <v>#N/A</v>
      </c>
      <c r="P1028" t="e">
        <f>INDEX(script.out!D:D,results.txt!$M1028)</f>
        <v>#N/A</v>
      </c>
      <c r="Q1028" t="e">
        <f>INDEX(script.out!E:E,results.txt!$M1028)</f>
        <v>#N/A</v>
      </c>
      <c r="R1028" t="e">
        <f>INDEX(script.out!F:F,results.txt!$M1028)</f>
        <v>#N/A</v>
      </c>
      <c r="S1028" t="e">
        <f>INDEX(script.out!G:G,results.txt!$M1028)</f>
        <v>#N/A</v>
      </c>
      <c r="T1028" t="e">
        <f>INDEX(script.out!H:H,results.txt!$M1028)</f>
        <v>#N/A</v>
      </c>
      <c r="U1028" t="e">
        <f>INDEX(script.out!I:I,results.txt!$M1028)</f>
        <v>#N/A</v>
      </c>
      <c r="V1028" t="e">
        <f>INDEX(script.out!J:J,results.txt!$M1028)</f>
        <v>#N/A</v>
      </c>
      <c r="W1028" t="e">
        <f>INDEX(script.out!K:K,results.txt!$M1028)</f>
        <v>#N/A</v>
      </c>
      <c r="X1028" t="e">
        <f>INDEX(script.out!L:L,results.txt!$M1028)</f>
        <v>#N/A</v>
      </c>
      <c r="Y1028" t="e">
        <f>INDEX(script.out!M:M,results.txt!$M1028)</f>
        <v>#N/A</v>
      </c>
      <c r="Z1028" t="e">
        <f>INDEX(script.out!N:N,results.txt!$M1028)</f>
        <v>#N/A</v>
      </c>
      <c r="AA1028" t="e">
        <f>INDEX(script.out!O:O,results.txt!$M1028)</f>
        <v>#N/A</v>
      </c>
      <c r="AB1028" t="e">
        <f>INDEX(script.out!P:P,results.txt!$M1028)</f>
        <v>#N/A</v>
      </c>
      <c r="AC1028" t="e">
        <f>INDEX(script.out!Q:Q,results.txt!$M1028)</f>
        <v>#N/A</v>
      </c>
      <c r="AD1028">
        <f t="shared" si="16"/>
        <v>0</v>
      </c>
    </row>
    <row r="1029" spans="13:30" x14ac:dyDescent="0.25">
      <c r="M1029" t="e">
        <f>MATCH(C1029,script.out!B:B,0)</f>
        <v>#N/A</v>
      </c>
      <c r="N1029" t="e">
        <f>INDEX(script.out!B:B,results.txt!$M1029)</f>
        <v>#N/A</v>
      </c>
      <c r="O1029" t="e">
        <f>INDEX(script.out!C:C,results.txt!$M1029)</f>
        <v>#N/A</v>
      </c>
      <c r="P1029" t="e">
        <f>INDEX(script.out!D:D,results.txt!$M1029)</f>
        <v>#N/A</v>
      </c>
      <c r="Q1029" t="e">
        <f>INDEX(script.out!E:E,results.txt!$M1029)</f>
        <v>#N/A</v>
      </c>
      <c r="R1029" t="e">
        <f>INDEX(script.out!F:F,results.txt!$M1029)</f>
        <v>#N/A</v>
      </c>
      <c r="S1029" t="e">
        <f>INDEX(script.out!G:G,results.txt!$M1029)</f>
        <v>#N/A</v>
      </c>
      <c r="T1029" t="e">
        <f>INDEX(script.out!H:H,results.txt!$M1029)</f>
        <v>#N/A</v>
      </c>
      <c r="U1029" t="e">
        <f>INDEX(script.out!I:I,results.txt!$M1029)</f>
        <v>#N/A</v>
      </c>
      <c r="V1029" t="e">
        <f>INDEX(script.out!J:J,results.txt!$M1029)</f>
        <v>#N/A</v>
      </c>
      <c r="W1029" t="e">
        <f>INDEX(script.out!K:K,results.txt!$M1029)</f>
        <v>#N/A</v>
      </c>
      <c r="X1029" t="e">
        <f>INDEX(script.out!L:L,results.txt!$M1029)</f>
        <v>#N/A</v>
      </c>
      <c r="Y1029" t="e">
        <f>INDEX(script.out!M:M,results.txt!$M1029)</f>
        <v>#N/A</v>
      </c>
      <c r="Z1029" t="e">
        <f>INDEX(script.out!N:N,results.txt!$M1029)</f>
        <v>#N/A</v>
      </c>
      <c r="AA1029" t="e">
        <f>INDEX(script.out!O:O,results.txt!$M1029)</f>
        <v>#N/A</v>
      </c>
      <c r="AB1029" t="e">
        <f>INDEX(script.out!P:P,results.txt!$M1029)</f>
        <v>#N/A</v>
      </c>
      <c r="AC1029" t="e">
        <f>INDEX(script.out!Q:Q,results.txt!$M1029)</f>
        <v>#N/A</v>
      </c>
      <c r="AD1029">
        <f t="shared" si="16"/>
        <v>0</v>
      </c>
    </row>
    <row r="1030" spans="13:30" x14ac:dyDescent="0.25">
      <c r="M1030" t="e">
        <f>MATCH(C1030,script.out!B:B,0)</f>
        <v>#N/A</v>
      </c>
      <c r="N1030" t="e">
        <f>INDEX(script.out!B:B,results.txt!$M1030)</f>
        <v>#N/A</v>
      </c>
      <c r="O1030" t="e">
        <f>INDEX(script.out!C:C,results.txt!$M1030)</f>
        <v>#N/A</v>
      </c>
      <c r="P1030" t="e">
        <f>INDEX(script.out!D:D,results.txt!$M1030)</f>
        <v>#N/A</v>
      </c>
      <c r="Q1030" t="e">
        <f>INDEX(script.out!E:E,results.txt!$M1030)</f>
        <v>#N/A</v>
      </c>
      <c r="R1030" t="e">
        <f>INDEX(script.out!F:F,results.txt!$M1030)</f>
        <v>#N/A</v>
      </c>
      <c r="S1030" t="e">
        <f>INDEX(script.out!G:G,results.txt!$M1030)</f>
        <v>#N/A</v>
      </c>
      <c r="T1030" t="e">
        <f>INDEX(script.out!H:H,results.txt!$M1030)</f>
        <v>#N/A</v>
      </c>
      <c r="U1030" t="e">
        <f>INDEX(script.out!I:I,results.txt!$M1030)</f>
        <v>#N/A</v>
      </c>
      <c r="V1030" t="e">
        <f>INDEX(script.out!J:J,results.txt!$M1030)</f>
        <v>#N/A</v>
      </c>
      <c r="W1030" t="e">
        <f>INDEX(script.out!K:K,results.txt!$M1030)</f>
        <v>#N/A</v>
      </c>
      <c r="X1030" t="e">
        <f>INDEX(script.out!L:L,results.txt!$M1030)</f>
        <v>#N/A</v>
      </c>
      <c r="Y1030" t="e">
        <f>INDEX(script.out!M:M,results.txt!$M1030)</f>
        <v>#N/A</v>
      </c>
      <c r="Z1030" t="e">
        <f>INDEX(script.out!N:N,results.txt!$M1030)</f>
        <v>#N/A</v>
      </c>
      <c r="AA1030" t="e">
        <f>INDEX(script.out!O:O,results.txt!$M1030)</f>
        <v>#N/A</v>
      </c>
      <c r="AB1030" t="e">
        <f>INDEX(script.out!P:P,results.txt!$M1030)</f>
        <v>#N/A</v>
      </c>
      <c r="AC1030" t="e">
        <f>INDEX(script.out!Q:Q,results.txt!$M1030)</f>
        <v>#N/A</v>
      </c>
      <c r="AD1030">
        <f t="shared" si="16"/>
        <v>0</v>
      </c>
    </row>
    <row r="1031" spans="13:30" x14ac:dyDescent="0.25">
      <c r="M1031" t="e">
        <f>MATCH(C1031,script.out!B:B,0)</f>
        <v>#N/A</v>
      </c>
      <c r="N1031" t="e">
        <f>INDEX(script.out!B:B,results.txt!$M1031)</f>
        <v>#N/A</v>
      </c>
      <c r="O1031" t="e">
        <f>INDEX(script.out!C:C,results.txt!$M1031)</f>
        <v>#N/A</v>
      </c>
      <c r="P1031" t="e">
        <f>INDEX(script.out!D:D,results.txt!$M1031)</f>
        <v>#N/A</v>
      </c>
      <c r="Q1031" t="e">
        <f>INDEX(script.out!E:E,results.txt!$M1031)</f>
        <v>#N/A</v>
      </c>
      <c r="R1031" t="e">
        <f>INDEX(script.out!F:F,results.txt!$M1031)</f>
        <v>#N/A</v>
      </c>
      <c r="S1031" t="e">
        <f>INDEX(script.out!G:G,results.txt!$M1031)</f>
        <v>#N/A</v>
      </c>
      <c r="T1031" t="e">
        <f>INDEX(script.out!H:H,results.txt!$M1031)</f>
        <v>#N/A</v>
      </c>
      <c r="U1031" t="e">
        <f>INDEX(script.out!I:I,results.txt!$M1031)</f>
        <v>#N/A</v>
      </c>
      <c r="V1031" t="e">
        <f>INDEX(script.out!J:J,results.txt!$M1031)</f>
        <v>#N/A</v>
      </c>
      <c r="W1031" t="e">
        <f>INDEX(script.out!K:K,results.txt!$M1031)</f>
        <v>#N/A</v>
      </c>
      <c r="X1031" t="e">
        <f>INDEX(script.out!L:L,results.txt!$M1031)</f>
        <v>#N/A</v>
      </c>
      <c r="Y1031" t="e">
        <f>INDEX(script.out!M:M,results.txt!$M1031)</f>
        <v>#N/A</v>
      </c>
      <c r="Z1031" t="e">
        <f>INDEX(script.out!N:N,results.txt!$M1031)</f>
        <v>#N/A</v>
      </c>
      <c r="AA1031" t="e">
        <f>INDEX(script.out!O:O,results.txt!$M1031)</f>
        <v>#N/A</v>
      </c>
      <c r="AB1031" t="e">
        <f>INDEX(script.out!P:P,results.txt!$M1031)</f>
        <v>#N/A</v>
      </c>
      <c r="AC1031" t="e">
        <f>INDEX(script.out!Q:Q,results.txt!$M1031)</f>
        <v>#N/A</v>
      </c>
      <c r="AD1031">
        <f t="shared" si="16"/>
        <v>0</v>
      </c>
    </row>
    <row r="1032" spans="13:30" x14ac:dyDescent="0.25">
      <c r="M1032" t="e">
        <f>MATCH(C1032,script.out!B:B,0)</f>
        <v>#N/A</v>
      </c>
      <c r="N1032" t="e">
        <f>INDEX(script.out!B:B,results.txt!$M1032)</f>
        <v>#N/A</v>
      </c>
      <c r="O1032" t="e">
        <f>INDEX(script.out!C:C,results.txt!$M1032)</f>
        <v>#N/A</v>
      </c>
      <c r="P1032" t="e">
        <f>INDEX(script.out!D:D,results.txt!$M1032)</f>
        <v>#N/A</v>
      </c>
      <c r="Q1032" t="e">
        <f>INDEX(script.out!E:E,results.txt!$M1032)</f>
        <v>#N/A</v>
      </c>
      <c r="R1032" t="e">
        <f>INDEX(script.out!F:F,results.txt!$M1032)</f>
        <v>#N/A</v>
      </c>
      <c r="S1032" t="e">
        <f>INDEX(script.out!G:G,results.txt!$M1032)</f>
        <v>#N/A</v>
      </c>
      <c r="T1032" t="e">
        <f>INDEX(script.out!H:H,results.txt!$M1032)</f>
        <v>#N/A</v>
      </c>
      <c r="U1032" t="e">
        <f>INDEX(script.out!I:I,results.txt!$M1032)</f>
        <v>#N/A</v>
      </c>
      <c r="V1032" t="e">
        <f>INDEX(script.out!J:J,results.txt!$M1032)</f>
        <v>#N/A</v>
      </c>
      <c r="W1032" t="e">
        <f>INDEX(script.out!K:K,results.txt!$M1032)</f>
        <v>#N/A</v>
      </c>
      <c r="X1032" t="e">
        <f>INDEX(script.out!L:L,results.txt!$M1032)</f>
        <v>#N/A</v>
      </c>
      <c r="Y1032" t="e">
        <f>INDEX(script.out!M:M,results.txt!$M1032)</f>
        <v>#N/A</v>
      </c>
      <c r="Z1032" t="e">
        <f>INDEX(script.out!N:N,results.txt!$M1032)</f>
        <v>#N/A</v>
      </c>
      <c r="AA1032" t="e">
        <f>INDEX(script.out!O:O,results.txt!$M1032)</f>
        <v>#N/A</v>
      </c>
      <c r="AB1032" t="e">
        <f>INDEX(script.out!P:P,results.txt!$M1032)</f>
        <v>#N/A</v>
      </c>
      <c r="AC1032" t="e">
        <f>INDEX(script.out!Q:Q,results.txt!$M1032)</f>
        <v>#N/A</v>
      </c>
      <c r="AD1032">
        <f t="shared" si="16"/>
        <v>0</v>
      </c>
    </row>
    <row r="1033" spans="13:30" x14ac:dyDescent="0.25">
      <c r="M1033" t="e">
        <f>MATCH(C1033,script.out!B:B,0)</f>
        <v>#N/A</v>
      </c>
      <c r="N1033" t="e">
        <f>INDEX(script.out!B:B,results.txt!$M1033)</f>
        <v>#N/A</v>
      </c>
      <c r="O1033" t="e">
        <f>INDEX(script.out!C:C,results.txt!$M1033)</f>
        <v>#N/A</v>
      </c>
      <c r="P1033" t="e">
        <f>INDEX(script.out!D:D,results.txt!$M1033)</f>
        <v>#N/A</v>
      </c>
      <c r="Q1033" t="e">
        <f>INDEX(script.out!E:E,results.txt!$M1033)</f>
        <v>#N/A</v>
      </c>
      <c r="R1033" t="e">
        <f>INDEX(script.out!F:F,results.txt!$M1033)</f>
        <v>#N/A</v>
      </c>
      <c r="S1033" t="e">
        <f>INDEX(script.out!G:G,results.txt!$M1033)</f>
        <v>#N/A</v>
      </c>
      <c r="T1033" t="e">
        <f>INDEX(script.out!H:H,results.txt!$M1033)</f>
        <v>#N/A</v>
      </c>
      <c r="U1033" t="e">
        <f>INDEX(script.out!I:I,results.txt!$M1033)</f>
        <v>#N/A</v>
      </c>
      <c r="V1033" t="e">
        <f>INDEX(script.out!J:J,results.txt!$M1033)</f>
        <v>#N/A</v>
      </c>
      <c r="W1033" t="e">
        <f>INDEX(script.out!K:K,results.txt!$M1033)</f>
        <v>#N/A</v>
      </c>
      <c r="X1033" t="e">
        <f>INDEX(script.out!L:L,results.txt!$M1033)</f>
        <v>#N/A</v>
      </c>
      <c r="Y1033" t="e">
        <f>INDEX(script.out!M:M,results.txt!$M1033)</f>
        <v>#N/A</v>
      </c>
      <c r="Z1033" t="e">
        <f>INDEX(script.out!N:N,results.txt!$M1033)</f>
        <v>#N/A</v>
      </c>
      <c r="AA1033" t="e">
        <f>INDEX(script.out!O:O,results.txt!$M1033)</f>
        <v>#N/A</v>
      </c>
      <c r="AB1033" t="e">
        <f>INDEX(script.out!P:P,results.txt!$M1033)</f>
        <v>#N/A</v>
      </c>
      <c r="AC1033" t="e">
        <f>INDEX(script.out!Q:Q,results.txt!$M1033)</f>
        <v>#N/A</v>
      </c>
      <c r="AD1033">
        <f t="shared" si="16"/>
        <v>0</v>
      </c>
    </row>
    <row r="1034" spans="13:30" x14ac:dyDescent="0.25">
      <c r="M1034" t="e">
        <f>MATCH(C1034,script.out!B:B,0)</f>
        <v>#N/A</v>
      </c>
      <c r="N1034" t="e">
        <f>INDEX(script.out!B:B,results.txt!$M1034)</f>
        <v>#N/A</v>
      </c>
      <c r="O1034" t="e">
        <f>INDEX(script.out!C:C,results.txt!$M1034)</f>
        <v>#N/A</v>
      </c>
      <c r="P1034" t="e">
        <f>INDEX(script.out!D:D,results.txt!$M1034)</f>
        <v>#N/A</v>
      </c>
      <c r="Q1034" t="e">
        <f>INDEX(script.out!E:E,results.txt!$M1034)</f>
        <v>#N/A</v>
      </c>
      <c r="R1034" t="e">
        <f>INDEX(script.out!F:F,results.txt!$M1034)</f>
        <v>#N/A</v>
      </c>
      <c r="S1034" t="e">
        <f>INDEX(script.out!G:G,results.txt!$M1034)</f>
        <v>#N/A</v>
      </c>
      <c r="T1034" t="e">
        <f>INDEX(script.out!H:H,results.txt!$M1034)</f>
        <v>#N/A</v>
      </c>
      <c r="U1034" t="e">
        <f>INDEX(script.out!I:I,results.txt!$M1034)</f>
        <v>#N/A</v>
      </c>
      <c r="V1034" t="e">
        <f>INDEX(script.out!J:J,results.txt!$M1034)</f>
        <v>#N/A</v>
      </c>
      <c r="W1034" t="e">
        <f>INDEX(script.out!K:K,results.txt!$M1034)</f>
        <v>#N/A</v>
      </c>
      <c r="X1034" t="e">
        <f>INDEX(script.out!L:L,results.txt!$M1034)</f>
        <v>#N/A</v>
      </c>
      <c r="Y1034" t="e">
        <f>INDEX(script.out!M:M,results.txt!$M1034)</f>
        <v>#N/A</v>
      </c>
      <c r="Z1034" t="e">
        <f>INDEX(script.out!N:N,results.txt!$M1034)</f>
        <v>#N/A</v>
      </c>
      <c r="AA1034" t="e">
        <f>INDEX(script.out!O:O,results.txt!$M1034)</f>
        <v>#N/A</v>
      </c>
      <c r="AB1034" t="e">
        <f>INDEX(script.out!P:P,results.txt!$M1034)</f>
        <v>#N/A</v>
      </c>
      <c r="AC1034" t="e">
        <f>INDEX(script.out!Q:Q,results.txt!$M1034)</f>
        <v>#N/A</v>
      </c>
      <c r="AD1034">
        <f t="shared" si="16"/>
        <v>0</v>
      </c>
    </row>
    <row r="1035" spans="13:30" x14ac:dyDescent="0.25">
      <c r="M1035" t="e">
        <f>MATCH(C1035,script.out!B:B,0)</f>
        <v>#N/A</v>
      </c>
      <c r="N1035" t="e">
        <f>INDEX(script.out!B:B,results.txt!$M1035)</f>
        <v>#N/A</v>
      </c>
      <c r="O1035" t="e">
        <f>INDEX(script.out!C:C,results.txt!$M1035)</f>
        <v>#N/A</v>
      </c>
      <c r="P1035" t="e">
        <f>INDEX(script.out!D:D,results.txt!$M1035)</f>
        <v>#N/A</v>
      </c>
      <c r="Q1035" t="e">
        <f>INDEX(script.out!E:E,results.txt!$M1035)</f>
        <v>#N/A</v>
      </c>
      <c r="R1035" t="e">
        <f>INDEX(script.out!F:F,results.txt!$M1035)</f>
        <v>#N/A</v>
      </c>
      <c r="S1035" t="e">
        <f>INDEX(script.out!G:G,results.txt!$M1035)</f>
        <v>#N/A</v>
      </c>
      <c r="T1035" t="e">
        <f>INDEX(script.out!H:H,results.txt!$M1035)</f>
        <v>#N/A</v>
      </c>
      <c r="U1035" t="e">
        <f>INDEX(script.out!I:I,results.txt!$M1035)</f>
        <v>#N/A</v>
      </c>
      <c r="V1035" t="e">
        <f>INDEX(script.out!J:J,results.txt!$M1035)</f>
        <v>#N/A</v>
      </c>
      <c r="W1035" t="e">
        <f>INDEX(script.out!K:K,results.txt!$M1035)</f>
        <v>#N/A</v>
      </c>
      <c r="X1035" t="e">
        <f>INDEX(script.out!L:L,results.txt!$M1035)</f>
        <v>#N/A</v>
      </c>
      <c r="Y1035" t="e">
        <f>INDEX(script.out!M:M,results.txt!$M1035)</f>
        <v>#N/A</v>
      </c>
      <c r="Z1035" t="e">
        <f>INDEX(script.out!N:N,results.txt!$M1035)</f>
        <v>#N/A</v>
      </c>
      <c r="AA1035" t="e">
        <f>INDEX(script.out!O:O,results.txt!$M1035)</f>
        <v>#N/A</v>
      </c>
      <c r="AB1035" t="e">
        <f>INDEX(script.out!P:P,results.txt!$M1035)</f>
        <v>#N/A</v>
      </c>
      <c r="AC1035" t="e">
        <f>INDEX(script.out!Q:Q,results.txt!$M1035)</f>
        <v>#N/A</v>
      </c>
      <c r="AD1035">
        <f t="shared" si="16"/>
        <v>0</v>
      </c>
    </row>
    <row r="1036" spans="13:30" x14ac:dyDescent="0.25">
      <c r="M1036" t="e">
        <f>MATCH(C1036,script.out!B:B,0)</f>
        <v>#N/A</v>
      </c>
      <c r="N1036" t="e">
        <f>INDEX(script.out!B:B,results.txt!$M1036)</f>
        <v>#N/A</v>
      </c>
      <c r="O1036" t="e">
        <f>INDEX(script.out!C:C,results.txt!$M1036)</f>
        <v>#N/A</v>
      </c>
      <c r="P1036" t="e">
        <f>INDEX(script.out!D:D,results.txt!$M1036)</f>
        <v>#N/A</v>
      </c>
      <c r="Q1036" t="e">
        <f>INDEX(script.out!E:E,results.txt!$M1036)</f>
        <v>#N/A</v>
      </c>
      <c r="R1036" t="e">
        <f>INDEX(script.out!F:F,results.txt!$M1036)</f>
        <v>#N/A</v>
      </c>
      <c r="S1036" t="e">
        <f>INDEX(script.out!G:G,results.txt!$M1036)</f>
        <v>#N/A</v>
      </c>
      <c r="T1036" t="e">
        <f>INDEX(script.out!H:H,results.txt!$M1036)</f>
        <v>#N/A</v>
      </c>
      <c r="U1036" t="e">
        <f>INDEX(script.out!I:I,results.txt!$M1036)</f>
        <v>#N/A</v>
      </c>
      <c r="V1036" t="e">
        <f>INDEX(script.out!J:J,results.txt!$M1036)</f>
        <v>#N/A</v>
      </c>
      <c r="W1036" t="e">
        <f>INDEX(script.out!K:K,results.txt!$M1036)</f>
        <v>#N/A</v>
      </c>
      <c r="X1036" t="e">
        <f>INDEX(script.out!L:L,results.txt!$M1036)</f>
        <v>#N/A</v>
      </c>
      <c r="Y1036" t="e">
        <f>INDEX(script.out!M:M,results.txt!$M1036)</f>
        <v>#N/A</v>
      </c>
      <c r="Z1036" t="e">
        <f>INDEX(script.out!N:N,results.txt!$M1036)</f>
        <v>#N/A</v>
      </c>
      <c r="AA1036" t="e">
        <f>INDEX(script.out!O:O,results.txt!$M1036)</f>
        <v>#N/A</v>
      </c>
      <c r="AB1036" t="e">
        <f>INDEX(script.out!P:P,results.txt!$M1036)</f>
        <v>#N/A</v>
      </c>
      <c r="AC1036" t="e">
        <f>INDEX(script.out!Q:Q,results.txt!$M1036)</f>
        <v>#N/A</v>
      </c>
      <c r="AD1036">
        <f t="shared" si="16"/>
        <v>0</v>
      </c>
    </row>
    <row r="1037" spans="13:30" x14ac:dyDescent="0.25">
      <c r="M1037" t="e">
        <f>MATCH(C1037,script.out!B:B,0)</f>
        <v>#N/A</v>
      </c>
      <c r="N1037" t="e">
        <f>INDEX(script.out!B:B,results.txt!$M1037)</f>
        <v>#N/A</v>
      </c>
      <c r="O1037" t="e">
        <f>INDEX(script.out!C:C,results.txt!$M1037)</f>
        <v>#N/A</v>
      </c>
      <c r="P1037" t="e">
        <f>INDEX(script.out!D:D,results.txt!$M1037)</f>
        <v>#N/A</v>
      </c>
      <c r="Q1037" t="e">
        <f>INDEX(script.out!E:E,results.txt!$M1037)</f>
        <v>#N/A</v>
      </c>
      <c r="R1037" t="e">
        <f>INDEX(script.out!F:F,results.txt!$M1037)</f>
        <v>#N/A</v>
      </c>
      <c r="S1037" t="e">
        <f>INDEX(script.out!G:G,results.txt!$M1037)</f>
        <v>#N/A</v>
      </c>
      <c r="T1037" t="e">
        <f>INDEX(script.out!H:H,results.txt!$M1037)</f>
        <v>#N/A</v>
      </c>
      <c r="U1037" t="e">
        <f>INDEX(script.out!I:I,results.txt!$M1037)</f>
        <v>#N/A</v>
      </c>
      <c r="V1037" t="e">
        <f>INDEX(script.out!J:J,results.txt!$M1037)</f>
        <v>#N/A</v>
      </c>
      <c r="W1037" t="e">
        <f>INDEX(script.out!K:K,results.txt!$M1037)</f>
        <v>#N/A</v>
      </c>
      <c r="X1037" t="e">
        <f>INDEX(script.out!L:L,results.txt!$M1037)</f>
        <v>#N/A</v>
      </c>
      <c r="Y1037" t="e">
        <f>INDEX(script.out!M:M,results.txt!$M1037)</f>
        <v>#N/A</v>
      </c>
      <c r="Z1037" t="e">
        <f>INDEX(script.out!N:N,results.txt!$M1037)</f>
        <v>#N/A</v>
      </c>
      <c r="AA1037" t="e">
        <f>INDEX(script.out!O:O,results.txt!$M1037)</f>
        <v>#N/A</v>
      </c>
      <c r="AB1037" t="e">
        <f>INDEX(script.out!P:P,results.txt!$M1037)</f>
        <v>#N/A</v>
      </c>
      <c r="AC1037" t="e">
        <f>INDEX(script.out!Q:Q,results.txt!$M1037)</f>
        <v>#N/A</v>
      </c>
      <c r="AD1037">
        <f t="shared" si="16"/>
        <v>0</v>
      </c>
    </row>
    <row r="1038" spans="13:30" x14ac:dyDescent="0.25">
      <c r="M1038" t="e">
        <f>MATCH(C1038,script.out!B:B,0)</f>
        <v>#N/A</v>
      </c>
      <c r="N1038" t="e">
        <f>INDEX(script.out!B:B,results.txt!$M1038)</f>
        <v>#N/A</v>
      </c>
      <c r="O1038" t="e">
        <f>INDEX(script.out!C:C,results.txt!$M1038)</f>
        <v>#N/A</v>
      </c>
      <c r="P1038" t="e">
        <f>INDEX(script.out!D:D,results.txt!$M1038)</f>
        <v>#N/A</v>
      </c>
      <c r="Q1038" t="e">
        <f>INDEX(script.out!E:E,results.txt!$M1038)</f>
        <v>#N/A</v>
      </c>
      <c r="R1038" t="e">
        <f>INDEX(script.out!F:F,results.txt!$M1038)</f>
        <v>#N/A</v>
      </c>
      <c r="S1038" t="e">
        <f>INDEX(script.out!G:G,results.txt!$M1038)</f>
        <v>#N/A</v>
      </c>
      <c r="T1038" t="e">
        <f>INDEX(script.out!H:H,results.txt!$M1038)</f>
        <v>#N/A</v>
      </c>
      <c r="U1038" t="e">
        <f>INDEX(script.out!I:I,results.txt!$M1038)</f>
        <v>#N/A</v>
      </c>
      <c r="V1038" t="e">
        <f>INDEX(script.out!J:J,results.txt!$M1038)</f>
        <v>#N/A</v>
      </c>
      <c r="W1038" t="e">
        <f>INDEX(script.out!K:K,results.txt!$M1038)</f>
        <v>#N/A</v>
      </c>
      <c r="X1038" t="e">
        <f>INDEX(script.out!L:L,results.txt!$M1038)</f>
        <v>#N/A</v>
      </c>
      <c r="Y1038" t="e">
        <f>INDEX(script.out!M:M,results.txt!$M1038)</f>
        <v>#N/A</v>
      </c>
      <c r="Z1038" t="e">
        <f>INDEX(script.out!N:N,results.txt!$M1038)</f>
        <v>#N/A</v>
      </c>
      <c r="AA1038" t="e">
        <f>INDEX(script.out!O:O,results.txt!$M1038)</f>
        <v>#N/A</v>
      </c>
      <c r="AB1038" t="e">
        <f>INDEX(script.out!P:P,results.txt!$M1038)</f>
        <v>#N/A</v>
      </c>
      <c r="AC1038" t="e">
        <f>INDEX(script.out!Q:Q,results.txt!$M1038)</f>
        <v>#N/A</v>
      </c>
      <c r="AD1038">
        <f t="shared" si="16"/>
        <v>0</v>
      </c>
    </row>
    <row r="1039" spans="13:30" x14ac:dyDescent="0.25">
      <c r="M1039" t="e">
        <f>MATCH(C1039,script.out!B:B,0)</f>
        <v>#N/A</v>
      </c>
      <c r="N1039" t="e">
        <f>INDEX(script.out!B:B,results.txt!$M1039)</f>
        <v>#N/A</v>
      </c>
      <c r="O1039" t="e">
        <f>INDEX(script.out!C:C,results.txt!$M1039)</f>
        <v>#N/A</v>
      </c>
      <c r="P1039" t="e">
        <f>INDEX(script.out!D:D,results.txt!$M1039)</f>
        <v>#N/A</v>
      </c>
      <c r="Q1039" t="e">
        <f>INDEX(script.out!E:E,results.txt!$M1039)</f>
        <v>#N/A</v>
      </c>
      <c r="R1039" t="e">
        <f>INDEX(script.out!F:F,results.txt!$M1039)</f>
        <v>#N/A</v>
      </c>
      <c r="S1039" t="e">
        <f>INDEX(script.out!G:G,results.txt!$M1039)</f>
        <v>#N/A</v>
      </c>
      <c r="T1039" t="e">
        <f>INDEX(script.out!H:H,results.txt!$M1039)</f>
        <v>#N/A</v>
      </c>
      <c r="U1039" t="e">
        <f>INDEX(script.out!I:I,results.txt!$M1039)</f>
        <v>#N/A</v>
      </c>
      <c r="V1039" t="e">
        <f>INDEX(script.out!J:J,results.txt!$M1039)</f>
        <v>#N/A</v>
      </c>
      <c r="W1039" t="e">
        <f>INDEX(script.out!K:K,results.txt!$M1039)</f>
        <v>#N/A</v>
      </c>
      <c r="X1039" t="e">
        <f>INDEX(script.out!L:L,results.txt!$M1039)</f>
        <v>#N/A</v>
      </c>
      <c r="Y1039" t="e">
        <f>INDEX(script.out!M:M,results.txt!$M1039)</f>
        <v>#N/A</v>
      </c>
      <c r="Z1039" t="e">
        <f>INDEX(script.out!N:N,results.txt!$M1039)</f>
        <v>#N/A</v>
      </c>
      <c r="AA1039" t="e">
        <f>INDEX(script.out!O:O,results.txt!$M1039)</f>
        <v>#N/A</v>
      </c>
      <c r="AB1039" t="e">
        <f>INDEX(script.out!P:P,results.txt!$M1039)</f>
        <v>#N/A</v>
      </c>
      <c r="AC1039" t="e">
        <f>INDEX(script.out!Q:Q,results.txt!$M1039)</f>
        <v>#N/A</v>
      </c>
      <c r="AD1039">
        <f t="shared" si="16"/>
        <v>0</v>
      </c>
    </row>
    <row r="1040" spans="13:30" x14ac:dyDescent="0.25">
      <c r="M1040" t="e">
        <f>MATCH(C1040,script.out!B:B,0)</f>
        <v>#N/A</v>
      </c>
      <c r="N1040" t="e">
        <f>INDEX(script.out!B:B,results.txt!$M1040)</f>
        <v>#N/A</v>
      </c>
      <c r="O1040" t="e">
        <f>INDEX(script.out!C:C,results.txt!$M1040)</f>
        <v>#N/A</v>
      </c>
      <c r="P1040" t="e">
        <f>INDEX(script.out!D:D,results.txt!$M1040)</f>
        <v>#N/A</v>
      </c>
      <c r="Q1040" t="e">
        <f>INDEX(script.out!E:E,results.txt!$M1040)</f>
        <v>#N/A</v>
      </c>
      <c r="R1040" t="e">
        <f>INDEX(script.out!F:F,results.txt!$M1040)</f>
        <v>#N/A</v>
      </c>
      <c r="S1040" t="e">
        <f>INDEX(script.out!G:G,results.txt!$M1040)</f>
        <v>#N/A</v>
      </c>
      <c r="T1040" t="e">
        <f>INDEX(script.out!H:H,results.txt!$M1040)</f>
        <v>#N/A</v>
      </c>
      <c r="U1040" t="e">
        <f>INDEX(script.out!I:I,results.txt!$M1040)</f>
        <v>#N/A</v>
      </c>
      <c r="V1040" t="e">
        <f>INDEX(script.out!J:J,results.txt!$M1040)</f>
        <v>#N/A</v>
      </c>
      <c r="W1040" t="e">
        <f>INDEX(script.out!K:K,results.txt!$M1040)</f>
        <v>#N/A</v>
      </c>
      <c r="X1040" t="e">
        <f>INDEX(script.out!L:L,results.txt!$M1040)</f>
        <v>#N/A</v>
      </c>
      <c r="Y1040" t="e">
        <f>INDEX(script.out!M:M,results.txt!$M1040)</f>
        <v>#N/A</v>
      </c>
      <c r="Z1040" t="e">
        <f>INDEX(script.out!N:N,results.txt!$M1040)</f>
        <v>#N/A</v>
      </c>
      <c r="AA1040" t="e">
        <f>INDEX(script.out!O:O,results.txt!$M1040)</f>
        <v>#N/A</v>
      </c>
      <c r="AB1040" t="e">
        <f>INDEX(script.out!P:P,results.txt!$M1040)</f>
        <v>#N/A</v>
      </c>
      <c r="AC1040" t="e">
        <f>INDEX(script.out!Q:Q,results.txt!$M1040)</f>
        <v>#N/A</v>
      </c>
      <c r="AD1040">
        <f t="shared" si="16"/>
        <v>0</v>
      </c>
    </row>
    <row r="1041" spans="13:30" x14ac:dyDescent="0.25">
      <c r="M1041" t="e">
        <f>MATCH(C1041,script.out!B:B,0)</f>
        <v>#N/A</v>
      </c>
      <c r="N1041" t="e">
        <f>INDEX(script.out!B:B,results.txt!$M1041)</f>
        <v>#N/A</v>
      </c>
      <c r="O1041" t="e">
        <f>INDEX(script.out!C:C,results.txt!$M1041)</f>
        <v>#N/A</v>
      </c>
      <c r="P1041" t="e">
        <f>INDEX(script.out!D:D,results.txt!$M1041)</f>
        <v>#N/A</v>
      </c>
      <c r="Q1041" t="e">
        <f>INDEX(script.out!E:E,results.txt!$M1041)</f>
        <v>#N/A</v>
      </c>
      <c r="R1041" t="e">
        <f>INDEX(script.out!F:F,results.txt!$M1041)</f>
        <v>#N/A</v>
      </c>
      <c r="S1041" t="e">
        <f>INDEX(script.out!G:G,results.txt!$M1041)</f>
        <v>#N/A</v>
      </c>
      <c r="T1041" t="e">
        <f>INDEX(script.out!H:H,results.txt!$M1041)</f>
        <v>#N/A</v>
      </c>
      <c r="U1041" t="e">
        <f>INDEX(script.out!I:I,results.txt!$M1041)</f>
        <v>#N/A</v>
      </c>
      <c r="V1041" t="e">
        <f>INDEX(script.out!J:J,results.txt!$M1041)</f>
        <v>#N/A</v>
      </c>
      <c r="W1041" t="e">
        <f>INDEX(script.out!K:K,results.txt!$M1041)</f>
        <v>#N/A</v>
      </c>
      <c r="X1041" t="e">
        <f>INDEX(script.out!L:L,results.txt!$M1041)</f>
        <v>#N/A</v>
      </c>
      <c r="Y1041" t="e">
        <f>INDEX(script.out!M:M,results.txt!$M1041)</f>
        <v>#N/A</v>
      </c>
      <c r="Z1041" t="e">
        <f>INDEX(script.out!N:N,results.txt!$M1041)</f>
        <v>#N/A</v>
      </c>
      <c r="AA1041" t="e">
        <f>INDEX(script.out!O:O,results.txt!$M1041)</f>
        <v>#N/A</v>
      </c>
      <c r="AB1041" t="e">
        <f>INDEX(script.out!P:P,results.txt!$M1041)</f>
        <v>#N/A</v>
      </c>
      <c r="AC1041" t="e">
        <f>INDEX(script.out!Q:Q,results.txt!$M1041)</f>
        <v>#N/A</v>
      </c>
      <c r="AD1041">
        <f t="shared" si="16"/>
        <v>0</v>
      </c>
    </row>
    <row r="1042" spans="13:30" x14ac:dyDescent="0.25">
      <c r="M1042" t="e">
        <f>MATCH(C1042,script.out!B:B,0)</f>
        <v>#N/A</v>
      </c>
      <c r="N1042" t="e">
        <f>INDEX(script.out!B:B,results.txt!$M1042)</f>
        <v>#N/A</v>
      </c>
      <c r="O1042" t="e">
        <f>INDEX(script.out!C:C,results.txt!$M1042)</f>
        <v>#N/A</v>
      </c>
      <c r="P1042" t="e">
        <f>INDEX(script.out!D:D,results.txt!$M1042)</f>
        <v>#N/A</v>
      </c>
      <c r="Q1042" t="e">
        <f>INDEX(script.out!E:E,results.txt!$M1042)</f>
        <v>#N/A</v>
      </c>
      <c r="R1042" t="e">
        <f>INDEX(script.out!F:F,results.txt!$M1042)</f>
        <v>#N/A</v>
      </c>
      <c r="S1042" t="e">
        <f>INDEX(script.out!G:G,results.txt!$M1042)</f>
        <v>#N/A</v>
      </c>
      <c r="T1042" t="e">
        <f>INDEX(script.out!H:H,results.txt!$M1042)</f>
        <v>#N/A</v>
      </c>
      <c r="U1042" t="e">
        <f>INDEX(script.out!I:I,results.txt!$M1042)</f>
        <v>#N/A</v>
      </c>
      <c r="V1042" t="e">
        <f>INDEX(script.out!J:J,results.txt!$M1042)</f>
        <v>#N/A</v>
      </c>
      <c r="W1042" t="e">
        <f>INDEX(script.out!K:K,results.txt!$M1042)</f>
        <v>#N/A</v>
      </c>
      <c r="X1042" t="e">
        <f>INDEX(script.out!L:L,results.txt!$M1042)</f>
        <v>#N/A</v>
      </c>
      <c r="Y1042" t="e">
        <f>INDEX(script.out!M:M,results.txt!$M1042)</f>
        <v>#N/A</v>
      </c>
      <c r="Z1042" t="e">
        <f>INDEX(script.out!N:N,results.txt!$M1042)</f>
        <v>#N/A</v>
      </c>
      <c r="AA1042" t="e">
        <f>INDEX(script.out!O:O,results.txt!$M1042)</f>
        <v>#N/A</v>
      </c>
      <c r="AB1042" t="e">
        <f>INDEX(script.out!P:P,results.txt!$M1042)</f>
        <v>#N/A</v>
      </c>
      <c r="AC1042" t="e">
        <f>INDEX(script.out!Q:Q,results.txt!$M1042)</f>
        <v>#N/A</v>
      </c>
      <c r="AD1042">
        <f t="shared" si="16"/>
        <v>0</v>
      </c>
    </row>
    <row r="1043" spans="13:30" x14ac:dyDescent="0.25">
      <c r="M1043" t="e">
        <f>MATCH(C1043,script.out!B:B,0)</f>
        <v>#N/A</v>
      </c>
      <c r="N1043" t="e">
        <f>INDEX(script.out!B:B,results.txt!$M1043)</f>
        <v>#N/A</v>
      </c>
      <c r="O1043" t="e">
        <f>INDEX(script.out!C:C,results.txt!$M1043)</f>
        <v>#N/A</v>
      </c>
      <c r="P1043" t="e">
        <f>INDEX(script.out!D:D,results.txt!$M1043)</f>
        <v>#N/A</v>
      </c>
      <c r="Q1043" t="e">
        <f>INDEX(script.out!E:E,results.txt!$M1043)</f>
        <v>#N/A</v>
      </c>
      <c r="R1043" t="e">
        <f>INDEX(script.out!F:F,results.txt!$M1043)</f>
        <v>#N/A</v>
      </c>
      <c r="S1043" t="e">
        <f>INDEX(script.out!G:G,results.txt!$M1043)</f>
        <v>#N/A</v>
      </c>
      <c r="T1043" t="e">
        <f>INDEX(script.out!H:H,results.txt!$M1043)</f>
        <v>#N/A</v>
      </c>
      <c r="U1043" t="e">
        <f>INDEX(script.out!I:I,results.txt!$M1043)</f>
        <v>#N/A</v>
      </c>
      <c r="V1043" t="e">
        <f>INDEX(script.out!J:J,results.txt!$M1043)</f>
        <v>#N/A</v>
      </c>
      <c r="W1043" t="e">
        <f>INDEX(script.out!K:K,results.txt!$M1043)</f>
        <v>#N/A</v>
      </c>
      <c r="X1043" t="e">
        <f>INDEX(script.out!L:L,results.txt!$M1043)</f>
        <v>#N/A</v>
      </c>
      <c r="Y1043" t="e">
        <f>INDEX(script.out!M:M,results.txt!$M1043)</f>
        <v>#N/A</v>
      </c>
      <c r="Z1043" t="e">
        <f>INDEX(script.out!N:N,results.txt!$M1043)</f>
        <v>#N/A</v>
      </c>
      <c r="AA1043" t="e">
        <f>INDEX(script.out!O:O,results.txt!$M1043)</f>
        <v>#N/A</v>
      </c>
      <c r="AB1043" t="e">
        <f>INDEX(script.out!P:P,results.txt!$M1043)</f>
        <v>#N/A</v>
      </c>
      <c r="AC1043" t="e">
        <f>INDEX(script.out!Q:Q,results.txt!$M1043)</f>
        <v>#N/A</v>
      </c>
      <c r="AD1043">
        <f t="shared" si="16"/>
        <v>0</v>
      </c>
    </row>
    <row r="1044" spans="13:30" x14ac:dyDescent="0.25">
      <c r="M1044" t="e">
        <f>MATCH(C1044,script.out!B:B,0)</f>
        <v>#N/A</v>
      </c>
      <c r="N1044" t="e">
        <f>INDEX(script.out!B:B,results.txt!$M1044)</f>
        <v>#N/A</v>
      </c>
      <c r="O1044" t="e">
        <f>INDEX(script.out!C:C,results.txt!$M1044)</f>
        <v>#N/A</v>
      </c>
      <c r="P1044" t="e">
        <f>INDEX(script.out!D:D,results.txt!$M1044)</f>
        <v>#N/A</v>
      </c>
      <c r="Q1044" t="e">
        <f>INDEX(script.out!E:E,results.txt!$M1044)</f>
        <v>#N/A</v>
      </c>
      <c r="R1044" t="e">
        <f>INDEX(script.out!F:F,results.txt!$M1044)</f>
        <v>#N/A</v>
      </c>
      <c r="S1044" t="e">
        <f>INDEX(script.out!G:G,results.txt!$M1044)</f>
        <v>#N/A</v>
      </c>
      <c r="T1044" t="e">
        <f>INDEX(script.out!H:H,results.txt!$M1044)</f>
        <v>#N/A</v>
      </c>
      <c r="U1044" t="e">
        <f>INDEX(script.out!I:I,results.txt!$M1044)</f>
        <v>#N/A</v>
      </c>
      <c r="V1044" t="e">
        <f>INDEX(script.out!J:J,results.txt!$M1044)</f>
        <v>#N/A</v>
      </c>
      <c r="W1044" t="e">
        <f>INDEX(script.out!K:K,results.txt!$M1044)</f>
        <v>#N/A</v>
      </c>
      <c r="X1044" t="e">
        <f>INDEX(script.out!L:L,results.txt!$M1044)</f>
        <v>#N/A</v>
      </c>
      <c r="Y1044" t="e">
        <f>INDEX(script.out!M:M,results.txt!$M1044)</f>
        <v>#N/A</v>
      </c>
      <c r="Z1044" t="e">
        <f>INDEX(script.out!N:N,results.txt!$M1044)</f>
        <v>#N/A</v>
      </c>
      <c r="AA1044" t="e">
        <f>INDEX(script.out!O:O,results.txt!$M1044)</f>
        <v>#N/A</v>
      </c>
      <c r="AB1044" t="e">
        <f>INDEX(script.out!P:P,results.txt!$M1044)</f>
        <v>#N/A</v>
      </c>
      <c r="AC1044" t="e">
        <f>INDEX(script.out!Q:Q,results.txt!$M1044)</f>
        <v>#N/A</v>
      </c>
      <c r="AD1044">
        <f t="shared" si="16"/>
        <v>0</v>
      </c>
    </row>
    <row r="1045" spans="13:30" x14ac:dyDescent="0.25">
      <c r="M1045" t="e">
        <f>MATCH(C1045,script.out!B:B,0)</f>
        <v>#N/A</v>
      </c>
      <c r="N1045" t="e">
        <f>INDEX(script.out!B:B,results.txt!$M1045)</f>
        <v>#N/A</v>
      </c>
      <c r="O1045" t="e">
        <f>INDEX(script.out!C:C,results.txt!$M1045)</f>
        <v>#N/A</v>
      </c>
      <c r="P1045" t="e">
        <f>INDEX(script.out!D:D,results.txt!$M1045)</f>
        <v>#N/A</v>
      </c>
      <c r="Q1045" t="e">
        <f>INDEX(script.out!E:E,results.txt!$M1045)</f>
        <v>#N/A</v>
      </c>
      <c r="R1045" t="e">
        <f>INDEX(script.out!F:F,results.txt!$M1045)</f>
        <v>#N/A</v>
      </c>
      <c r="S1045" t="e">
        <f>INDEX(script.out!G:G,results.txt!$M1045)</f>
        <v>#N/A</v>
      </c>
      <c r="T1045" t="e">
        <f>INDEX(script.out!H:H,results.txt!$M1045)</f>
        <v>#N/A</v>
      </c>
      <c r="U1045" t="e">
        <f>INDEX(script.out!I:I,results.txt!$M1045)</f>
        <v>#N/A</v>
      </c>
      <c r="V1045" t="e">
        <f>INDEX(script.out!J:J,results.txt!$M1045)</f>
        <v>#N/A</v>
      </c>
      <c r="W1045" t="e">
        <f>INDEX(script.out!K:K,results.txt!$M1045)</f>
        <v>#N/A</v>
      </c>
      <c r="X1045" t="e">
        <f>INDEX(script.out!L:L,results.txt!$M1045)</f>
        <v>#N/A</v>
      </c>
      <c r="Y1045" t="e">
        <f>INDEX(script.out!M:M,results.txt!$M1045)</f>
        <v>#N/A</v>
      </c>
      <c r="Z1045" t="e">
        <f>INDEX(script.out!N:N,results.txt!$M1045)</f>
        <v>#N/A</v>
      </c>
      <c r="AA1045" t="e">
        <f>INDEX(script.out!O:O,results.txt!$M1045)</f>
        <v>#N/A</v>
      </c>
      <c r="AB1045" t="e">
        <f>INDEX(script.out!P:P,results.txt!$M1045)</f>
        <v>#N/A</v>
      </c>
      <c r="AC1045" t="e">
        <f>INDEX(script.out!Q:Q,results.txt!$M1045)</f>
        <v>#N/A</v>
      </c>
      <c r="AD1045">
        <f t="shared" si="16"/>
        <v>0</v>
      </c>
    </row>
    <row r="1046" spans="13:30" x14ac:dyDescent="0.25">
      <c r="M1046" t="e">
        <f>MATCH(C1046,script.out!B:B,0)</f>
        <v>#N/A</v>
      </c>
      <c r="N1046" t="e">
        <f>INDEX(script.out!B:B,results.txt!$M1046)</f>
        <v>#N/A</v>
      </c>
      <c r="O1046" t="e">
        <f>INDEX(script.out!C:C,results.txt!$M1046)</f>
        <v>#N/A</v>
      </c>
      <c r="P1046" t="e">
        <f>INDEX(script.out!D:D,results.txt!$M1046)</f>
        <v>#N/A</v>
      </c>
      <c r="Q1046" t="e">
        <f>INDEX(script.out!E:E,results.txt!$M1046)</f>
        <v>#N/A</v>
      </c>
      <c r="R1046" t="e">
        <f>INDEX(script.out!F:F,results.txt!$M1046)</f>
        <v>#N/A</v>
      </c>
      <c r="S1046" t="e">
        <f>INDEX(script.out!G:G,results.txt!$M1046)</f>
        <v>#N/A</v>
      </c>
      <c r="T1046" t="e">
        <f>INDEX(script.out!H:H,results.txt!$M1046)</f>
        <v>#N/A</v>
      </c>
      <c r="U1046" t="e">
        <f>INDEX(script.out!I:I,results.txt!$M1046)</f>
        <v>#N/A</v>
      </c>
      <c r="V1046" t="e">
        <f>INDEX(script.out!J:J,results.txt!$M1046)</f>
        <v>#N/A</v>
      </c>
      <c r="W1046" t="e">
        <f>INDEX(script.out!K:K,results.txt!$M1046)</f>
        <v>#N/A</v>
      </c>
      <c r="X1046" t="e">
        <f>INDEX(script.out!L:L,results.txt!$M1046)</f>
        <v>#N/A</v>
      </c>
      <c r="Y1046" t="e">
        <f>INDEX(script.out!M:M,results.txt!$M1046)</f>
        <v>#N/A</v>
      </c>
      <c r="Z1046" t="e">
        <f>INDEX(script.out!N:N,results.txt!$M1046)</f>
        <v>#N/A</v>
      </c>
      <c r="AA1046" t="e">
        <f>INDEX(script.out!O:O,results.txt!$M1046)</f>
        <v>#N/A</v>
      </c>
      <c r="AB1046" t="e">
        <f>INDEX(script.out!P:P,results.txt!$M1046)</f>
        <v>#N/A</v>
      </c>
      <c r="AC1046" t="e">
        <f>INDEX(script.out!Q:Q,results.txt!$M1046)</f>
        <v>#N/A</v>
      </c>
      <c r="AD1046">
        <f t="shared" si="16"/>
        <v>0</v>
      </c>
    </row>
    <row r="1047" spans="13:30" x14ac:dyDescent="0.25">
      <c r="M1047" t="e">
        <f>MATCH(C1047,script.out!B:B,0)</f>
        <v>#N/A</v>
      </c>
      <c r="N1047" t="e">
        <f>INDEX(script.out!B:B,results.txt!$M1047)</f>
        <v>#N/A</v>
      </c>
      <c r="O1047" t="e">
        <f>INDEX(script.out!C:C,results.txt!$M1047)</f>
        <v>#N/A</v>
      </c>
      <c r="P1047" t="e">
        <f>INDEX(script.out!D:D,results.txt!$M1047)</f>
        <v>#N/A</v>
      </c>
      <c r="Q1047" t="e">
        <f>INDEX(script.out!E:E,results.txt!$M1047)</f>
        <v>#N/A</v>
      </c>
      <c r="R1047" t="e">
        <f>INDEX(script.out!F:F,results.txt!$M1047)</f>
        <v>#N/A</v>
      </c>
      <c r="S1047" t="e">
        <f>INDEX(script.out!G:G,results.txt!$M1047)</f>
        <v>#N/A</v>
      </c>
      <c r="T1047" t="e">
        <f>INDEX(script.out!H:H,results.txt!$M1047)</f>
        <v>#N/A</v>
      </c>
      <c r="U1047" t="e">
        <f>INDEX(script.out!I:I,results.txt!$M1047)</f>
        <v>#N/A</v>
      </c>
      <c r="V1047" t="e">
        <f>INDEX(script.out!J:J,results.txt!$M1047)</f>
        <v>#N/A</v>
      </c>
      <c r="W1047" t="e">
        <f>INDEX(script.out!K:K,results.txt!$M1047)</f>
        <v>#N/A</v>
      </c>
      <c r="X1047" t="e">
        <f>INDEX(script.out!L:L,results.txt!$M1047)</f>
        <v>#N/A</v>
      </c>
      <c r="Y1047" t="e">
        <f>INDEX(script.out!M:M,results.txt!$M1047)</f>
        <v>#N/A</v>
      </c>
      <c r="Z1047" t="e">
        <f>INDEX(script.out!N:N,results.txt!$M1047)</f>
        <v>#N/A</v>
      </c>
      <c r="AA1047" t="e">
        <f>INDEX(script.out!O:O,results.txt!$M1047)</f>
        <v>#N/A</v>
      </c>
      <c r="AB1047" t="e">
        <f>INDEX(script.out!P:P,results.txt!$M1047)</f>
        <v>#N/A</v>
      </c>
      <c r="AC1047" t="e">
        <f>INDEX(script.out!Q:Q,results.txt!$M1047)</f>
        <v>#N/A</v>
      </c>
      <c r="AD1047">
        <f t="shared" si="16"/>
        <v>0</v>
      </c>
    </row>
    <row r="1048" spans="13:30" x14ac:dyDescent="0.25">
      <c r="M1048" t="e">
        <f>MATCH(C1048,script.out!B:B,0)</f>
        <v>#N/A</v>
      </c>
      <c r="N1048" t="e">
        <f>INDEX(script.out!B:B,results.txt!$M1048)</f>
        <v>#N/A</v>
      </c>
      <c r="O1048" t="e">
        <f>INDEX(script.out!C:C,results.txt!$M1048)</f>
        <v>#N/A</v>
      </c>
      <c r="P1048" t="e">
        <f>INDEX(script.out!D:D,results.txt!$M1048)</f>
        <v>#N/A</v>
      </c>
      <c r="Q1048" t="e">
        <f>INDEX(script.out!E:E,results.txt!$M1048)</f>
        <v>#N/A</v>
      </c>
      <c r="R1048" t="e">
        <f>INDEX(script.out!F:F,results.txt!$M1048)</f>
        <v>#N/A</v>
      </c>
      <c r="S1048" t="e">
        <f>INDEX(script.out!G:G,results.txt!$M1048)</f>
        <v>#N/A</v>
      </c>
      <c r="T1048" t="e">
        <f>INDEX(script.out!H:H,results.txt!$M1048)</f>
        <v>#N/A</v>
      </c>
      <c r="U1048" t="e">
        <f>INDEX(script.out!I:I,results.txt!$M1048)</f>
        <v>#N/A</v>
      </c>
      <c r="V1048" t="e">
        <f>INDEX(script.out!J:J,results.txt!$M1048)</f>
        <v>#N/A</v>
      </c>
      <c r="W1048" t="e">
        <f>INDEX(script.out!K:K,results.txt!$M1048)</f>
        <v>#N/A</v>
      </c>
      <c r="X1048" t="e">
        <f>INDEX(script.out!L:L,results.txt!$M1048)</f>
        <v>#N/A</v>
      </c>
      <c r="Y1048" t="e">
        <f>INDEX(script.out!M:M,results.txt!$M1048)</f>
        <v>#N/A</v>
      </c>
      <c r="Z1048" t="e">
        <f>INDEX(script.out!N:N,results.txt!$M1048)</f>
        <v>#N/A</v>
      </c>
      <c r="AA1048" t="e">
        <f>INDEX(script.out!O:O,results.txt!$M1048)</f>
        <v>#N/A</v>
      </c>
      <c r="AB1048" t="e">
        <f>INDEX(script.out!P:P,results.txt!$M1048)</f>
        <v>#N/A</v>
      </c>
      <c r="AC1048" t="e">
        <f>INDEX(script.out!Q:Q,results.txt!$M1048)</f>
        <v>#N/A</v>
      </c>
      <c r="AD1048">
        <f t="shared" si="16"/>
        <v>0</v>
      </c>
    </row>
    <row r="1049" spans="13:30" x14ac:dyDescent="0.25">
      <c r="M1049" t="e">
        <f>MATCH(C1049,script.out!B:B,0)</f>
        <v>#N/A</v>
      </c>
      <c r="N1049" t="e">
        <f>INDEX(script.out!B:B,results.txt!$M1049)</f>
        <v>#N/A</v>
      </c>
      <c r="O1049" t="e">
        <f>INDEX(script.out!C:C,results.txt!$M1049)</f>
        <v>#N/A</v>
      </c>
      <c r="P1049" t="e">
        <f>INDEX(script.out!D:D,results.txt!$M1049)</f>
        <v>#N/A</v>
      </c>
      <c r="Q1049" t="e">
        <f>INDEX(script.out!E:E,results.txt!$M1049)</f>
        <v>#N/A</v>
      </c>
      <c r="R1049" t="e">
        <f>INDEX(script.out!F:F,results.txt!$M1049)</f>
        <v>#N/A</v>
      </c>
      <c r="S1049" t="e">
        <f>INDEX(script.out!G:G,results.txt!$M1049)</f>
        <v>#N/A</v>
      </c>
      <c r="T1049" t="e">
        <f>INDEX(script.out!H:H,results.txt!$M1049)</f>
        <v>#N/A</v>
      </c>
      <c r="U1049" t="e">
        <f>INDEX(script.out!I:I,results.txt!$M1049)</f>
        <v>#N/A</v>
      </c>
      <c r="V1049" t="e">
        <f>INDEX(script.out!J:J,results.txt!$M1049)</f>
        <v>#N/A</v>
      </c>
      <c r="W1049" t="e">
        <f>INDEX(script.out!K:K,results.txt!$M1049)</f>
        <v>#N/A</v>
      </c>
      <c r="X1049" t="e">
        <f>INDEX(script.out!L:L,results.txt!$M1049)</f>
        <v>#N/A</v>
      </c>
      <c r="Y1049" t="e">
        <f>INDEX(script.out!M:M,results.txt!$M1049)</f>
        <v>#N/A</v>
      </c>
      <c r="Z1049" t="e">
        <f>INDEX(script.out!N:N,results.txt!$M1049)</f>
        <v>#N/A</v>
      </c>
      <c r="AA1049" t="e">
        <f>INDEX(script.out!O:O,results.txt!$M1049)</f>
        <v>#N/A</v>
      </c>
      <c r="AB1049" t="e">
        <f>INDEX(script.out!P:P,results.txt!$M1049)</f>
        <v>#N/A</v>
      </c>
      <c r="AC1049" t="e">
        <f>INDEX(script.out!Q:Q,results.txt!$M1049)</f>
        <v>#N/A</v>
      </c>
      <c r="AD1049">
        <f t="shared" si="16"/>
        <v>0</v>
      </c>
    </row>
    <row r="1050" spans="13:30" x14ac:dyDescent="0.25">
      <c r="M1050" t="e">
        <f>MATCH(C1050,script.out!B:B,0)</f>
        <v>#N/A</v>
      </c>
      <c r="N1050" t="e">
        <f>INDEX(script.out!B:B,results.txt!$M1050)</f>
        <v>#N/A</v>
      </c>
      <c r="O1050" t="e">
        <f>INDEX(script.out!C:C,results.txt!$M1050)</f>
        <v>#N/A</v>
      </c>
      <c r="P1050" t="e">
        <f>INDEX(script.out!D:D,results.txt!$M1050)</f>
        <v>#N/A</v>
      </c>
      <c r="Q1050" t="e">
        <f>INDEX(script.out!E:E,results.txt!$M1050)</f>
        <v>#N/A</v>
      </c>
      <c r="R1050" t="e">
        <f>INDEX(script.out!F:F,results.txt!$M1050)</f>
        <v>#N/A</v>
      </c>
      <c r="S1050" t="e">
        <f>INDEX(script.out!G:G,results.txt!$M1050)</f>
        <v>#N/A</v>
      </c>
      <c r="T1050" t="e">
        <f>INDEX(script.out!H:H,results.txt!$M1050)</f>
        <v>#N/A</v>
      </c>
      <c r="U1050" t="e">
        <f>INDEX(script.out!I:I,results.txt!$M1050)</f>
        <v>#N/A</v>
      </c>
      <c r="V1050" t="e">
        <f>INDEX(script.out!J:J,results.txt!$M1050)</f>
        <v>#N/A</v>
      </c>
      <c r="W1050" t="e">
        <f>INDEX(script.out!K:K,results.txt!$M1050)</f>
        <v>#N/A</v>
      </c>
      <c r="X1050" t="e">
        <f>INDEX(script.out!L:L,results.txt!$M1050)</f>
        <v>#N/A</v>
      </c>
      <c r="Y1050" t="e">
        <f>INDEX(script.out!M:M,results.txt!$M1050)</f>
        <v>#N/A</v>
      </c>
      <c r="Z1050" t="e">
        <f>INDEX(script.out!N:N,results.txt!$M1050)</f>
        <v>#N/A</v>
      </c>
      <c r="AA1050" t="e">
        <f>INDEX(script.out!O:O,results.txt!$M1050)</f>
        <v>#N/A</v>
      </c>
      <c r="AB1050" t="e">
        <f>INDEX(script.out!P:P,results.txt!$M1050)</f>
        <v>#N/A</v>
      </c>
      <c r="AC1050" t="e">
        <f>INDEX(script.out!Q:Q,results.txt!$M1050)</f>
        <v>#N/A</v>
      </c>
      <c r="AD1050">
        <f t="shared" si="16"/>
        <v>0</v>
      </c>
    </row>
    <row r="1051" spans="13:30" x14ac:dyDescent="0.25">
      <c r="M1051" t="e">
        <f>MATCH(C1051,script.out!B:B,0)</f>
        <v>#N/A</v>
      </c>
      <c r="N1051" t="e">
        <f>INDEX(script.out!B:B,results.txt!$M1051)</f>
        <v>#N/A</v>
      </c>
      <c r="O1051" t="e">
        <f>INDEX(script.out!C:C,results.txt!$M1051)</f>
        <v>#N/A</v>
      </c>
      <c r="P1051" t="e">
        <f>INDEX(script.out!D:D,results.txt!$M1051)</f>
        <v>#N/A</v>
      </c>
      <c r="Q1051" t="e">
        <f>INDEX(script.out!E:E,results.txt!$M1051)</f>
        <v>#N/A</v>
      </c>
      <c r="R1051" t="e">
        <f>INDEX(script.out!F:F,results.txt!$M1051)</f>
        <v>#N/A</v>
      </c>
      <c r="S1051" t="e">
        <f>INDEX(script.out!G:G,results.txt!$M1051)</f>
        <v>#N/A</v>
      </c>
      <c r="T1051" t="e">
        <f>INDEX(script.out!H:H,results.txt!$M1051)</f>
        <v>#N/A</v>
      </c>
      <c r="U1051" t="e">
        <f>INDEX(script.out!I:I,results.txt!$M1051)</f>
        <v>#N/A</v>
      </c>
      <c r="V1051" t="e">
        <f>INDEX(script.out!J:J,results.txt!$M1051)</f>
        <v>#N/A</v>
      </c>
      <c r="W1051" t="e">
        <f>INDEX(script.out!K:K,results.txt!$M1051)</f>
        <v>#N/A</v>
      </c>
      <c r="X1051" t="e">
        <f>INDEX(script.out!L:L,results.txt!$M1051)</f>
        <v>#N/A</v>
      </c>
      <c r="Y1051" t="e">
        <f>INDEX(script.out!M:M,results.txt!$M1051)</f>
        <v>#N/A</v>
      </c>
      <c r="Z1051" t="e">
        <f>INDEX(script.out!N:N,results.txt!$M1051)</f>
        <v>#N/A</v>
      </c>
      <c r="AA1051" t="e">
        <f>INDEX(script.out!O:O,results.txt!$M1051)</f>
        <v>#N/A</v>
      </c>
      <c r="AB1051" t="e">
        <f>INDEX(script.out!P:P,results.txt!$M1051)</f>
        <v>#N/A</v>
      </c>
      <c r="AC1051" t="e">
        <f>INDEX(script.out!Q:Q,results.txt!$M1051)</f>
        <v>#N/A</v>
      </c>
      <c r="AD1051">
        <f t="shared" si="16"/>
        <v>0</v>
      </c>
    </row>
    <row r="1052" spans="13:30" x14ac:dyDescent="0.25">
      <c r="M1052" t="e">
        <f>MATCH(C1052,script.out!B:B,0)</f>
        <v>#N/A</v>
      </c>
      <c r="N1052" t="e">
        <f>INDEX(script.out!B:B,results.txt!$M1052)</f>
        <v>#N/A</v>
      </c>
      <c r="O1052" t="e">
        <f>INDEX(script.out!C:C,results.txt!$M1052)</f>
        <v>#N/A</v>
      </c>
      <c r="P1052" t="e">
        <f>INDEX(script.out!D:D,results.txt!$M1052)</f>
        <v>#N/A</v>
      </c>
      <c r="Q1052" t="e">
        <f>INDEX(script.out!E:E,results.txt!$M1052)</f>
        <v>#N/A</v>
      </c>
      <c r="R1052" t="e">
        <f>INDEX(script.out!F:F,results.txt!$M1052)</f>
        <v>#N/A</v>
      </c>
      <c r="S1052" t="e">
        <f>INDEX(script.out!G:G,results.txt!$M1052)</f>
        <v>#N/A</v>
      </c>
      <c r="T1052" t="e">
        <f>INDEX(script.out!H:H,results.txt!$M1052)</f>
        <v>#N/A</v>
      </c>
      <c r="U1052" t="e">
        <f>INDEX(script.out!I:I,results.txt!$M1052)</f>
        <v>#N/A</v>
      </c>
      <c r="V1052" t="e">
        <f>INDEX(script.out!J:J,results.txt!$M1052)</f>
        <v>#N/A</v>
      </c>
      <c r="W1052" t="e">
        <f>INDEX(script.out!K:K,results.txt!$M1052)</f>
        <v>#N/A</v>
      </c>
      <c r="X1052" t="e">
        <f>INDEX(script.out!L:L,results.txt!$M1052)</f>
        <v>#N/A</v>
      </c>
      <c r="Y1052" t="e">
        <f>INDEX(script.out!M:M,results.txt!$M1052)</f>
        <v>#N/A</v>
      </c>
      <c r="Z1052" t="e">
        <f>INDEX(script.out!N:N,results.txt!$M1052)</f>
        <v>#N/A</v>
      </c>
      <c r="AA1052" t="e">
        <f>INDEX(script.out!O:O,results.txt!$M1052)</f>
        <v>#N/A</v>
      </c>
      <c r="AB1052" t="e">
        <f>INDEX(script.out!P:P,results.txt!$M1052)</f>
        <v>#N/A</v>
      </c>
      <c r="AC1052" t="e">
        <f>INDEX(script.out!Q:Q,results.txt!$M1052)</f>
        <v>#N/A</v>
      </c>
      <c r="AD1052">
        <f t="shared" si="16"/>
        <v>0</v>
      </c>
    </row>
    <row r="1053" spans="13:30" x14ac:dyDescent="0.25">
      <c r="M1053" t="e">
        <f>MATCH(C1053,script.out!B:B,0)</f>
        <v>#N/A</v>
      </c>
      <c r="N1053" t="e">
        <f>INDEX(script.out!B:B,results.txt!$M1053)</f>
        <v>#N/A</v>
      </c>
      <c r="O1053" t="e">
        <f>INDEX(script.out!C:C,results.txt!$M1053)</f>
        <v>#N/A</v>
      </c>
      <c r="P1053" t="e">
        <f>INDEX(script.out!D:D,results.txt!$M1053)</f>
        <v>#N/A</v>
      </c>
      <c r="Q1053" t="e">
        <f>INDEX(script.out!E:E,results.txt!$M1053)</f>
        <v>#N/A</v>
      </c>
      <c r="R1053" t="e">
        <f>INDEX(script.out!F:F,results.txt!$M1053)</f>
        <v>#N/A</v>
      </c>
      <c r="S1053" t="e">
        <f>INDEX(script.out!G:G,results.txt!$M1053)</f>
        <v>#N/A</v>
      </c>
      <c r="T1053" t="e">
        <f>INDEX(script.out!H:H,results.txt!$M1053)</f>
        <v>#N/A</v>
      </c>
      <c r="U1053" t="e">
        <f>INDEX(script.out!I:I,results.txt!$M1053)</f>
        <v>#N/A</v>
      </c>
      <c r="V1053" t="e">
        <f>INDEX(script.out!J:J,results.txt!$M1053)</f>
        <v>#N/A</v>
      </c>
      <c r="W1053" t="e">
        <f>INDEX(script.out!K:K,results.txt!$M1053)</f>
        <v>#N/A</v>
      </c>
      <c r="X1053" t="e">
        <f>INDEX(script.out!L:L,results.txt!$M1053)</f>
        <v>#N/A</v>
      </c>
      <c r="Y1053" t="e">
        <f>INDEX(script.out!M:M,results.txt!$M1053)</f>
        <v>#N/A</v>
      </c>
      <c r="Z1053" t="e">
        <f>INDEX(script.out!N:N,results.txt!$M1053)</f>
        <v>#N/A</v>
      </c>
      <c r="AA1053" t="e">
        <f>INDEX(script.out!O:O,results.txt!$M1053)</f>
        <v>#N/A</v>
      </c>
      <c r="AB1053" t="e">
        <f>INDEX(script.out!P:P,results.txt!$M1053)</f>
        <v>#N/A</v>
      </c>
      <c r="AC1053" t="e">
        <f>INDEX(script.out!Q:Q,results.txt!$M1053)</f>
        <v>#N/A</v>
      </c>
      <c r="AD1053">
        <f t="shared" si="16"/>
        <v>0</v>
      </c>
    </row>
    <row r="1054" spans="13:30" x14ac:dyDescent="0.25">
      <c r="M1054" t="e">
        <f>MATCH(C1054,script.out!B:B,0)</f>
        <v>#N/A</v>
      </c>
      <c r="N1054" t="e">
        <f>INDEX(script.out!B:B,results.txt!$M1054)</f>
        <v>#N/A</v>
      </c>
      <c r="O1054" t="e">
        <f>INDEX(script.out!C:C,results.txt!$M1054)</f>
        <v>#N/A</v>
      </c>
      <c r="P1054" t="e">
        <f>INDEX(script.out!D:D,results.txt!$M1054)</f>
        <v>#N/A</v>
      </c>
      <c r="Q1054" t="e">
        <f>INDEX(script.out!E:E,results.txt!$M1054)</f>
        <v>#N/A</v>
      </c>
      <c r="R1054" t="e">
        <f>INDEX(script.out!F:F,results.txt!$M1054)</f>
        <v>#N/A</v>
      </c>
      <c r="S1054" t="e">
        <f>INDEX(script.out!G:G,results.txt!$M1054)</f>
        <v>#N/A</v>
      </c>
      <c r="T1054" t="e">
        <f>INDEX(script.out!H:H,results.txt!$M1054)</f>
        <v>#N/A</v>
      </c>
      <c r="U1054" t="e">
        <f>INDEX(script.out!I:I,results.txt!$M1054)</f>
        <v>#N/A</v>
      </c>
      <c r="V1054" t="e">
        <f>INDEX(script.out!J:J,results.txt!$M1054)</f>
        <v>#N/A</v>
      </c>
      <c r="W1054" t="e">
        <f>INDEX(script.out!K:K,results.txt!$M1054)</f>
        <v>#N/A</v>
      </c>
      <c r="X1054" t="e">
        <f>INDEX(script.out!L:L,results.txt!$M1054)</f>
        <v>#N/A</v>
      </c>
      <c r="Y1054" t="e">
        <f>INDEX(script.out!M:M,results.txt!$M1054)</f>
        <v>#N/A</v>
      </c>
      <c r="Z1054" t="e">
        <f>INDEX(script.out!N:N,results.txt!$M1054)</f>
        <v>#N/A</v>
      </c>
      <c r="AA1054" t="e">
        <f>INDEX(script.out!O:O,results.txt!$M1054)</f>
        <v>#N/A</v>
      </c>
      <c r="AB1054" t="e">
        <f>INDEX(script.out!P:P,results.txt!$M1054)</f>
        <v>#N/A</v>
      </c>
      <c r="AC1054" t="e">
        <f>INDEX(script.out!Q:Q,results.txt!$M1054)</f>
        <v>#N/A</v>
      </c>
      <c r="AD1054">
        <f t="shared" si="16"/>
        <v>0</v>
      </c>
    </row>
    <row r="1055" spans="13:30" x14ac:dyDescent="0.25">
      <c r="M1055" t="e">
        <f>MATCH(C1055,script.out!B:B,0)</f>
        <v>#N/A</v>
      </c>
      <c r="N1055" t="e">
        <f>INDEX(script.out!B:B,results.txt!$M1055)</f>
        <v>#N/A</v>
      </c>
      <c r="O1055" t="e">
        <f>INDEX(script.out!C:C,results.txt!$M1055)</f>
        <v>#N/A</v>
      </c>
      <c r="P1055" t="e">
        <f>INDEX(script.out!D:D,results.txt!$M1055)</f>
        <v>#N/A</v>
      </c>
      <c r="Q1055" t="e">
        <f>INDEX(script.out!E:E,results.txt!$M1055)</f>
        <v>#N/A</v>
      </c>
      <c r="R1055" t="e">
        <f>INDEX(script.out!F:F,results.txt!$M1055)</f>
        <v>#N/A</v>
      </c>
      <c r="S1055" t="e">
        <f>INDEX(script.out!G:G,results.txt!$M1055)</f>
        <v>#N/A</v>
      </c>
      <c r="T1055" t="e">
        <f>INDEX(script.out!H:H,results.txt!$M1055)</f>
        <v>#N/A</v>
      </c>
      <c r="U1055" t="e">
        <f>INDEX(script.out!I:I,results.txt!$M1055)</f>
        <v>#N/A</v>
      </c>
      <c r="V1055" t="e">
        <f>INDEX(script.out!J:J,results.txt!$M1055)</f>
        <v>#N/A</v>
      </c>
      <c r="W1055" t="e">
        <f>INDEX(script.out!K:K,results.txt!$M1055)</f>
        <v>#N/A</v>
      </c>
      <c r="X1055" t="e">
        <f>INDEX(script.out!L:L,results.txt!$M1055)</f>
        <v>#N/A</v>
      </c>
      <c r="Y1055" t="e">
        <f>INDEX(script.out!M:M,results.txt!$M1055)</f>
        <v>#N/A</v>
      </c>
      <c r="Z1055" t="e">
        <f>INDEX(script.out!N:N,results.txt!$M1055)</f>
        <v>#N/A</v>
      </c>
      <c r="AA1055" t="e">
        <f>INDEX(script.out!O:O,results.txt!$M1055)</f>
        <v>#N/A</v>
      </c>
      <c r="AB1055" t="e">
        <f>INDEX(script.out!P:P,results.txt!$M1055)</f>
        <v>#N/A</v>
      </c>
      <c r="AC1055" t="e">
        <f>INDEX(script.out!Q:Q,results.txt!$M1055)</f>
        <v>#N/A</v>
      </c>
      <c r="AD1055">
        <f t="shared" si="16"/>
        <v>0</v>
      </c>
    </row>
    <row r="1056" spans="13:30" x14ac:dyDescent="0.25">
      <c r="M1056" t="e">
        <f>MATCH(C1056,script.out!B:B,0)</f>
        <v>#N/A</v>
      </c>
      <c r="N1056" t="e">
        <f>INDEX(script.out!B:B,results.txt!$M1056)</f>
        <v>#N/A</v>
      </c>
      <c r="O1056" t="e">
        <f>INDEX(script.out!C:C,results.txt!$M1056)</f>
        <v>#N/A</v>
      </c>
      <c r="P1056" t="e">
        <f>INDEX(script.out!D:D,results.txt!$M1056)</f>
        <v>#N/A</v>
      </c>
      <c r="Q1056" t="e">
        <f>INDEX(script.out!E:E,results.txt!$M1056)</f>
        <v>#N/A</v>
      </c>
      <c r="R1056" t="e">
        <f>INDEX(script.out!F:F,results.txt!$M1056)</f>
        <v>#N/A</v>
      </c>
      <c r="S1056" t="e">
        <f>INDEX(script.out!G:G,results.txt!$M1056)</f>
        <v>#N/A</v>
      </c>
      <c r="T1056" t="e">
        <f>INDEX(script.out!H:H,results.txt!$M1056)</f>
        <v>#N/A</v>
      </c>
      <c r="U1056" t="e">
        <f>INDEX(script.out!I:I,results.txt!$M1056)</f>
        <v>#N/A</v>
      </c>
      <c r="V1056" t="e">
        <f>INDEX(script.out!J:J,results.txt!$M1056)</f>
        <v>#N/A</v>
      </c>
      <c r="W1056" t="e">
        <f>INDEX(script.out!K:K,results.txt!$M1056)</f>
        <v>#N/A</v>
      </c>
      <c r="X1056" t="e">
        <f>INDEX(script.out!L:L,results.txt!$M1056)</f>
        <v>#N/A</v>
      </c>
      <c r="Y1056" t="e">
        <f>INDEX(script.out!M:M,results.txt!$M1056)</f>
        <v>#N/A</v>
      </c>
      <c r="Z1056" t="e">
        <f>INDEX(script.out!N:N,results.txt!$M1056)</f>
        <v>#N/A</v>
      </c>
      <c r="AA1056" t="e">
        <f>INDEX(script.out!O:O,results.txt!$M1056)</f>
        <v>#N/A</v>
      </c>
      <c r="AB1056" t="e">
        <f>INDEX(script.out!P:P,results.txt!$M1056)</f>
        <v>#N/A</v>
      </c>
      <c r="AC1056" t="e">
        <f>INDEX(script.out!Q:Q,results.txt!$M1056)</f>
        <v>#N/A</v>
      </c>
      <c r="AD1056">
        <f t="shared" si="16"/>
        <v>0</v>
      </c>
    </row>
    <row r="1057" spans="13:30" x14ac:dyDescent="0.25">
      <c r="M1057" t="e">
        <f>MATCH(C1057,script.out!B:B,0)</f>
        <v>#N/A</v>
      </c>
      <c r="N1057" t="e">
        <f>INDEX(script.out!B:B,results.txt!$M1057)</f>
        <v>#N/A</v>
      </c>
      <c r="O1057" t="e">
        <f>INDEX(script.out!C:C,results.txt!$M1057)</f>
        <v>#N/A</v>
      </c>
      <c r="P1057" t="e">
        <f>INDEX(script.out!D:D,results.txt!$M1057)</f>
        <v>#N/A</v>
      </c>
      <c r="Q1057" t="e">
        <f>INDEX(script.out!E:E,results.txt!$M1057)</f>
        <v>#N/A</v>
      </c>
      <c r="R1057" t="e">
        <f>INDEX(script.out!F:F,results.txt!$M1057)</f>
        <v>#N/A</v>
      </c>
      <c r="S1057" t="e">
        <f>INDEX(script.out!G:G,results.txt!$M1057)</f>
        <v>#N/A</v>
      </c>
      <c r="T1057" t="e">
        <f>INDEX(script.out!H:H,results.txt!$M1057)</f>
        <v>#N/A</v>
      </c>
      <c r="U1057" t="e">
        <f>INDEX(script.out!I:I,results.txt!$M1057)</f>
        <v>#N/A</v>
      </c>
      <c r="V1057" t="e">
        <f>INDEX(script.out!J:J,results.txt!$M1057)</f>
        <v>#N/A</v>
      </c>
      <c r="W1057" t="e">
        <f>INDEX(script.out!K:K,results.txt!$M1057)</f>
        <v>#N/A</v>
      </c>
      <c r="X1057" t="e">
        <f>INDEX(script.out!L:L,results.txt!$M1057)</f>
        <v>#N/A</v>
      </c>
      <c r="Y1057" t="e">
        <f>INDEX(script.out!M:M,results.txt!$M1057)</f>
        <v>#N/A</v>
      </c>
      <c r="Z1057" t="e">
        <f>INDEX(script.out!N:N,results.txt!$M1057)</f>
        <v>#N/A</v>
      </c>
      <c r="AA1057" t="e">
        <f>INDEX(script.out!O:O,results.txt!$M1057)</f>
        <v>#N/A</v>
      </c>
      <c r="AB1057" t="e">
        <f>INDEX(script.out!P:P,results.txt!$M1057)</f>
        <v>#N/A</v>
      </c>
      <c r="AC1057" t="e">
        <f>INDEX(script.out!Q:Q,results.txt!$M1057)</f>
        <v>#N/A</v>
      </c>
      <c r="AD1057">
        <f t="shared" si="16"/>
        <v>0</v>
      </c>
    </row>
    <row r="1058" spans="13:30" x14ac:dyDescent="0.25">
      <c r="M1058" t="e">
        <f>MATCH(C1058,script.out!B:B,0)</f>
        <v>#N/A</v>
      </c>
      <c r="N1058" t="e">
        <f>INDEX(script.out!B:B,results.txt!$M1058)</f>
        <v>#N/A</v>
      </c>
      <c r="O1058" t="e">
        <f>INDEX(script.out!C:C,results.txt!$M1058)</f>
        <v>#N/A</v>
      </c>
      <c r="P1058" t="e">
        <f>INDEX(script.out!D:D,results.txt!$M1058)</f>
        <v>#N/A</v>
      </c>
      <c r="Q1058" t="e">
        <f>INDEX(script.out!E:E,results.txt!$M1058)</f>
        <v>#N/A</v>
      </c>
      <c r="R1058" t="e">
        <f>INDEX(script.out!F:F,results.txt!$M1058)</f>
        <v>#N/A</v>
      </c>
      <c r="S1058" t="e">
        <f>INDEX(script.out!G:G,results.txt!$M1058)</f>
        <v>#N/A</v>
      </c>
      <c r="T1058" t="e">
        <f>INDEX(script.out!H:H,results.txt!$M1058)</f>
        <v>#N/A</v>
      </c>
      <c r="U1058" t="e">
        <f>INDEX(script.out!I:I,results.txt!$M1058)</f>
        <v>#N/A</v>
      </c>
      <c r="V1058" t="e">
        <f>INDEX(script.out!J:J,results.txt!$M1058)</f>
        <v>#N/A</v>
      </c>
      <c r="W1058" t="e">
        <f>INDEX(script.out!K:K,results.txt!$M1058)</f>
        <v>#N/A</v>
      </c>
      <c r="X1058" t="e">
        <f>INDEX(script.out!L:L,results.txt!$M1058)</f>
        <v>#N/A</v>
      </c>
      <c r="Y1058" t="e">
        <f>INDEX(script.out!M:M,results.txt!$M1058)</f>
        <v>#N/A</v>
      </c>
      <c r="Z1058" t="e">
        <f>INDEX(script.out!N:N,results.txt!$M1058)</f>
        <v>#N/A</v>
      </c>
      <c r="AA1058" t="e">
        <f>INDEX(script.out!O:O,results.txt!$M1058)</f>
        <v>#N/A</v>
      </c>
      <c r="AB1058" t="e">
        <f>INDEX(script.out!P:P,results.txt!$M1058)</f>
        <v>#N/A</v>
      </c>
      <c r="AC1058" t="e">
        <f>INDEX(script.out!Q:Q,results.txt!$M1058)</f>
        <v>#N/A</v>
      </c>
      <c r="AD1058">
        <f t="shared" si="16"/>
        <v>0</v>
      </c>
    </row>
    <row r="1059" spans="13:30" x14ac:dyDescent="0.25">
      <c r="M1059" t="e">
        <f>MATCH(C1059,script.out!B:B,0)</f>
        <v>#N/A</v>
      </c>
      <c r="N1059" t="e">
        <f>INDEX(script.out!B:B,results.txt!$M1059)</f>
        <v>#N/A</v>
      </c>
      <c r="O1059" t="e">
        <f>INDEX(script.out!C:C,results.txt!$M1059)</f>
        <v>#N/A</v>
      </c>
      <c r="P1059" t="e">
        <f>INDEX(script.out!D:D,results.txt!$M1059)</f>
        <v>#N/A</v>
      </c>
      <c r="Q1059" t="e">
        <f>INDEX(script.out!E:E,results.txt!$M1059)</f>
        <v>#N/A</v>
      </c>
      <c r="R1059" t="e">
        <f>INDEX(script.out!F:F,results.txt!$M1059)</f>
        <v>#N/A</v>
      </c>
      <c r="S1059" t="e">
        <f>INDEX(script.out!G:G,results.txt!$M1059)</f>
        <v>#N/A</v>
      </c>
      <c r="T1059" t="e">
        <f>INDEX(script.out!H:H,results.txt!$M1059)</f>
        <v>#N/A</v>
      </c>
      <c r="U1059" t="e">
        <f>INDEX(script.out!I:I,results.txt!$M1059)</f>
        <v>#N/A</v>
      </c>
      <c r="V1059" t="e">
        <f>INDEX(script.out!J:J,results.txt!$M1059)</f>
        <v>#N/A</v>
      </c>
      <c r="W1059" t="e">
        <f>INDEX(script.out!K:K,results.txt!$M1059)</f>
        <v>#N/A</v>
      </c>
      <c r="X1059" t="e">
        <f>INDEX(script.out!L:L,results.txt!$M1059)</f>
        <v>#N/A</v>
      </c>
      <c r="Y1059" t="e">
        <f>INDEX(script.out!M:M,results.txt!$M1059)</f>
        <v>#N/A</v>
      </c>
      <c r="Z1059" t="e">
        <f>INDEX(script.out!N:N,results.txt!$M1059)</f>
        <v>#N/A</v>
      </c>
      <c r="AA1059" t="e">
        <f>INDEX(script.out!O:O,results.txt!$M1059)</f>
        <v>#N/A</v>
      </c>
      <c r="AB1059" t="e">
        <f>INDEX(script.out!P:P,results.txt!$M1059)</f>
        <v>#N/A</v>
      </c>
      <c r="AC1059" t="e">
        <f>INDEX(script.out!Q:Q,results.txt!$M1059)</f>
        <v>#N/A</v>
      </c>
      <c r="AD1059">
        <f t="shared" si="16"/>
        <v>0</v>
      </c>
    </row>
    <row r="1060" spans="13:30" x14ac:dyDescent="0.25">
      <c r="M1060" t="e">
        <f>MATCH(C1060,script.out!B:B,0)</f>
        <v>#N/A</v>
      </c>
      <c r="N1060" t="e">
        <f>INDEX(script.out!B:B,results.txt!$M1060)</f>
        <v>#N/A</v>
      </c>
      <c r="O1060" t="e">
        <f>INDEX(script.out!C:C,results.txt!$M1060)</f>
        <v>#N/A</v>
      </c>
      <c r="P1060" t="e">
        <f>INDEX(script.out!D:D,results.txt!$M1060)</f>
        <v>#N/A</v>
      </c>
      <c r="Q1060" t="e">
        <f>INDEX(script.out!E:E,results.txt!$M1060)</f>
        <v>#N/A</v>
      </c>
      <c r="R1060" t="e">
        <f>INDEX(script.out!F:F,results.txt!$M1060)</f>
        <v>#N/A</v>
      </c>
      <c r="S1060" t="e">
        <f>INDEX(script.out!G:G,results.txt!$M1060)</f>
        <v>#N/A</v>
      </c>
      <c r="T1060" t="e">
        <f>INDEX(script.out!H:H,results.txt!$M1060)</f>
        <v>#N/A</v>
      </c>
      <c r="U1060" t="e">
        <f>INDEX(script.out!I:I,results.txt!$M1060)</f>
        <v>#N/A</v>
      </c>
      <c r="V1060" t="e">
        <f>INDEX(script.out!J:J,results.txt!$M1060)</f>
        <v>#N/A</v>
      </c>
      <c r="W1060" t="e">
        <f>INDEX(script.out!K:K,results.txt!$M1060)</f>
        <v>#N/A</v>
      </c>
      <c r="X1060" t="e">
        <f>INDEX(script.out!L:L,results.txt!$M1060)</f>
        <v>#N/A</v>
      </c>
      <c r="Y1060" t="e">
        <f>INDEX(script.out!M:M,results.txt!$M1060)</f>
        <v>#N/A</v>
      </c>
      <c r="Z1060" t="e">
        <f>INDEX(script.out!N:N,results.txt!$M1060)</f>
        <v>#N/A</v>
      </c>
      <c r="AA1060" t="e">
        <f>INDEX(script.out!O:O,results.txt!$M1060)</f>
        <v>#N/A</v>
      </c>
      <c r="AB1060" t="e">
        <f>INDEX(script.out!P:P,results.txt!$M1060)</f>
        <v>#N/A</v>
      </c>
      <c r="AC1060" t="e">
        <f>INDEX(script.out!Q:Q,results.txt!$M1060)</f>
        <v>#N/A</v>
      </c>
      <c r="AD1060">
        <f t="shared" si="16"/>
        <v>0</v>
      </c>
    </row>
    <row r="1061" spans="13:30" x14ac:dyDescent="0.25">
      <c r="M1061" t="e">
        <f>MATCH(C1061,script.out!B:B,0)</f>
        <v>#N/A</v>
      </c>
      <c r="N1061" t="e">
        <f>INDEX(script.out!B:B,results.txt!$M1061)</f>
        <v>#N/A</v>
      </c>
      <c r="O1061" t="e">
        <f>INDEX(script.out!C:C,results.txt!$M1061)</f>
        <v>#N/A</v>
      </c>
      <c r="P1061" t="e">
        <f>INDEX(script.out!D:D,results.txt!$M1061)</f>
        <v>#N/A</v>
      </c>
      <c r="Q1061" t="e">
        <f>INDEX(script.out!E:E,results.txt!$M1061)</f>
        <v>#N/A</v>
      </c>
      <c r="R1061" t="e">
        <f>INDEX(script.out!F:F,results.txt!$M1061)</f>
        <v>#N/A</v>
      </c>
      <c r="S1061" t="e">
        <f>INDEX(script.out!G:G,results.txt!$M1061)</f>
        <v>#N/A</v>
      </c>
      <c r="T1061" t="e">
        <f>INDEX(script.out!H:H,results.txt!$M1061)</f>
        <v>#N/A</v>
      </c>
      <c r="U1061" t="e">
        <f>INDEX(script.out!I:I,results.txt!$M1061)</f>
        <v>#N/A</v>
      </c>
      <c r="V1061" t="e">
        <f>INDEX(script.out!J:J,results.txt!$M1061)</f>
        <v>#N/A</v>
      </c>
      <c r="W1061" t="e">
        <f>INDEX(script.out!K:K,results.txt!$M1061)</f>
        <v>#N/A</v>
      </c>
      <c r="X1061" t="e">
        <f>INDEX(script.out!L:L,results.txt!$M1061)</f>
        <v>#N/A</v>
      </c>
      <c r="Y1061" t="e">
        <f>INDEX(script.out!M:M,results.txt!$M1061)</f>
        <v>#N/A</v>
      </c>
      <c r="Z1061" t="e">
        <f>INDEX(script.out!N:N,results.txt!$M1061)</f>
        <v>#N/A</v>
      </c>
      <c r="AA1061" t="e">
        <f>INDEX(script.out!O:O,results.txt!$M1061)</f>
        <v>#N/A</v>
      </c>
      <c r="AB1061" t="e">
        <f>INDEX(script.out!P:P,results.txt!$M1061)</f>
        <v>#N/A</v>
      </c>
      <c r="AC1061" t="e">
        <f>INDEX(script.out!Q:Q,results.txt!$M1061)</f>
        <v>#N/A</v>
      </c>
      <c r="AD1061">
        <f t="shared" si="16"/>
        <v>0</v>
      </c>
    </row>
    <row r="1062" spans="13:30" x14ac:dyDescent="0.25">
      <c r="M1062" t="e">
        <f>MATCH(C1062,script.out!B:B,0)</f>
        <v>#N/A</v>
      </c>
      <c r="N1062" t="e">
        <f>INDEX(script.out!B:B,results.txt!$M1062)</f>
        <v>#N/A</v>
      </c>
      <c r="O1062" t="e">
        <f>INDEX(script.out!C:C,results.txt!$M1062)</f>
        <v>#N/A</v>
      </c>
      <c r="P1062" t="e">
        <f>INDEX(script.out!D:D,results.txt!$M1062)</f>
        <v>#N/A</v>
      </c>
      <c r="Q1062" t="e">
        <f>INDEX(script.out!E:E,results.txt!$M1062)</f>
        <v>#N/A</v>
      </c>
      <c r="R1062" t="e">
        <f>INDEX(script.out!F:F,results.txt!$M1062)</f>
        <v>#N/A</v>
      </c>
      <c r="S1062" t="e">
        <f>INDEX(script.out!G:G,results.txt!$M1062)</f>
        <v>#N/A</v>
      </c>
      <c r="T1062" t="e">
        <f>INDEX(script.out!H:H,results.txt!$M1062)</f>
        <v>#N/A</v>
      </c>
      <c r="U1062" t="e">
        <f>INDEX(script.out!I:I,results.txt!$M1062)</f>
        <v>#N/A</v>
      </c>
      <c r="V1062" t="e">
        <f>INDEX(script.out!J:J,results.txt!$M1062)</f>
        <v>#N/A</v>
      </c>
      <c r="W1062" t="e">
        <f>INDEX(script.out!K:K,results.txt!$M1062)</f>
        <v>#N/A</v>
      </c>
      <c r="X1062" t="e">
        <f>INDEX(script.out!L:L,results.txt!$M1062)</f>
        <v>#N/A</v>
      </c>
      <c r="Y1062" t="e">
        <f>INDEX(script.out!M:M,results.txt!$M1062)</f>
        <v>#N/A</v>
      </c>
      <c r="Z1062" t="e">
        <f>INDEX(script.out!N:N,results.txt!$M1062)</f>
        <v>#N/A</v>
      </c>
      <c r="AA1062" t="e">
        <f>INDEX(script.out!O:O,results.txt!$M1062)</f>
        <v>#N/A</v>
      </c>
      <c r="AB1062" t="e">
        <f>INDEX(script.out!P:P,results.txt!$M1062)</f>
        <v>#N/A</v>
      </c>
      <c r="AC1062" t="e">
        <f>INDEX(script.out!Q:Q,results.txt!$M1062)</f>
        <v>#N/A</v>
      </c>
      <c r="AD1062">
        <f t="shared" si="16"/>
        <v>0</v>
      </c>
    </row>
    <row r="1063" spans="13:30" x14ac:dyDescent="0.25">
      <c r="M1063" t="e">
        <f>MATCH(C1063,script.out!B:B,0)</f>
        <v>#N/A</v>
      </c>
      <c r="N1063" t="e">
        <f>INDEX(script.out!B:B,results.txt!$M1063)</f>
        <v>#N/A</v>
      </c>
      <c r="O1063" t="e">
        <f>INDEX(script.out!C:C,results.txt!$M1063)</f>
        <v>#N/A</v>
      </c>
      <c r="P1063" t="e">
        <f>INDEX(script.out!D:D,results.txt!$M1063)</f>
        <v>#N/A</v>
      </c>
      <c r="Q1063" t="e">
        <f>INDEX(script.out!E:E,results.txt!$M1063)</f>
        <v>#N/A</v>
      </c>
      <c r="R1063" t="e">
        <f>INDEX(script.out!F:F,results.txt!$M1063)</f>
        <v>#N/A</v>
      </c>
      <c r="S1063" t="e">
        <f>INDEX(script.out!G:G,results.txt!$M1063)</f>
        <v>#N/A</v>
      </c>
      <c r="T1063" t="e">
        <f>INDEX(script.out!H:H,results.txt!$M1063)</f>
        <v>#N/A</v>
      </c>
      <c r="U1063" t="e">
        <f>INDEX(script.out!I:I,results.txt!$M1063)</f>
        <v>#N/A</v>
      </c>
      <c r="V1063" t="e">
        <f>INDEX(script.out!J:J,results.txt!$M1063)</f>
        <v>#N/A</v>
      </c>
      <c r="W1063" t="e">
        <f>INDEX(script.out!K:K,results.txt!$M1063)</f>
        <v>#N/A</v>
      </c>
      <c r="X1063" t="e">
        <f>INDEX(script.out!L:L,results.txt!$M1063)</f>
        <v>#N/A</v>
      </c>
      <c r="Y1063" t="e">
        <f>INDEX(script.out!M:M,results.txt!$M1063)</f>
        <v>#N/A</v>
      </c>
      <c r="Z1063" t="e">
        <f>INDEX(script.out!N:N,results.txt!$M1063)</f>
        <v>#N/A</v>
      </c>
      <c r="AA1063" t="e">
        <f>INDEX(script.out!O:O,results.txt!$M1063)</f>
        <v>#N/A</v>
      </c>
      <c r="AB1063" t="e">
        <f>INDEX(script.out!P:P,results.txt!$M1063)</f>
        <v>#N/A</v>
      </c>
      <c r="AC1063" t="e">
        <f>INDEX(script.out!Q:Q,results.txt!$M1063)</f>
        <v>#N/A</v>
      </c>
      <c r="AD1063">
        <f t="shared" si="16"/>
        <v>0</v>
      </c>
    </row>
    <row r="1064" spans="13:30" x14ac:dyDescent="0.25">
      <c r="M1064" t="e">
        <f>MATCH(C1064,script.out!B:B,0)</f>
        <v>#N/A</v>
      </c>
      <c r="N1064" t="e">
        <f>INDEX(script.out!B:B,results.txt!$M1064)</f>
        <v>#N/A</v>
      </c>
      <c r="O1064" t="e">
        <f>INDEX(script.out!C:C,results.txt!$M1064)</f>
        <v>#N/A</v>
      </c>
      <c r="P1064" t="e">
        <f>INDEX(script.out!D:D,results.txt!$M1064)</f>
        <v>#N/A</v>
      </c>
      <c r="Q1064" t="e">
        <f>INDEX(script.out!E:E,results.txt!$M1064)</f>
        <v>#N/A</v>
      </c>
      <c r="R1064" t="e">
        <f>INDEX(script.out!F:F,results.txt!$M1064)</f>
        <v>#N/A</v>
      </c>
      <c r="S1064" t="e">
        <f>INDEX(script.out!G:G,results.txt!$M1064)</f>
        <v>#N/A</v>
      </c>
      <c r="T1064" t="e">
        <f>INDEX(script.out!H:H,results.txt!$M1064)</f>
        <v>#N/A</v>
      </c>
      <c r="U1064" t="e">
        <f>INDEX(script.out!I:I,results.txt!$M1064)</f>
        <v>#N/A</v>
      </c>
      <c r="V1064" t="e">
        <f>INDEX(script.out!J:J,results.txt!$M1064)</f>
        <v>#N/A</v>
      </c>
      <c r="W1064" t="e">
        <f>INDEX(script.out!K:K,results.txt!$M1064)</f>
        <v>#N/A</v>
      </c>
      <c r="X1064" t="e">
        <f>INDEX(script.out!L:L,results.txt!$M1064)</f>
        <v>#N/A</v>
      </c>
      <c r="Y1064" t="e">
        <f>INDEX(script.out!M:M,results.txt!$M1064)</f>
        <v>#N/A</v>
      </c>
      <c r="Z1064" t="e">
        <f>INDEX(script.out!N:N,results.txt!$M1064)</f>
        <v>#N/A</v>
      </c>
      <c r="AA1064" t="e">
        <f>INDEX(script.out!O:O,results.txt!$M1064)</f>
        <v>#N/A</v>
      </c>
      <c r="AB1064" t="e">
        <f>INDEX(script.out!P:P,results.txt!$M1064)</f>
        <v>#N/A</v>
      </c>
      <c r="AC1064" t="e">
        <f>INDEX(script.out!Q:Q,results.txt!$M1064)</f>
        <v>#N/A</v>
      </c>
      <c r="AD1064">
        <f t="shared" si="16"/>
        <v>0</v>
      </c>
    </row>
    <row r="1065" spans="13:30" x14ac:dyDescent="0.25">
      <c r="M1065" t="e">
        <f>MATCH(C1065,script.out!B:B,0)</f>
        <v>#N/A</v>
      </c>
      <c r="N1065" t="e">
        <f>INDEX(script.out!B:B,results.txt!$M1065)</f>
        <v>#N/A</v>
      </c>
      <c r="O1065" t="e">
        <f>INDEX(script.out!C:C,results.txt!$M1065)</f>
        <v>#N/A</v>
      </c>
      <c r="P1065" t="e">
        <f>INDEX(script.out!D:D,results.txt!$M1065)</f>
        <v>#N/A</v>
      </c>
      <c r="Q1065" t="e">
        <f>INDEX(script.out!E:E,results.txt!$M1065)</f>
        <v>#N/A</v>
      </c>
      <c r="R1065" t="e">
        <f>INDEX(script.out!F:F,results.txt!$M1065)</f>
        <v>#N/A</v>
      </c>
      <c r="S1065" t="e">
        <f>INDEX(script.out!G:G,results.txt!$M1065)</f>
        <v>#N/A</v>
      </c>
      <c r="T1065" t="e">
        <f>INDEX(script.out!H:H,results.txt!$M1065)</f>
        <v>#N/A</v>
      </c>
      <c r="U1065" t="e">
        <f>INDEX(script.out!I:I,results.txt!$M1065)</f>
        <v>#N/A</v>
      </c>
      <c r="V1065" t="e">
        <f>INDEX(script.out!J:J,results.txt!$M1065)</f>
        <v>#N/A</v>
      </c>
      <c r="W1065" t="e">
        <f>INDEX(script.out!K:K,results.txt!$M1065)</f>
        <v>#N/A</v>
      </c>
      <c r="X1065" t="e">
        <f>INDEX(script.out!L:L,results.txt!$M1065)</f>
        <v>#N/A</v>
      </c>
      <c r="Y1065" t="e">
        <f>INDEX(script.out!M:M,results.txt!$M1065)</f>
        <v>#N/A</v>
      </c>
      <c r="Z1065" t="e">
        <f>INDEX(script.out!N:N,results.txt!$M1065)</f>
        <v>#N/A</v>
      </c>
      <c r="AA1065" t="e">
        <f>INDEX(script.out!O:O,results.txt!$M1065)</f>
        <v>#N/A</v>
      </c>
      <c r="AB1065" t="e">
        <f>INDEX(script.out!P:P,results.txt!$M1065)</f>
        <v>#N/A</v>
      </c>
      <c r="AC1065" t="e">
        <f>INDEX(script.out!Q:Q,results.txt!$M1065)</f>
        <v>#N/A</v>
      </c>
      <c r="AD1065">
        <f t="shared" si="16"/>
        <v>0</v>
      </c>
    </row>
    <row r="1066" spans="13:30" x14ac:dyDescent="0.25">
      <c r="M1066" t="e">
        <f>MATCH(C1066,script.out!B:B,0)</f>
        <v>#N/A</v>
      </c>
      <c r="N1066" t="e">
        <f>INDEX(script.out!B:B,results.txt!$M1066)</f>
        <v>#N/A</v>
      </c>
      <c r="O1066" t="e">
        <f>INDEX(script.out!C:C,results.txt!$M1066)</f>
        <v>#N/A</v>
      </c>
      <c r="P1066" t="e">
        <f>INDEX(script.out!D:D,results.txt!$M1066)</f>
        <v>#N/A</v>
      </c>
      <c r="Q1066" t="e">
        <f>INDEX(script.out!E:E,results.txt!$M1066)</f>
        <v>#N/A</v>
      </c>
      <c r="R1066" t="e">
        <f>INDEX(script.out!F:F,results.txt!$M1066)</f>
        <v>#N/A</v>
      </c>
      <c r="S1066" t="e">
        <f>INDEX(script.out!G:G,results.txt!$M1066)</f>
        <v>#N/A</v>
      </c>
      <c r="T1066" t="e">
        <f>INDEX(script.out!H:H,results.txt!$M1066)</f>
        <v>#N/A</v>
      </c>
      <c r="U1066" t="e">
        <f>INDEX(script.out!I:I,results.txt!$M1066)</f>
        <v>#N/A</v>
      </c>
      <c r="V1066" t="e">
        <f>INDEX(script.out!J:J,results.txt!$M1066)</f>
        <v>#N/A</v>
      </c>
      <c r="W1066" t="e">
        <f>INDEX(script.out!K:K,results.txt!$M1066)</f>
        <v>#N/A</v>
      </c>
      <c r="X1066" t="e">
        <f>INDEX(script.out!L:L,results.txt!$M1066)</f>
        <v>#N/A</v>
      </c>
      <c r="Y1066" t="e">
        <f>INDEX(script.out!M:M,results.txt!$M1066)</f>
        <v>#N/A</v>
      </c>
      <c r="Z1066" t="e">
        <f>INDEX(script.out!N:N,results.txt!$M1066)</f>
        <v>#N/A</v>
      </c>
      <c r="AA1066" t="e">
        <f>INDEX(script.out!O:O,results.txt!$M1066)</f>
        <v>#N/A</v>
      </c>
      <c r="AB1066" t="e">
        <f>INDEX(script.out!P:P,results.txt!$M1066)</f>
        <v>#N/A</v>
      </c>
      <c r="AC1066" t="e">
        <f>INDEX(script.out!Q:Q,results.txt!$M1066)</f>
        <v>#N/A</v>
      </c>
      <c r="AD1066">
        <f t="shared" si="16"/>
        <v>0</v>
      </c>
    </row>
    <row r="1067" spans="13:30" x14ac:dyDescent="0.25">
      <c r="M1067" t="e">
        <f>MATCH(C1067,script.out!B:B,0)</f>
        <v>#N/A</v>
      </c>
      <c r="N1067" t="e">
        <f>INDEX(script.out!B:B,results.txt!$M1067)</f>
        <v>#N/A</v>
      </c>
      <c r="O1067" t="e">
        <f>INDEX(script.out!C:C,results.txt!$M1067)</f>
        <v>#N/A</v>
      </c>
      <c r="P1067" t="e">
        <f>INDEX(script.out!D:D,results.txt!$M1067)</f>
        <v>#N/A</v>
      </c>
      <c r="Q1067" t="e">
        <f>INDEX(script.out!E:E,results.txt!$M1067)</f>
        <v>#N/A</v>
      </c>
      <c r="R1067" t="e">
        <f>INDEX(script.out!F:F,results.txt!$M1067)</f>
        <v>#N/A</v>
      </c>
      <c r="S1067" t="e">
        <f>INDEX(script.out!G:G,results.txt!$M1067)</f>
        <v>#N/A</v>
      </c>
      <c r="T1067" t="e">
        <f>INDEX(script.out!H:H,results.txt!$M1067)</f>
        <v>#N/A</v>
      </c>
      <c r="U1067" t="e">
        <f>INDEX(script.out!I:I,results.txt!$M1067)</f>
        <v>#N/A</v>
      </c>
      <c r="V1067" t="e">
        <f>INDEX(script.out!J:J,results.txt!$M1067)</f>
        <v>#N/A</v>
      </c>
      <c r="W1067" t="e">
        <f>INDEX(script.out!K:K,results.txt!$M1067)</f>
        <v>#N/A</v>
      </c>
      <c r="X1067" t="e">
        <f>INDEX(script.out!L:L,results.txt!$M1067)</f>
        <v>#N/A</v>
      </c>
      <c r="Y1067" t="e">
        <f>INDEX(script.out!M:M,results.txt!$M1067)</f>
        <v>#N/A</v>
      </c>
      <c r="Z1067" t="e">
        <f>INDEX(script.out!N:N,results.txt!$M1067)</f>
        <v>#N/A</v>
      </c>
      <c r="AA1067" t="e">
        <f>INDEX(script.out!O:O,results.txt!$M1067)</f>
        <v>#N/A</v>
      </c>
      <c r="AB1067" t="e">
        <f>INDEX(script.out!P:P,results.txt!$M1067)</f>
        <v>#N/A</v>
      </c>
      <c r="AC1067" t="e">
        <f>INDEX(script.out!Q:Q,results.txt!$M1067)</f>
        <v>#N/A</v>
      </c>
      <c r="AD1067">
        <f t="shared" ref="AD1067:AD1092" si="17">IF(A1067="all",1)+IF(A1067="nonDominatedFront",2)</f>
        <v>0</v>
      </c>
    </row>
    <row r="1068" spans="13:30" x14ac:dyDescent="0.25">
      <c r="M1068" t="e">
        <f>MATCH(C1068,script.out!B:B,0)</f>
        <v>#N/A</v>
      </c>
      <c r="N1068" t="e">
        <f>INDEX(script.out!B:B,results.txt!$M1068)</f>
        <v>#N/A</v>
      </c>
      <c r="O1068" t="e">
        <f>INDEX(script.out!C:C,results.txt!$M1068)</f>
        <v>#N/A</v>
      </c>
      <c r="P1068" t="e">
        <f>INDEX(script.out!D:D,results.txt!$M1068)</f>
        <v>#N/A</v>
      </c>
      <c r="Q1068" t="e">
        <f>INDEX(script.out!E:E,results.txt!$M1068)</f>
        <v>#N/A</v>
      </c>
      <c r="R1068" t="e">
        <f>INDEX(script.out!F:F,results.txt!$M1068)</f>
        <v>#N/A</v>
      </c>
      <c r="S1068" t="e">
        <f>INDEX(script.out!G:G,results.txt!$M1068)</f>
        <v>#N/A</v>
      </c>
      <c r="T1068" t="e">
        <f>INDEX(script.out!H:H,results.txt!$M1068)</f>
        <v>#N/A</v>
      </c>
      <c r="U1068" t="e">
        <f>INDEX(script.out!I:I,results.txt!$M1068)</f>
        <v>#N/A</v>
      </c>
      <c r="V1068" t="e">
        <f>INDEX(script.out!J:J,results.txt!$M1068)</f>
        <v>#N/A</v>
      </c>
      <c r="W1068" t="e">
        <f>INDEX(script.out!K:K,results.txt!$M1068)</f>
        <v>#N/A</v>
      </c>
      <c r="X1068" t="e">
        <f>INDEX(script.out!L:L,results.txt!$M1068)</f>
        <v>#N/A</v>
      </c>
      <c r="Y1068" t="e">
        <f>INDEX(script.out!M:M,results.txt!$M1068)</f>
        <v>#N/A</v>
      </c>
      <c r="Z1068" t="e">
        <f>INDEX(script.out!N:N,results.txt!$M1068)</f>
        <v>#N/A</v>
      </c>
      <c r="AA1068" t="e">
        <f>INDEX(script.out!O:O,results.txt!$M1068)</f>
        <v>#N/A</v>
      </c>
      <c r="AB1068" t="e">
        <f>INDEX(script.out!P:P,results.txt!$M1068)</f>
        <v>#N/A</v>
      </c>
      <c r="AC1068" t="e">
        <f>INDEX(script.out!Q:Q,results.txt!$M1068)</f>
        <v>#N/A</v>
      </c>
      <c r="AD1068">
        <f t="shared" si="17"/>
        <v>0</v>
      </c>
    </row>
    <row r="1069" spans="13:30" x14ac:dyDescent="0.25">
      <c r="M1069" t="e">
        <f>MATCH(C1069,script.out!B:B,0)</f>
        <v>#N/A</v>
      </c>
      <c r="N1069" t="e">
        <f>INDEX(script.out!B:B,results.txt!$M1069)</f>
        <v>#N/A</v>
      </c>
      <c r="O1069" t="e">
        <f>INDEX(script.out!C:C,results.txt!$M1069)</f>
        <v>#N/A</v>
      </c>
      <c r="P1069" t="e">
        <f>INDEX(script.out!D:D,results.txt!$M1069)</f>
        <v>#N/A</v>
      </c>
      <c r="Q1069" t="e">
        <f>INDEX(script.out!E:E,results.txt!$M1069)</f>
        <v>#N/A</v>
      </c>
      <c r="R1069" t="e">
        <f>INDEX(script.out!F:F,results.txt!$M1069)</f>
        <v>#N/A</v>
      </c>
      <c r="S1069" t="e">
        <f>INDEX(script.out!G:G,results.txt!$M1069)</f>
        <v>#N/A</v>
      </c>
      <c r="T1069" t="e">
        <f>INDEX(script.out!H:H,results.txt!$M1069)</f>
        <v>#N/A</v>
      </c>
      <c r="U1069" t="e">
        <f>INDEX(script.out!I:I,results.txt!$M1069)</f>
        <v>#N/A</v>
      </c>
      <c r="V1069" t="e">
        <f>INDEX(script.out!J:J,results.txt!$M1069)</f>
        <v>#N/A</v>
      </c>
      <c r="W1069" t="e">
        <f>INDEX(script.out!K:K,results.txt!$M1069)</f>
        <v>#N/A</v>
      </c>
      <c r="X1069" t="e">
        <f>INDEX(script.out!L:L,results.txt!$M1069)</f>
        <v>#N/A</v>
      </c>
      <c r="Y1069" t="e">
        <f>INDEX(script.out!M:M,results.txt!$M1069)</f>
        <v>#N/A</v>
      </c>
      <c r="Z1069" t="e">
        <f>INDEX(script.out!N:N,results.txt!$M1069)</f>
        <v>#N/A</v>
      </c>
      <c r="AA1069" t="e">
        <f>INDEX(script.out!O:O,results.txt!$M1069)</f>
        <v>#N/A</v>
      </c>
      <c r="AB1069" t="e">
        <f>INDEX(script.out!P:P,results.txt!$M1069)</f>
        <v>#N/A</v>
      </c>
      <c r="AC1069" t="e">
        <f>INDEX(script.out!Q:Q,results.txt!$M1069)</f>
        <v>#N/A</v>
      </c>
      <c r="AD1069">
        <f t="shared" si="17"/>
        <v>0</v>
      </c>
    </row>
    <row r="1070" spans="13:30" x14ac:dyDescent="0.25">
      <c r="M1070" t="e">
        <f>MATCH(C1070,script.out!B:B,0)</f>
        <v>#N/A</v>
      </c>
      <c r="N1070" t="e">
        <f>INDEX(script.out!B:B,results.txt!$M1070)</f>
        <v>#N/A</v>
      </c>
      <c r="O1070" t="e">
        <f>INDEX(script.out!C:C,results.txt!$M1070)</f>
        <v>#N/A</v>
      </c>
      <c r="P1070" t="e">
        <f>INDEX(script.out!D:D,results.txt!$M1070)</f>
        <v>#N/A</v>
      </c>
      <c r="Q1070" t="e">
        <f>INDEX(script.out!E:E,results.txt!$M1070)</f>
        <v>#N/A</v>
      </c>
      <c r="R1070" t="e">
        <f>INDEX(script.out!F:F,results.txt!$M1070)</f>
        <v>#N/A</v>
      </c>
      <c r="S1070" t="e">
        <f>INDEX(script.out!G:G,results.txt!$M1070)</f>
        <v>#N/A</v>
      </c>
      <c r="T1070" t="e">
        <f>INDEX(script.out!H:H,results.txt!$M1070)</f>
        <v>#N/A</v>
      </c>
      <c r="U1070" t="e">
        <f>INDEX(script.out!I:I,results.txt!$M1070)</f>
        <v>#N/A</v>
      </c>
      <c r="V1070" t="e">
        <f>INDEX(script.out!J:J,results.txt!$M1070)</f>
        <v>#N/A</v>
      </c>
      <c r="W1070" t="e">
        <f>INDEX(script.out!K:K,results.txt!$M1070)</f>
        <v>#N/A</v>
      </c>
      <c r="X1070" t="e">
        <f>INDEX(script.out!L:L,results.txt!$M1070)</f>
        <v>#N/A</v>
      </c>
      <c r="Y1070" t="e">
        <f>INDEX(script.out!M:M,results.txt!$M1070)</f>
        <v>#N/A</v>
      </c>
      <c r="Z1070" t="e">
        <f>INDEX(script.out!N:N,results.txt!$M1070)</f>
        <v>#N/A</v>
      </c>
      <c r="AA1070" t="e">
        <f>INDEX(script.out!O:O,results.txt!$M1070)</f>
        <v>#N/A</v>
      </c>
      <c r="AB1070" t="e">
        <f>INDEX(script.out!P:P,results.txt!$M1070)</f>
        <v>#N/A</v>
      </c>
      <c r="AC1070" t="e">
        <f>INDEX(script.out!Q:Q,results.txt!$M1070)</f>
        <v>#N/A</v>
      </c>
      <c r="AD1070">
        <f t="shared" si="17"/>
        <v>0</v>
      </c>
    </row>
    <row r="1071" spans="13:30" x14ac:dyDescent="0.25">
      <c r="M1071" t="e">
        <f>MATCH(C1071,script.out!B:B,0)</f>
        <v>#N/A</v>
      </c>
      <c r="N1071" t="e">
        <f>INDEX(script.out!B:B,results.txt!$M1071)</f>
        <v>#N/A</v>
      </c>
      <c r="O1071" t="e">
        <f>INDEX(script.out!C:C,results.txt!$M1071)</f>
        <v>#N/A</v>
      </c>
      <c r="P1071" t="e">
        <f>INDEX(script.out!D:D,results.txt!$M1071)</f>
        <v>#N/A</v>
      </c>
      <c r="Q1071" t="e">
        <f>INDEX(script.out!E:E,results.txt!$M1071)</f>
        <v>#N/A</v>
      </c>
      <c r="R1071" t="e">
        <f>INDEX(script.out!F:F,results.txt!$M1071)</f>
        <v>#N/A</v>
      </c>
      <c r="S1071" t="e">
        <f>INDEX(script.out!G:G,results.txt!$M1071)</f>
        <v>#N/A</v>
      </c>
      <c r="T1071" t="e">
        <f>INDEX(script.out!H:H,results.txt!$M1071)</f>
        <v>#N/A</v>
      </c>
      <c r="U1071" t="e">
        <f>INDEX(script.out!I:I,results.txt!$M1071)</f>
        <v>#N/A</v>
      </c>
      <c r="V1071" t="e">
        <f>INDEX(script.out!J:J,results.txt!$M1071)</f>
        <v>#N/A</v>
      </c>
      <c r="W1071" t="e">
        <f>INDEX(script.out!K:K,results.txt!$M1071)</f>
        <v>#N/A</v>
      </c>
      <c r="X1071" t="e">
        <f>INDEX(script.out!L:L,results.txt!$M1071)</f>
        <v>#N/A</v>
      </c>
      <c r="Y1071" t="e">
        <f>INDEX(script.out!M:M,results.txt!$M1071)</f>
        <v>#N/A</v>
      </c>
      <c r="Z1071" t="e">
        <f>INDEX(script.out!N:N,results.txt!$M1071)</f>
        <v>#N/A</v>
      </c>
      <c r="AA1071" t="e">
        <f>INDEX(script.out!O:O,results.txt!$M1071)</f>
        <v>#N/A</v>
      </c>
      <c r="AB1071" t="e">
        <f>INDEX(script.out!P:P,results.txt!$M1071)</f>
        <v>#N/A</v>
      </c>
      <c r="AC1071" t="e">
        <f>INDEX(script.out!Q:Q,results.txt!$M1071)</f>
        <v>#N/A</v>
      </c>
      <c r="AD1071">
        <f t="shared" si="17"/>
        <v>0</v>
      </c>
    </row>
    <row r="1072" spans="13:30" x14ac:dyDescent="0.25">
      <c r="M1072" t="e">
        <f>MATCH(C1072,script.out!B:B,0)</f>
        <v>#N/A</v>
      </c>
      <c r="N1072" t="e">
        <f>INDEX(script.out!B:B,results.txt!$M1072)</f>
        <v>#N/A</v>
      </c>
      <c r="O1072" t="e">
        <f>INDEX(script.out!C:C,results.txt!$M1072)</f>
        <v>#N/A</v>
      </c>
      <c r="P1072" t="e">
        <f>INDEX(script.out!D:D,results.txt!$M1072)</f>
        <v>#N/A</v>
      </c>
      <c r="Q1072" t="e">
        <f>INDEX(script.out!E:E,results.txt!$M1072)</f>
        <v>#N/A</v>
      </c>
      <c r="R1072" t="e">
        <f>INDEX(script.out!F:F,results.txt!$M1072)</f>
        <v>#N/A</v>
      </c>
      <c r="S1072" t="e">
        <f>INDEX(script.out!G:G,results.txt!$M1072)</f>
        <v>#N/A</v>
      </c>
      <c r="T1072" t="e">
        <f>INDEX(script.out!H:H,results.txt!$M1072)</f>
        <v>#N/A</v>
      </c>
      <c r="U1072" t="e">
        <f>INDEX(script.out!I:I,results.txt!$M1072)</f>
        <v>#N/A</v>
      </c>
      <c r="V1072" t="e">
        <f>INDEX(script.out!J:J,results.txt!$M1072)</f>
        <v>#N/A</v>
      </c>
      <c r="W1072" t="e">
        <f>INDEX(script.out!K:K,results.txt!$M1072)</f>
        <v>#N/A</v>
      </c>
      <c r="X1072" t="e">
        <f>INDEX(script.out!L:L,results.txt!$M1072)</f>
        <v>#N/A</v>
      </c>
      <c r="Y1072" t="e">
        <f>INDEX(script.out!M:M,results.txt!$M1072)</f>
        <v>#N/A</v>
      </c>
      <c r="Z1072" t="e">
        <f>INDEX(script.out!N:N,results.txt!$M1072)</f>
        <v>#N/A</v>
      </c>
      <c r="AA1072" t="e">
        <f>INDEX(script.out!O:O,results.txt!$M1072)</f>
        <v>#N/A</v>
      </c>
      <c r="AB1072" t="e">
        <f>INDEX(script.out!P:P,results.txt!$M1072)</f>
        <v>#N/A</v>
      </c>
      <c r="AC1072" t="e">
        <f>INDEX(script.out!Q:Q,results.txt!$M1072)</f>
        <v>#N/A</v>
      </c>
      <c r="AD1072">
        <f t="shared" si="17"/>
        <v>0</v>
      </c>
    </row>
    <row r="1073" spans="13:30" x14ac:dyDescent="0.25">
      <c r="M1073" t="e">
        <f>MATCH(C1073,script.out!B:B,0)</f>
        <v>#N/A</v>
      </c>
      <c r="N1073" t="e">
        <f>INDEX(script.out!B:B,results.txt!$M1073)</f>
        <v>#N/A</v>
      </c>
      <c r="O1073" t="e">
        <f>INDEX(script.out!C:C,results.txt!$M1073)</f>
        <v>#N/A</v>
      </c>
      <c r="P1073" t="e">
        <f>INDEX(script.out!D:D,results.txt!$M1073)</f>
        <v>#N/A</v>
      </c>
      <c r="Q1073" t="e">
        <f>INDEX(script.out!E:E,results.txt!$M1073)</f>
        <v>#N/A</v>
      </c>
      <c r="R1073" t="e">
        <f>INDEX(script.out!F:F,results.txt!$M1073)</f>
        <v>#N/A</v>
      </c>
      <c r="S1073" t="e">
        <f>INDEX(script.out!G:G,results.txt!$M1073)</f>
        <v>#N/A</v>
      </c>
      <c r="T1073" t="e">
        <f>INDEX(script.out!H:H,results.txt!$M1073)</f>
        <v>#N/A</v>
      </c>
      <c r="U1073" t="e">
        <f>INDEX(script.out!I:I,results.txt!$M1073)</f>
        <v>#N/A</v>
      </c>
      <c r="V1073" t="e">
        <f>INDEX(script.out!J:J,results.txt!$M1073)</f>
        <v>#N/A</v>
      </c>
      <c r="W1073" t="e">
        <f>INDEX(script.out!K:K,results.txt!$M1073)</f>
        <v>#N/A</v>
      </c>
      <c r="X1073" t="e">
        <f>INDEX(script.out!L:L,results.txt!$M1073)</f>
        <v>#N/A</v>
      </c>
      <c r="Y1073" t="e">
        <f>INDEX(script.out!M:M,results.txt!$M1073)</f>
        <v>#N/A</v>
      </c>
      <c r="Z1073" t="e">
        <f>INDEX(script.out!N:N,results.txt!$M1073)</f>
        <v>#N/A</v>
      </c>
      <c r="AA1073" t="e">
        <f>INDEX(script.out!O:O,results.txt!$M1073)</f>
        <v>#N/A</v>
      </c>
      <c r="AB1073" t="e">
        <f>INDEX(script.out!P:P,results.txt!$M1073)</f>
        <v>#N/A</v>
      </c>
      <c r="AC1073" t="e">
        <f>INDEX(script.out!Q:Q,results.txt!$M1073)</f>
        <v>#N/A</v>
      </c>
      <c r="AD1073">
        <f t="shared" si="17"/>
        <v>0</v>
      </c>
    </row>
    <row r="1074" spans="13:30" x14ac:dyDescent="0.25">
      <c r="M1074" t="e">
        <f>MATCH(C1074,script.out!B:B,0)</f>
        <v>#N/A</v>
      </c>
      <c r="N1074" t="e">
        <f>INDEX(script.out!B:B,results.txt!$M1074)</f>
        <v>#N/A</v>
      </c>
      <c r="O1074" t="e">
        <f>INDEX(script.out!C:C,results.txt!$M1074)</f>
        <v>#N/A</v>
      </c>
      <c r="P1074" t="e">
        <f>INDEX(script.out!D:D,results.txt!$M1074)</f>
        <v>#N/A</v>
      </c>
      <c r="Q1074" t="e">
        <f>INDEX(script.out!E:E,results.txt!$M1074)</f>
        <v>#N/A</v>
      </c>
      <c r="R1074" t="e">
        <f>INDEX(script.out!F:F,results.txt!$M1074)</f>
        <v>#N/A</v>
      </c>
      <c r="S1074" t="e">
        <f>INDEX(script.out!G:G,results.txt!$M1074)</f>
        <v>#N/A</v>
      </c>
      <c r="T1074" t="e">
        <f>INDEX(script.out!H:H,results.txt!$M1074)</f>
        <v>#N/A</v>
      </c>
      <c r="U1074" t="e">
        <f>INDEX(script.out!I:I,results.txt!$M1074)</f>
        <v>#N/A</v>
      </c>
      <c r="V1074" t="e">
        <f>INDEX(script.out!J:J,results.txt!$M1074)</f>
        <v>#N/A</v>
      </c>
      <c r="W1074" t="e">
        <f>INDEX(script.out!K:K,results.txt!$M1074)</f>
        <v>#N/A</v>
      </c>
      <c r="X1074" t="e">
        <f>INDEX(script.out!L:L,results.txt!$M1074)</f>
        <v>#N/A</v>
      </c>
      <c r="Y1074" t="e">
        <f>INDEX(script.out!M:M,results.txt!$M1074)</f>
        <v>#N/A</v>
      </c>
      <c r="Z1074" t="e">
        <f>INDEX(script.out!N:N,results.txt!$M1074)</f>
        <v>#N/A</v>
      </c>
      <c r="AA1074" t="e">
        <f>INDEX(script.out!O:O,results.txt!$M1074)</f>
        <v>#N/A</v>
      </c>
      <c r="AB1074" t="e">
        <f>INDEX(script.out!P:P,results.txt!$M1074)</f>
        <v>#N/A</v>
      </c>
      <c r="AC1074" t="e">
        <f>INDEX(script.out!Q:Q,results.txt!$M1074)</f>
        <v>#N/A</v>
      </c>
      <c r="AD1074">
        <f t="shared" si="17"/>
        <v>0</v>
      </c>
    </row>
    <row r="1075" spans="13:30" x14ac:dyDescent="0.25">
      <c r="M1075" t="e">
        <f>MATCH(C1075,script.out!B:B,0)</f>
        <v>#N/A</v>
      </c>
      <c r="N1075" t="e">
        <f>INDEX(script.out!B:B,results.txt!$M1075)</f>
        <v>#N/A</v>
      </c>
      <c r="O1075" t="e">
        <f>INDEX(script.out!C:C,results.txt!$M1075)</f>
        <v>#N/A</v>
      </c>
      <c r="P1075" t="e">
        <f>INDEX(script.out!D:D,results.txt!$M1075)</f>
        <v>#N/A</v>
      </c>
      <c r="Q1075" t="e">
        <f>INDEX(script.out!E:E,results.txt!$M1075)</f>
        <v>#N/A</v>
      </c>
      <c r="R1075" t="e">
        <f>INDEX(script.out!F:F,results.txt!$M1075)</f>
        <v>#N/A</v>
      </c>
      <c r="S1075" t="e">
        <f>INDEX(script.out!G:G,results.txt!$M1075)</f>
        <v>#N/A</v>
      </c>
      <c r="T1075" t="e">
        <f>INDEX(script.out!H:H,results.txt!$M1075)</f>
        <v>#N/A</v>
      </c>
      <c r="U1075" t="e">
        <f>INDEX(script.out!I:I,results.txt!$M1075)</f>
        <v>#N/A</v>
      </c>
      <c r="V1075" t="e">
        <f>INDEX(script.out!J:J,results.txt!$M1075)</f>
        <v>#N/A</v>
      </c>
      <c r="W1075" t="e">
        <f>INDEX(script.out!K:K,results.txt!$M1075)</f>
        <v>#N/A</v>
      </c>
      <c r="X1075" t="e">
        <f>INDEX(script.out!L:L,results.txt!$M1075)</f>
        <v>#N/A</v>
      </c>
      <c r="Y1075" t="e">
        <f>INDEX(script.out!M:M,results.txt!$M1075)</f>
        <v>#N/A</v>
      </c>
      <c r="Z1075" t="e">
        <f>INDEX(script.out!N:N,results.txt!$M1075)</f>
        <v>#N/A</v>
      </c>
      <c r="AA1075" t="e">
        <f>INDEX(script.out!O:O,results.txt!$M1075)</f>
        <v>#N/A</v>
      </c>
      <c r="AB1075" t="e">
        <f>INDEX(script.out!P:P,results.txt!$M1075)</f>
        <v>#N/A</v>
      </c>
      <c r="AC1075" t="e">
        <f>INDEX(script.out!Q:Q,results.txt!$M1075)</f>
        <v>#N/A</v>
      </c>
      <c r="AD1075">
        <f t="shared" si="17"/>
        <v>0</v>
      </c>
    </row>
    <row r="1076" spans="13:30" x14ac:dyDescent="0.25">
      <c r="M1076" t="e">
        <f>MATCH(C1076,script.out!B:B,0)</f>
        <v>#N/A</v>
      </c>
      <c r="N1076" t="e">
        <f>INDEX(script.out!B:B,results.txt!$M1076)</f>
        <v>#N/A</v>
      </c>
      <c r="O1076" t="e">
        <f>INDEX(script.out!C:C,results.txt!$M1076)</f>
        <v>#N/A</v>
      </c>
      <c r="P1076" t="e">
        <f>INDEX(script.out!D:D,results.txt!$M1076)</f>
        <v>#N/A</v>
      </c>
      <c r="Q1076" t="e">
        <f>INDEX(script.out!E:E,results.txt!$M1076)</f>
        <v>#N/A</v>
      </c>
      <c r="R1076" t="e">
        <f>INDEX(script.out!F:F,results.txt!$M1076)</f>
        <v>#N/A</v>
      </c>
      <c r="S1076" t="e">
        <f>INDEX(script.out!G:G,results.txt!$M1076)</f>
        <v>#N/A</v>
      </c>
      <c r="T1076" t="e">
        <f>INDEX(script.out!H:H,results.txt!$M1076)</f>
        <v>#N/A</v>
      </c>
      <c r="U1076" t="e">
        <f>INDEX(script.out!I:I,results.txt!$M1076)</f>
        <v>#N/A</v>
      </c>
      <c r="V1076" t="e">
        <f>INDEX(script.out!J:J,results.txt!$M1076)</f>
        <v>#N/A</v>
      </c>
      <c r="W1076" t="e">
        <f>INDEX(script.out!K:K,results.txt!$M1076)</f>
        <v>#N/A</v>
      </c>
      <c r="X1076" t="e">
        <f>INDEX(script.out!L:L,results.txt!$M1076)</f>
        <v>#N/A</v>
      </c>
      <c r="Y1076" t="e">
        <f>INDEX(script.out!M:M,results.txt!$M1076)</f>
        <v>#N/A</v>
      </c>
      <c r="Z1076" t="e">
        <f>INDEX(script.out!N:N,results.txt!$M1076)</f>
        <v>#N/A</v>
      </c>
      <c r="AA1076" t="e">
        <f>INDEX(script.out!O:O,results.txt!$M1076)</f>
        <v>#N/A</v>
      </c>
      <c r="AB1076" t="e">
        <f>INDEX(script.out!P:P,results.txt!$M1076)</f>
        <v>#N/A</v>
      </c>
      <c r="AC1076" t="e">
        <f>INDEX(script.out!Q:Q,results.txt!$M1076)</f>
        <v>#N/A</v>
      </c>
      <c r="AD1076">
        <f t="shared" si="17"/>
        <v>0</v>
      </c>
    </row>
    <row r="1077" spans="13:30" x14ac:dyDescent="0.25">
      <c r="M1077" t="e">
        <f>MATCH(C1077,script.out!B:B,0)</f>
        <v>#N/A</v>
      </c>
      <c r="N1077" t="e">
        <f>INDEX(script.out!B:B,results.txt!$M1077)</f>
        <v>#N/A</v>
      </c>
      <c r="O1077" t="e">
        <f>INDEX(script.out!C:C,results.txt!$M1077)</f>
        <v>#N/A</v>
      </c>
      <c r="P1077" t="e">
        <f>INDEX(script.out!D:D,results.txt!$M1077)</f>
        <v>#N/A</v>
      </c>
      <c r="Q1077" t="e">
        <f>INDEX(script.out!E:E,results.txt!$M1077)</f>
        <v>#N/A</v>
      </c>
      <c r="R1077" t="e">
        <f>INDEX(script.out!F:F,results.txt!$M1077)</f>
        <v>#N/A</v>
      </c>
      <c r="S1077" t="e">
        <f>INDEX(script.out!G:G,results.txt!$M1077)</f>
        <v>#N/A</v>
      </c>
      <c r="T1077" t="e">
        <f>INDEX(script.out!H:H,results.txt!$M1077)</f>
        <v>#N/A</v>
      </c>
      <c r="U1077" t="e">
        <f>INDEX(script.out!I:I,results.txt!$M1077)</f>
        <v>#N/A</v>
      </c>
      <c r="V1077" t="e">
        <f>INDEX(script.out!J:J,results.txt!$M1077)</f>
        <v>#N/A</v>
      </c>
      <c r="W1077" t="e">
        <f>INDEX(script.out!K:K,results.txt!$M1077)</f>
        <v>#N/A</v>
      </c>
      <c r="X1077" t="e">
        <f>INDEX(script.out!L:L,results.txt!$M1077)</f>
        <v>#N/A</v>
      </c>
      <c r="Y1077" t="e">
        <f>INDEX(script.out!M:M,results.txt!$M1077)</f>
        <v>#N/A</v>
      </c>
      <c r="Z1077" t="e">
        <f>INDEX(script.out!N:N,results.txt!$M1077)</f>
        <v>#N/A</v>
      </c>
      <c r="AA1077" t="e">
        <f>INDEX(script.out!O:O,results.txt!$M1077)</f>
        <v>#N/A</v>
      </c>
      <c r="AB1077" t="e">
        <f>INDEX(script.out!P:P,results.txt!$M1077)</f>
        <v>#N/A</v>
      </c>
      <c r="AC1077" t="e">
        <f>INDEX(script.out!Q:Q,results.txt!$M1077)</f>
        <v>#N/A</v>
      </c>
      <c r="AD1077">
        <f t="shared" si="17"/>
        <v>0</v>
      </c>
    </row>
    <row r="1078" spans="13:30" x14ac:dyDescent="0.25">
      <c r="M1078" t="e">
        <f>MATCH(C1078,script.out!B:B,0)</f>
        <v>#N/A</v>
      </c>
      <c r="N1078" t="e">
        <f>INDEX(script.out!B:B,results.txt!$M1078)</f>
        <v>#N/A</v>
      </c>
      <c r="O1078" t="e">
        <f>INDEX(script.out!C:C,results.txt!$M1078)</f>
        <v>#N/A</v>
      </c>
      <c r="P1078" t="e">
        <f>INDEX(script.out!D:D,results.txt!$M1078)</f>
        <v>#N/A</v>
      </c>
      <c r="Q1078" t="e">
        <f>INDEX(script.out!E:E,results.txt!$M1078)</f>
        <v>#N/A</v>
      </c>
      <c r="R1078" t="e">
        <f>INDEX(script.out!F:F,results.txt!$M1078)</f>
        <v>#N/A</v>
      </c>
      <c r="S1078" t="e">
        <f>INDEX(script.out!G:G,results.txt!$M1078)</f>
        <v>#N/A</v>
      </c>
      <c r="T1078" t="e">
        <f>INDEX(script.out!H:H,results.txt!$M1078)</f>
        <v>#N/A</v>
      </c>
      <c r="U1078" t="e">
        <f>INDEX(script.out!I:I,results.txt!$M1078)</f>
        <v>#N/A</v>
      </c>
      <c r="V1078" t="e">
        <f>INDEX(script.out!J:J,results.txt!$M1078)</f>
        <v>#N/A</v>
      </c>
      <c r="W1078" t="e">
        <f>INDEX(script.out!K:K,results.txt!$M1078)</f>
        <v>#N/A</v>
      </c>
      <c r="X1078" t="e">
        <f>INDEX(script.out!L:L,results.txt!$M1078)</f>
        <v>#N/A</v>
      </c>
      <c r="Y1078" t="e">
        <f>INDEX(script.out!M:M,results.txt!$M1078)</f>
        <v>#N/A</v>
      </c>
      <c r="Z1078" t="e">
        <f>INDEX(script.out!N:N,results.txt!$M1078)</f>
        <v>#N/A</v>
      </c>
      <c r="AA1078" t="e">
        <f>INDEX(script.out!O:O,results.txt!$M1078)</f>
        <v>#N/A</v>
      </c>
      <c r="AB1078" t="e">
        <f>INDEX(script.out!P:P,results.txt!$M1078)</f>
        <v>#N/A</v>
      </c>
      <c r="AC1078" t="e">
        <f>INDEX(script.out!Q:Q,results.txt!$M1078)</f>
        <v>#N/A</v>
      </c>
      <c r="AD1078">
        <f t="shared" si="17"/>
        <v>0</v>
      </c>
    </row>
    <row r="1079" spans="13:30" x14ac:dyDescent="0.25">
      <c r="M1079" t="e">
        <f>MATCH(C1079,script.out!B:B,0)</f>
        <v>#N/A</v>
      </c>
      <c r="N1079" t="e">
        <f>INDEX(script.out!B:B,results.txt!$M1079)</f>
        <v>#N/A</v>
      </c>
      <c r="O1079" t="e">
        <f>INDEX(script.out!C:C,results.txt!$M1079)</f>
        <v>#N/A</v>
      </c>
      <c r="P1079" t="e">
        <f>INDEX(script.out!D:D,results.txt!$M1079)</f>
        <v>#N/A</v>
      </c>
      <c r="Q1079" t="e">
        <f>INDEX(script.out!E:E,results.txt!$M1079)</f>
        <v>#N/A</v>
      </c>
      <c r="R1079" t="e">
        <f>INDEX(script.out!F:F,results.txt!$M1079)</f>
        <v>#N/A</v>
      </c>
      <c r="S1079" t="e">
        <f>INDEX(script.out!G:G,results.txt!$M1079)</f>
        <v>#N/A</v>
      </c>
      <c r="T1079" t="e">
        <f>INDEX(script.out!H:H,results.txt!$M1079)</f>
        <v>#N/A</v>
      </c>
      <c r="U1079" t="e">
        <f>INDEX(script.out!I:I,results.txt!$M1079)</f>
        <v>#N/A</v>
      </c>
      <c r="V1079" t="e">
        <f>INDEX(script.out!J:J,results.txt!$M1079)</f>
        <v>#N/A</v>
      </c>
      <c r="W1079" t="e">
        <f>INDEX(script.out!K:K,results.txt!$M1079)</f>
        <v>#N/A</v>
      </c>
      <c r="X1079" t="e">
        <f>INDEX(script.out!L:L,results.txt!$M1079)</f>
        <v>#N/A</v>
      </c>
      <c r="Y1079" t="e">
        <f>INDEX(script.out!M:M,results.txt!$M1079)</f>
        <v>#N/A</v>
      </c>
      <c r="Z1079" t="e">
        <f>INDEX(script.out!N:N,results.txt!$M1079)</f>
        <v>#N/A</v>
      </c>
      <c r="AA1079" t="e">
        <f>INDEX(script.out!O:O,results.txt!$M1079)</f>
        <v>#N/A</v>
      </c>
      <c r="AB1079" t="e">
        <f>INDEX(script.out!P:P,results.txt!$M1079)</f>
        <v>#N/A</v>
      </c>
      <c r="AC1079" t="e">
        <f>INDEX(script.out!Q:Q,results.txt!$M1079)</f>
        <v>#N/A</v>
      </c>
      <c r="AD1079">
        <f t="shared" si="17"/>
        <v>0</v>
      </c>
    </row>
    <row r="1080" spans="13:30" x14ac:dyDescent="0.25">
      <c r="M1080" t="e">
        <f>MATCH(C1080,script.out!B:B,0)</f>
        <v>#N/A</v>
      </c>
      <c r="N1080" t="e">
        <f>INDEX(script.out!B:B,results.txt!$M1080)</f>
        <v>#N/A</v>
      </c>
      <c r="O1080" t="e">
        <f>INDEX(script.out!C:C,results.txt!$M1080)</f>
        <v>#N/A</v>
      </c>
      <c r="P1080" t="e">
        <f>INDEX(script.out!D:D,results.txt!$M1080)</f>
        <v>#N/A</v>
      </c>
      <c r="Q1080" t="e">
        <f>INDEX(script.out!E:E,results.txt!$M1080)</f>
        <v>#N/A</v>
      </c>
      <c r="R1080" t="e">
        <f>INDEX(script.out!F:F,results.txt!$M1080)</f>
        <v>#N/A</v>
      </c>
      <c r="S1080" t="e">
        <f>INDEX(script.out!G:G,results.txt!$M1080)</f>
        <v>#N/A</v>
      </c>
      <c r="T1080" t="e">
        <f>INDEX(script.out!H:H,results.txt!$M1080)</f>
        <v>#N/A</v>
      </c>
      <c r="U1080" t="e">
        <f>INDEX(script.out!I:I,results.txt!$M1080)</f>
        <v>#N/A</v>
      </c>
      <c r="V1080" t="e">
        <f>INDEX(script.out!J:J,results.txt!$M1080)</f>
        <v>#N/A</v>
      </c>
      <c r="W1080" t="e">
        <f>INDEX(script.out!K:K,results.txt!$M1080)</f>
        <v>#N/A</v>
      </c>
      <c r="X1080" t="e">
        <f>INDEX(script.out!L:L,results.txt!$M1080)</f>
        <v>#N/A</v>
      </c>
      <c r="Y1080" t="e">
        <f>INDEX(script.out!M:M,results.txt!$M1080)</f>
        <v>#N/A</v>
      </c>
      <c r="Z1080" t="e">
        <f>INDEX(script.out!N:N,results.txt!$M1080)</f>
        <v>#N/A</v>
      </c>
      <c r="AA1080" t="e">
        <f>INDEX(script.out!O:O,results.txt!$M1080)</f>
        <v>#N/A</v>
      </c>
      <c r="AB1080" t="e">
        <f>INDEX(script.out!P:P,results.txt!$M1080)</f>
        <v>#N/A</v>
      </c>
      <c r="AC1080" t="e">
        <f>INDEX(script.out!Q:Q,results.txt!$M1080)</f>
        <v>#N/A</v>
      </c>
      <c r="AD1080">
        <f t="shared" si="17"/>
        <v>0</v>
      </c>
    </row>
    <row r="1081" spans="13:30" x14ac:dyDescent="0.25">
      <c r="M1081" t="e">
        <f>MATCH(C1081,script.out!B:B,0)</f>
        <v>#N/A</v>
      </c>
      <c r="N1081" t="e">
        <f>INDEX(script.out!B:B,results.txt!$M1081)</f>
        <v>#N/A</v>
      </c>
      <c r="O1081" t="e">
        <f>INDEX(script.out!C:C,results.txt!$M1081)</f>
        <v>#N/A</v>
      </c>
      <c r="P1081" t="e">
        <f>INDEX(script.out!D:D,results.txt!$M1081)</f>
        <v>#N/A</v>
      </c>
      <c r="Q1081" t="e">
        <f>INDEX(script.out!E:E,results.txt!$M1081)</f>
        <v>#N/A</v>
      </c>
      <c r="R1081" t="e">
        <f>INDEX(script.out!F:F,results.txt!$M1081)</f>
        <v>#N/A</v>
      </c>
      <c r="S1081" t="e">
        <f>INDEX(script.out!G:G,results.txt!$M1081)</f>
        <v>#N/A</v>
      </c>
      <c r="T1081" t="e">
        <f>INDEX(script.out!H:H,results.txt!$M1081)</f>
        <v>#N/A</v>
      </c>
      <c r="U1081" t="e">
        <f>INDEX(script.out!I:I,results.txt!$M1081)</f>
        <v>#N/A</v>
      </c>
      <c r="V1081" t="e">
        <f>INDEX(script.out!J:J,results.txt!$M1081)</f>
        <v>#N/A</v>
      </c>
      <c r="W1081" t="e">
        <f>INDEX(script.out!K:K,results.txt!$M1081)</f>
        <v>#N/A</v>
      </c>
      <c r="X1081" t="e">
        <f>INDEX(script.out!L:L,results.txt!$M1081)</f>
        <v>#N/A</v>
      </c>
      <c r="Y1081" t="e">
        <f>INDEX(script.out!M:M,results.txt!$M1081)</f>
        <v>#N/A</v>
      </c>
      <c r="Z1081" t="e">
        <f>INDEX(script.out!N:N,results.txt!$M1081)</f>
        <v>#N/A</v>
      </c>
      <c r="AA1081" t="e">
        <f>INDEX(script.out!O:O,results.txt!$M1081)</f>
        <v>#N/A</v>
      </c>
      <c r="AB1081" t="e">
        <f>INDEX(script.out!P:P,results.txt!$M1081)</f>
        <v>#N/A</v>
      </c>
      <c r="AC1081" t="e">
        <f>INDEX(script.out!Q:Q,results.txt!$M1081)</f>
        <v>#N/A</v>
      </c>
      <c r="AD1081">
        <f t="shared" si="17"/>
        <v>0</v>
      </c>
    </row>
    <row r="1082" spans="13:30" x14ac:dyDescent="0.25">
      <c r="M1082" t="e">
        <f>MATCH(C1082,script.out!B:B,0)</f>
        <v>#N/A</v>
      </c>
      <c r="N1082" t="e">
        <f>INDEX(script.out!B:B,results.txt!$M1082)</f>
        <v>#N/A</v>
      </c>
      <c r="O1082" t="e">
        <f>INDEX(script.out!C:C,results.txt!$M1082)</f>
        <v>#N/A</v>
      </c>
      <c r="P1082" t="e">
        <f>INDEX(script.out!D:D,results.txt!$M1082)</f>
        <v>#N/A</v>
      </c>
      <c r="Q1082" t="e">
        <f>INDEX(script.out!E:E,results.txt!$M1082)</f>
        <v>#N/A</v>
      </c>
      <c r="R1082" t="e">
        <f>INDEX(script.out!F:F,results.txt!$M1082)</f>
        <v>#N/A</v>
      </c>
      <c r="S1082" t="e">
        <f>INDEX(script.out!G:G,results.txt!$M1082)</f>
        <v>#N/A</v>
      </c>
      <c r="T1082" t="e">
        <f>INDEX(script.out!H:H,results.txt!$M1082)</f>
        <v>#N/A</v>
      </c>
      <c r="U1082" t="e">
        <f>INDEX(script.out!I:I,results.txt!$M1082)</f>
        <v>#N/A</v>
      </c>
      <c r="V1082" t="e">
        <f>INDEX(script.out!J:J,results.txt!$M1082)</f>
        <v>#N/A</v>
      </c>
      <c r="W1082" t="e">
        <f>INDEX(script.out!K:K,results.txt!$M1082)</f>
        <v>#N/A</v>
      </c>
      <c r="X1082" t="e">
        <f>INDEX(script.out!L:L,results.txt!$M1082)</f>
        <v>#N/A</v>
      </c>
      <c r="Y1082" t="e">
        <f>INDEX(script.out!M:M,results.txt!$M1082)</f>
        <v>#N/A</v>
      </c>
      <c r="Z1082" t="e">
        <f>INDEX(script.out!N:N,results.txt!$M1082)</f>
        <v>#N/A</v>
      </c>
      <c r="AA1082" t="e">
        <f>INDEX(script.out!O:O,results.txt!$M1082)</f>
        <v>#N/A</v>
      </c>
      <c r="AB1082" t="e">
        <f>INDEX(script.out!P:P,results.txt!$M1082)</f>
        <v>#N/A</v>
      </c>
      <c r="AC1082" t="e">
        <f>INDEX(script.out!Q:Q,results.txt!$M1082)</f>
        <v>#N/A</v>
      </c>
      <c r="AD1082">
        <f t="shared" si="17"/>
        <v>0</v>
      </c>
    </row>
    <row r="1083" spans="13:30" x14ac:dyDescent="0.25">
      <c r="M1083" t="e">
        <f>MATCH(C1083,script.out!B:B,0)</f>
        <v>#N/A</v>
      </c>
      <c r="N1083" t="e">
        <f>INDEX(script.out!B:B,results.txt!$M1083)</f>
        <v>#N/A</v>
      </c>
      <c r="O1083" t="e">
        <f>INDEX(script.out!C:C,results.txt!$M1083)</f>
        <v>#N/A</v>
      </c>
      <c r="P1083" t="e">
        <f>INDEX(script.out!D:D,results.txt!$M1083)</f>
        <v>#N/A</v>
      </c>
      <c r="Q1083" t="e">
        <f>INDEX(script.out!E:E,results.txt!$M1083)</f>
        <v>#N/A</v>
      </c>
      <c r="R1083" t="e">
        <f>INDEX(script.out!F:F,results.txt!$M1083)</f>
        <v>#N/A</v>
      </c>
      <c r="S1083" t="e">
        <f>INDEX(script.out!G:G,results.txt!$M1083)</f>
        <v>#N/A</v>
      </c>
      <c r="T1083" t="e">
        <f>INDEX(script.out!H:H,results.txt!$M1083)</f>
        <v>#N/A</v>
      </c>
      <c r="U1083" t="e">
        <f>INDEX(script.out!I:I,results.txt!$M1083)</f>
        <v>#N/A</v>
      </c>
      <c r="V1083" t="e">
        <f>INDEX(script.out!J:J,results.txt!$M1083)</f>
        <v>#N/A</v>
      </c>
      <c r="W1083" t="e">
        <f>INDEX(script.out!K:K,results.txt!$M1083)</f>
        <v>#N/A</v>
      </c>
      <c r="X1083" t="e">
        <f>INDEX(script.out!L:L,results.txt!$M1083)</f>
        <v>#N/A</v>
      </c>
      <c r="Y1083" t="e">
        <f>INDEX(script.out!M:M,results.txt!$M1083)</f>
        <v>#N/A</v>
      </c>
      <c r="Z1083" t="e">
        <f>INDEX(script.out!N:N,results.txt!$M1083)</f>
        <v>#N/A</v>
      </c>
      <c r="AA1083" t="e">
        <f>INDEX(script.out!O:O,results.txt!$M1083)</f>
        <v>#N/A</v>
      </c>
      <c r="AB1083" t="e">
        <f>INDEX(script.out!P:P,results.txt!$M1083)</f>
        <v>#N/A</v>
      </c>
      <c r="AC1083" t="e">
        <f>INDEX(script.out!Q:Q,results.txt!$M1083)</f>
        <v>#N/A</v>
      </c>
      <c r="AD1083">
        <f t="shared" si="17"/>
        <v>0</v>
      </c>
    </row>
    <row r="1084" spans="13:30" x14ac:dyDescent="0.25">
      <c r="M1084" t="e">
        <f>MATCH(C1084,script.out!B:B,0)</f>
        <v>#N/A</v>
      </c>
      <c r="N1084" t="e">
        <f>INDEX(script.out!B:B,results.txt!$M1084)</f>
        <v>#N/A</v>
      </c>
      <c r="O1084" t="e">
        <f>INDEX(script.out!C:C,results.txt!$M1084)</f>
        <v>#N/A</v>
      </c>
      <c r="P1084" t="e">
        <f>INDEX(script.out!D:D,results.txt!$M1084)</f>
        <v>#N/A</v>
      </c>
      <c r="Q1084" t="e">
        <f>INDEX(script.out!E:E,results.txt!$M1084)</f>
        <v>#N/A</v>
      </c>
      <c r="R1084" t="e">
        <f>INDEX(script.out!F:F,results.txt!$M1084)</f>
        <v>#N/A</v>
      </c>
      <c r="S1084" t="e">
        <f>INDEX(script.out!G:G,results.txt!$M1084)</f>
        <v>#N/A</v>
      </c>
      <c r="T1084" t="e">
        <f>INDEX(script.out!H:H,results.txt!$M1084)</f>
        <v>#N/A</v>
      </c>
      <c r="U1084" t="e">
        <f>INDEX(script.out!I:I,results.txt!$M1084)</f>
        <v>#N/A</v>
      </c>
      <c r="V1084" t="e">
        <f>INDEX(script.out!J:J,results.txt!$M1084)</f>
        <v>#N/A</v>
      </c>
      <c r="W1084" t="e">
        <f>INDEX(script.out!K:K,results.txt!$M1084)</f>
        <v>#N/A</v>
      </c>
      <c r="X1084" t="e">
        <f>INDEX(script.out!L:L,results.txt!$M1084)</f>
        <v>#N/A</v>
      </c>
      <c r="Y1084" t="e">
        <f>INDEX(script.out!M:M,results.txt!$M1084)</f>
        <v>#N/A</v>
      </c>
      <c r="Z1084" t="e">
        <f>INDEX(script.out!N:N,results.txt!$M1084)</f>
        <v>#N/A</v>
      </c>
      <c r="AA1084" t="e">
        <f>INDEX(script.out!O:O,results.txt!$M1084)</f>
        <v>#N/A</v>
      </c>
      <c r="AB1084" t="e">
        <f>INDEX(script.out!P:P,results.txt!$M1084)</f>
        <v>#N/A</v>
      </c>
      <c r="AC1084" t="e">
        <f>INDEX(script.out!Q:Q,results.txt!$M1084)</f>
        <v>#N/A</v>
      </c>
      <c r="AD1084">
        <f t="shared" si="17"/>
        <v>0</v>
      </c>
    </row>
    <row r="1085" spans="13:30" x14ac:dyDescent="0.25">
      <c r="M1085" t="e">
        <f>MATCH(C1085,script.out!B:B,0)</f>
        <v>#N/A</v>
      </c>
      <c r="N1085" t="e">
        <f>INDEX(script.out!B:B,results.txt!$M1085)</f>
        <v>#N/A</v>
      </c>
      <c r="O1085" t="e">
        <f>INDEX(script.out!C:C,results.txt!$M1085)</f>
        <v>#N/A</v>
      </c>
      <c r="P1085" t="e">
        <f>INDEX(script.out!D:D,results.txt!$M1085)</f>
        <v>#N/A</v>
      </c>
      <c r="Q1085" t="e">
        <f>INDEX(script.out!E:E,results.txt!$M1085)</f>
        <v>#N/A</v>
      </c>
      <c r="R1085" t="e">
        <f>INDEX(script.out!F:F,results.txt!$M1085)</f>
        <v>#N/A</v>
      </c>
      <c r="S1085" t="e">
        <f>INDEX(script.out!G:G,results.txt!$M1085)</f>
        <v>#N/A</v>
      </c>
      <c r="T1085" t="e">
        <f>INDEX(script.out!H:H,results.txt!$M1085)</f>
        <v>#N/A</v>
      </c>
      <c r="U1085" t="e">
        <f>INDEX(script.out!I:I,results.txt!$M1085)</f>
        <v>#N/A</v>
      </c>
      <c r="V1085" t="e">
        <f>INDEX(script.out!J:J,results.txt!$M1085)</f>
        <v>#N/A</v>
      </c>
      <c r="W1085" t="e">
        <f>INDEX(script.out!K:K,results.txt!$M1085)</f>
        <v>#N/A</v>
      </c>
      <c r="X1085" t="e">
        <f>INDEX(script.out!L:L,results.txt!$M1085)</f>
        <v>#N/A</v>
      </c>
      <c r="Y1085" t="e">
        <f>INDEX(script.out!M:M,results.txt!$M1085)</f>
        <v>#N/A</v>
      </c>
      <c r="Z1085" t="e">
        <f>INDEX(script.out!N:N,results.txt!$M1085)</f>
        <v>#N/A</v>
      </c>
      <c r="AA1085" t="e">
        <f>INDEX(script.out!O:O,results.txt!$M1085)</f>
        <v>#N/A</v>
      </c>
      <c r="AB1085" t="e">
        <f>INDEX(script.out!P:P,results.txt!$M1085)</f>
        <v>#N/A</v>
      </c>
      <c r="AC1085" t="e">
        <f>INDEX(script.out!Q:Q,results.txt!$M1085)</f>
        <v>#N/A</v>
      </c>
      <c r="AD1085">
        <f t="shared" si="17"/>
        <v>0</v>
      </c>
    </row>
    <row r="1086" spans="13:30" x14ac:dyDescent="0.25">
      <c r="M1086" t="e">
        <f>MATCH(C1086,script.out!B:B,0)</f>
        <v>#N/A</v>
      </c>
      <c r="N1086" t="e">
        <f>INDEX(script.out!B:B,results.txt!$M1086)</f>
        <v>#N/A</v>
      </c>
      <c r="O1086" t="e">
        <f>INDEX(script.out!C:C,results.txt!$M1086)</f>
        <v>#N/A</v>
      </c>
      <c r="P1086" t="e">
        <f>INDEX(script.out!D:D,results.txt!$M1086)</f>
        <v>#N/A</v>
      </c>
      <c r="Q1086" t="e">
        <f>INDEX(script.out!E:E,results.txt!$M1086)</f>
        <v>#N/A</v>
      </c>
      <c r="R1086" t="e">
        <f>INDEX(script.out!F:F,results.txt!$M1086)</f>
        <v>#N/A</v>
      </c>
      <c r="S1086" t="e">
        <f>INDEX(script.out!G:G,results.txt!$M1086)</f>
        <v>#N/A</v>
      </c>
      <c r="T1086" t="e">
        <f>INDEX(script.out!H:H,results.txt!$M1086)</f>
        <v>#N/A</v>
      </c>
      <c r="U1086" t="e">
        <f>INDEX(script.out!I:I,results.txt!$M1086)</f>
        <v>#N/A</v>
      </c>
      <c r="V1086" t="e">
        <f>INDEX(script.out!J:J,results.txt!$M1086)</f>
        <v>#N/A</v>
      </c>
      <c r="W1086" t="e">
        <f>INDEX(script.out!K:K,results.txt!$M1086)</f>
        <v>#N/A</v>
      </c>
      <c r="X1086" t="e">
        <f>INDEX(script.out!L:L,results.txt!$M1086)</f>
        <v>#N/A</v>
      </c>
      <c r="Y1086" t="e">
        <f>INDEX(script.out!M:M,results.txt!$M1086)</f>
        <v>#N/A</v>
      </c>
      <c r="Z1086" t="e">
        <f>INDEX(script.out!N:N,results.txt!$M1086)</f>
        <v>#N/A</v>
      </c>
      <c r="AA1086" t="e">
        <f>INDEX(script.out!O:O,results.txt!$M1086)</f>
        <v>#N/A</v>
      </c>
      <c r="AB1086" t="e">
        <f>INDEX(script.out!P:P,results.txt!$M1086)</f>
        <v>#N/A</v>
      </c>
      <c r="AC1086" t="e">
        <f>INDEX(script.out!Q:Q,results.txt!$M1086)</f>
        <v>#N/A</v>
      </c>
      <c r="AD1086">
        <f t="shared" si="17"/>
        <v>0</v>
      </c>
    </row>
    <row r="1087" spans="13:30" x14ac:dyDescent="0.25">
      <c r="M1087" t="e">
        <f>MATCH(C1087,script.out!B:B,0)</f>
        <v>#N/A</v>
      </c>
      <c r="N1087" t="e">
        <f>INDEX(script.out!B:B,results.txt!$M1087)</f>
        <v>#N/A</v>
      </c>
      <c r="O1087" t="e">
        <f>INDEX(script.out!C:C,results.txt!$M1087)</f>
        <v>#N/A</v>
      </c>
      <c r="P1087" t="e">
        <f>INDEX(script.out!D:D,results.txt!$M1087)</f>
        <v>#N/A</v>
      </c>
      <c r="Q1087" t="e">
        <f>INDEX(script.out!E:E,results.txt!$M1087)</f>
        <v>#N/A</v>
      </c>
      <c r="R1087" t="e">
        <f>INDEX(script.out!F:F,results.txt!$M1087)</f>
        <v>#N/A</v>
      </c>
      <c r="S1087" t="e">
        <f>INDEX(script.out!G:G,results.txt!$M1087)</f>
        <v>#N/A</v>
      </c>
      <c r="T1087" t="e">
        <f>INDEX(script.out!H:H,results.txt!$M1087)</f>
        <v>#N/A</v>
      </c>
      <c r="U1087" t="e">
        <f>INDEX(script.out!I:I,results.txt!$M1087)</f>
        <v>#N/A</v>
      </c>
      <c r="V1087" t="e">
        <f>INDEX(script.out!J:J,results.txt!$M1087)</f>
        <v>#N/A</v>
      </c>
      <c r="W1087" t="e">
        <f>INDEX(script.out!K:K,results.txt!$M1087)</f>
        <v>#N/A</v>
      </c>
      <c r="X1087" t="e">
        <f>INDEX(script.out!L:L,results.txt!$M1087)</f>
        <v>#N/A</v>
      </c>
      <c r="Y1087" t="e">
        <f>INDEX(script.out!M:M,results.txt!$M1087)</f>
        <v>#N/A</v>
      </c>
      <c r="Z1087" t="e">
        <f>INDEX(script.out!N:N,results.txt!$M1087)</f>
        <v>#N/A</v>
      </c>
      <c r="AA1087" t="e">
        <f>INDEX(script.out!O:O,results.txt!$M1087)</f>
        <v>#N/A</v>
      </c>
      <c r="AB1087" t="e">
        <f>INDEX(script.out!P:P,results.txt!$M1087)</f>
        <v>#N/A</v>
      </c>
      <c r="AC1087" t="e">
        <f>INDEX(script.out!Q:Q,results.txt!$M1087)</f>
        <v>#N/A</v>
      </c>
      <c r="AD1087">
        <f t="shared" si="17"/>
        <v>0</v>
      </c>
    </row>
    <row r="1088" spans="13:30" x14ac:dyDescent="0.25">
      <c r="M1088" t="e">
        <f>MATCH(C1088,script.out!B:B,0)</f>
        <v>#N/A</v>
      </c>
      <c r="N1088" t="e">
        <f>INDEX(script.out!B:B,results.txt!$M1088)</f>
        <v>#N/A</v>
      </c>
      <c r="O1088" t="e">
        <f>INDEX(script.out!C:C,results.txt!$M1088)</f>
        <v>#N/A</v>
      </c>
      <c r="P1088" t="e">
        <f>INDEX(script.out!D:D,results.txt!$M1088)</f>
        <v>#N/A</v>
      </c>
      <c r="Q1088" t="e">
        <f>INDEX(script.out!E:E,results.txt!$M1088)</f>
        <v>#N/A</v>
      </c>
      <c r="R1088" t="e">
        <f>INDEX(script.out!F:F,results.txt!$M1088)</f>
        <v>#N/A</v>
      </c>
      <c r="S1088" t="e">
        <f>INDEX(script.out!G:G,results.txt!$M1088)</f>
        <v>#N/A</v>
      </c>
      <c r="T1088" t="e">
        <f>INDEX(script.out!H:H,results.txt!$M1088)</f>
        <v>#N/A</v>
      </c>
      <c r="U1088" t="e">
        <f>INDEX(script.out!I:I,results.txt!$M1088)</f>
        <v>#N/A</v>
      </c>
      <c r="V1088" t="e">
        <f>INDEX(script.out!J:J,results.txt!$M1088)</f>
        <v>#N/A</v>
      </c>
      <c r="W1088" t="e">
        <f>INDEX(script.out!K:K,results.txt!$M1088)</f>
        <v>#N/A</v>
      </c>
      <c r="X1088" t="e">
        <f>INDEX(script.out!L:L,results.txt!$M1088)</f>
        <v>#N/A</v>
      </c>
      <c r="Y1088" t="e">
        <f>INDEX(script.out!M:M,results.txt!$M1088)</f>
        <v>#N/A</v>
      </c>
      <c r="Z1088" t="e">
        <f>INDEX(script.out!N:N,results.txt!$M1088)</f>
        <v>#N/A</v>
      </c>
      <c r="AA1088" t="e">
        <f>INDEX(script.out!O:O,results.txt!$M1088)</f>
        <v>#N/A</v>
      </c>
      <c r="AB1088" t="e">
        <f>INDEX(script.out!P:P,results.txt!$M1088)</f>
        <v>#N/A</v>
      </c>
      <c r="AC1088" t="e">
        <f>INDEX(script.out!Q:Q,results.txt!$M1088)</f>
        <v>#N/A</v>
      </c>
      <c r="AD1088">
        <f t="shared" si="17"/>
        <v>0</v>
      </c>
    </row>
    <row r="1089" spans="13:30" x14ac:dyDescent="0.25">
      <c r="M1089" t="e">
        <f>MATCH(C1089,script.out!B:B,0)</f>
        <v>#N/A</v>
      </c>
      <c r="N1089" t="e">
        <f>INDEX(script.out!B:B,results.txt!$M1089)</f>
        <v>#N/A</v>
      </c>
      <c r="O1089" t="e">
        <f>INDEX(script.out!C:C,results.txt!$M1089)</f>
        <v>#N/A</v>
      </c>
      <c r="P1089" t="e">
        <f>INDEX(script.out!D:D,results.txt!$M1089)</f>
        <v>#N/A</v>
      </c>
      <c r="Q1089" t="e">
        <f>INDEX(script.out!E:E,results.txt!$M1089)</f>
        <v>#N/A</v>
      </c>
      <c r="R1089" t="e">
        <f>INDEX(script.out!F:F,results.txt!$M1089)</f>
        <v>#N/A</v>
      </c>
      <c r="S1089" t="e">
        <f>INDEX(script.out!G:G,results.txt!$M1089)</f>
        <v>#N/A</v>
      </c>
      <c r="T1089" t="e">
        <f>INDEX(script.out!H:H,results.txt!$M1089)</f>
        <v>#N/A</v>
      </c>
      <c r="U1089" t="e">
        <f>INDEX(script.out!I:I,results.txt!$M1089)</f>
        <v>#N/A</v>
      </c>
      <c r="V1089" t="e">
        <f>INDEX(script.out!J:J,results.txt!$M1089)</f>
        <v>#N/A</v>
      </c>
      <c r="W1089" t="e">
        <f>INDEX(script.out!K:K,results.txt!$M1089)</f>
        <v>#N/A</v>
      </c>
      <c r="X1089" t="e">
        <f>INDEX(script.out!L:L,results.txt!$M1089)</f>
        <v>#N/A</v>
      </c>
      <c r="Y1089" t="e">
        <f>INDEX(script.out!M:M,results.txt!$M1089)</f>
        <v>#N/A</v>
      </c>
      <c r="Z1089" t="e">
        <f>INDEX(script.out!N:N,results.txt!$M1089)</f>
        <v>#N/A</v>
      </c>
      <c r="AA1089" t="e">
        <f>INDEX(script.out!O:O,results.txt!$M1089)</f>
        <v>#N/A</v>
      </c>
      <c r="AB1089" t="e">
        <f>INDEX(script.out!P:P,results.txt!$M1089)</f>
        <v>#N/A</v>
      </c>
      <c r="AC1089" t="e">
        <f>INDEX(script.out!Q:Q,results.txt!$M1089)</f>
        <v>#N/A</v>
      </c>
      <c r="AD1089">
        <f t="shared" si="17"/>
        <v>0</v>
      </c>
    </row>
    <row r="1090" spans="13:30" x14ac:dyDescent="0.25">
      <c r="M1090" t="e">
        <f>MATCH(C1090,script.out!B:B,0)</f>
        <v>#N/A</v>
      </c>
      <c r="N1090" t="e">
        <f>INDEX(script.out!B:B,results.txt!$M1090)</f>
        <v>#N/A</v>
      </c>
      <c r="O1090" t="e">
        <f>INDEX(script.out!C:C,results.txt!$M1090)</f>
        <v>#N/A</v>
      </c>
      <c r="P1090" t="e">
        <f>INDEX(script.out!D:D,results.txt!$M1090)</f>
        <v>#N/A</v>
      </c>
      <c r="Q1090" t="e">
        <f>INDEX(script.out!E:E,results.txt!$M1090)</f>
        <v>#N/A</v>
      </c>
      <c r="R1090" t="e">
        <f>INDEX(script.out!F:F,results.txt!$M1090)</f>
        <v>#N/A</v>
      </c>
      <c r="S1090" t="e">
        <f>INDEX(script.out!G:G,results.txt!$M1090)</f>
        <v>#N/A</v>
      </c>
      <c r="T1090" t="e">
        <f>INDEX(script.out!H:H,results.txt!$M1090)</f>
        <v>#N/A</v>
      </c>
      <c r="U1090" t="e">
        <f>INDEX(script.out!I:I,results.txt!$M1090)</f>
        <v>#N/A</v>
      </c>
      <c r="V1090" t="e">
        <f>INDEX(script.out!J:J,results.txt!$M1090)</f>
        <v>#N/A</v>
      </c>
      <c r="W1090" t="e">
        <f>INDEX(script.out!K:K,results.txt!$M1090)</f>
        <v>#N/A</v>
      </c>
      <c r="X1090" t="e">
        <f>INDEX(script.out!L:L,results.txt!$M1090)</f>
        <v>#N/A</v>
      </c>
      <c r="Y1090" t="e">
        <f>INDEX(script.out!M:M,results.txt!$M1090)</f>
        <v>#N/A</v>
      </c>
      <c r="Z1090" t="e">
        <f>INDEX(script.out!N:N,results.txt!$M1090)</f>
        <v>#N/A</v>
      </c>
      <c r="AA1090" t="e">
        <f>INDEX(script.out!O:O,results.txt!$M1090)</f>
        <v>#N/A</v>
      </c>
      <c r="AB1090" t="e">
        <f>INDEX(script.out!P:P,results.txt!$M1090)</f>
        <v>#N/A</v>
      </c>
      <c r="AC1090" t="e">
        <f>INDEX(script.out!Q:Q,results.txt!$M1090)</f>
        <v>#N/A</v>
      </c>
      <c r="AD1090">
        <f t="shared" si="17"/>
        <v>0</v>
      </c>
    </row>
    <row r="1091" spans="13:30" x14ac:dyDescent="0.25">
      <c r="M1091" t="e">
        <f>MATCH(C1091,script.out!B:B,0)</f>
        <v>#N/A</v>
      </c>
      <c r="N1091" t="e">
        <f>INDEX(script.out!B:B,results.txt!$M1091)</f>
        <v>#N/A</v>
      </c>
      <c r="O1091" t="e">
        <f>INDEX(script.out!C:C,results.txt!$M1091)</f>
        <v>#N/A</v>
      </c>
      <c r="P1091" t="e">
        <f>INDEX(script.out!D:D,results.txt!$M1091)</f>
        <v>#N/A</v>
      </c>
      <c r="Q1091" t="e">
        <f>INDEX(script.out!E:E,results.txt!$M1091)</f>
        <v>#N/A</v>
      </c>
      <c r="R1091" t="e">
        <f>INDEX(script.out!F:F,results.txt!$M1091)</f>
        <v>#N/A</v>
      </c>
      <c r="S1091" t="e">
        <f>INDEX(script.out!G:G,results.txt!$M1091)</f>
        <v>#N/A</v>
      </c>
      <c r="T1091" t="e">
        <f>INDEX(script.out!H:H,results.txt!$M1091)</f>
        <v>#N/A</v>
      </c>
      <c r="U1091" t="e">
        <f>INDEX(script.out!I:I,results.txt!$M1091)</f>
        <v>#N/A</v>
      </c>
      <c r="V1091" t="e">
        <f>INDEX(script.out!J:J,results.txt!$M1091)</f>
        <v>#N/A</v>
      </c>
      <c r="W1091" t="e">
        <f>INDEX(script.out!K:K,results.txt!$M1091)</f>
        <v>#N/A</v>
      </c>
      <c r="X1091" t="e">
        <f>INDEX(script.out!L:L,results.txt!$M1091)</f>
        <v>#N/A</v>
      </c>
      <c r="Y1091" t="e">
        <f>INDEX(script.out!M:M,results.txt!$M1091)</f>
        <v>#N/A</v>
      </c>
      <c r="Z1091" t="e">
        <f>INDEX(script.out!N:N,results.txt!$M1091)</f>
        <v>#N/A</v>
      </c>
      <c r="AA1091" t="e">
        <f>INDEX(script.out!O:O,results.txt!$M1091)</f>
        <v>#N/A</v>
      </c>
      <c r="AB1091" t="e">
        <f>INDEX(script.out!P:P,results.txt!$M1091)</f>
        <v>#N/A</v>
      </c>
      <c r="AC1091" t="e">
        <f>INDEX(script.out!Q:Q,results.txt!$M1091)</f>
        <v>#N/A</v>
      </c>
      <c r="AD1091">
        <f t="shared" si="17"/>
        <v>0</v>
      </c>
    </row>
    <row r="1092" spans="13:30" x14ac:dyDescent="0.25">
      <c r="M1092" t="e">
        <f>MATCH(C1092,script.out!B:B,0)</f>
        <v>#N/A</v>
      </c>
      <c r="N1092" t="e">
        <f>INDEX(script.out!B:B,results.txt!$M1092)</f>
        <v>#N/A</v>
      </c>
      <c r="O1092" t="e">
        <f>INDEX(script.out!C:C,results.txt!$M1092)</f>
        <v>#N/A</v>
      </c>
      <c r="P1092" t="e">
        <f>INDEX(script.out!D:D,results.txt!$M1092)</f>
        <v>#N/A</v>
      </c>
      <c r="Q1092" t="e">
        <f>INDEX(script.out!E:E,results.txt!$M1092)</f>
        <v>#N/A</v>
      </c>
      <c r="R1092" t="e">
        <f>INDEX(script.out!F:F,results.txt!$M1092)</f>
        <v>#N/A</v>
      </c>
      <c r="S1092" t="e">
        <f>INDEX(script.out!G:G,results.txt!$M1092)</f>
        <v>#N/A</v>
      </c>
      <c r="T1092" t="e">
        <f>INDEX(script.out!H:H,results.txt!$M1092)</f>
        <v>#N/A</v>
      </c>
      <c r="U1092" t="e">
        <f>INDEX(script.out!I:I,results.txt!$M1092)</f>
        <v>#N/A</v>
      </c>
      <c r="V1092" t="e">
        <f>INDEX(script.out!J:J,results.txt!$M1092)</f>
        <v>#N/A</v>
      </c>
      <c r="W1092" t="e">
        <f>INDEX(script.out!K:K,results.txt!$M1092)</f>
        <v>#N/A</v>
      </c>
      <c r="X1092" t="e">
        <f>INDEX(script.out!L:L,results.txt!$M1092)</f>
        <v>#N/A</v>
      </c>
      <c r="Y1092" t="e">
        <f>INDEX(script.out!M:M,results.txt!$M1092)</f>
        <v>#N/A</v>
      </c>
      <c r="Z1092" t="e">
        <f>INDEX(script.out!N:N,results.txt!$M1092)</f>
        <v>#N/A</v>
      </c>
      <c r="AA1092" t="e">
        <f>INDEX(script.out!O:O,results.txt!$M1092)</f>
        <v>#N/A</v>
      </c>
      <c r="AB1092" t="e">
        <f>INDEX(script.out!P:P,results.txt!$M1092)</f>
        <v>#N/A</v>
      </c>
      <c r="AC1092" t="e">
        <f>INDEX(script.out!Q:Q,results.txt!$M1092)</f>
        <v>#N/A</v>
      </c>
      <c r="AD1092">
        <f t="shared" si="17"/>
        <v>0</v>
      </c>
    </row>
  </sheetData>
  <autoFilter ref="A1:K63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3"/>
  <dimension ref="A1:AF121"/>
  <sheetViews>
    <sheetView topLeftCell="L1" zoomScale="70" zoomScaleNormal="70" workbookViewId="0">
      <selection activeCell="AF1" sqref="AF1"/>
    </sheetView>
  </sheetViews>
  <sheetFormatPr baseColWidth="10" defaultColWidth="11.28515625" defaultRowHeight="15" x14ac:dyDescent="0.25"/>
  <cols>
    <col min="1" max="1" width="11.5703125" hidden="1" customWidth="1"/>
    <col min="2" max="2" width="4.5703125" hidden="1" customWidth="1"/>
    <col min="3" max="3" width="11.140625" hidden="1" customWidth="1"/>
    <col min="4" max="4" width="15.85546875" hidden="1" customWidth="1"/>
    <col min="5" max="5" width="11.140625" hidden="1" customWidth="1"/>
    <col min="6" max="6" width="4.5703125" hidden="1" customWidth="1"/>
    <col min="7" max="7" width="13.5703125" hidden="1" customWidth="1"/>
    <col min="8" max="8" width="7.42578125" hidden="1" customWidth="1"/>
    <col min="9" max="9" width="10" hidden="1" customWidth="1"/>
    <col min="10" max="10" width="22.5703125" hidden="1" customWidth="1"/>
    <col min="11" max="11" width="3" hidden="1" customWidth="1"/>
    <col min="12" max="12" width="8.85546875" customWidth="1"/>
    <col min="13" max="13" width="10.42578125" customWidth="1"/>
    <col min="14" max="14" width="16" bestFit="1" customWidth="1"/>
    <col min="15" max="15" width="15.85546875" bestFit="1" customWidth="1"/>
    <col min="16" max="16" width="16" bestFit="1" customWidth="1"/>
    <col min="17" max="17" width="14.85546875" bestFit="1" customWidth="1"/>
    <col min="18" max="18" width="7.42578125" bestFit="1" customWidth="1"/>
    <col min="19" max="19" width="14.85546875" bestFit="1" customWidth="1"/>
    <col min="20" max="20" width="6" bestFit="1" customWidth="1"/>
    <col min="21" max="21" width="10.5703125" customWidth="1"/>
    <col min="22" max="22" width="13.5703125" bestFit="1" customWidth="1"/>
    <col min="23" max="23" width="12.42578125" bestFit="1" customWidth="1"/>
    <col min="24" max="25" width="6" bestFit="1" customWidth="1"/>
    <col min="26" max="26" width="14.85546875" bestFit="1" customWidth="1"/>
    <col min="27" max="27" width="6.28515625" bestFit="1" customWidth="1"/>
    <col min="28" max="28" width="10" bestFit="1" customWidth="1"/>
    <col min="29" max="29" width="6" bestFit="1" customWidth="1"/>
    <col min="30" max="30" width="10.28515625" bestFit="1" customWidth="1"/>
  </cols>
  <sheetData>
    <row r="1" spans="1:3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 t="str">
        <f>graph_data!N1</f>
        <v>$ALPHAVAR</v>
      </c>
      <c r="O1" s="1" t="str">
        <f>graph_data!O1</f>
        <v>$HCVAR</v>
      </c>
      <c r="P1" s="1" t="str">
        <f>graph_data!P1</f>
        <v>$PNUCLVAR</v>
      </c>
      <c r="Q1" s="1" t="str">
        <f>graph_data!Q1</f>
        <v>$f1</v>
      </c>
      <c r="R1" s="1" t="str">
        <f>graph_data!R1</f>
        <v>$f2</v>
      </c>
      <c r="S1" s="1" t="str">
        <f>graph_data!S1</f>
        <v>$f3</v>
      </c>
      <c r="T1" s="1" t="str">
        <f>graph_data!T1</f>
        <v>{</v>
      </c>
      <c r="U1" s="1" t="str">
        <f>graph_data!U1</f>
        <v>ALPHA (E1/E2)</v>
      </c>
      <c r="V1" s="1" t="str">
        <f>graph_data!V1</f>
        <v>Hauteur Coeur (cm)</v>
      </c>
      <c r="W1" s="1" t="str">
        <f>graph_data!W1</f>
        <v>Puiss. Nucl. (MWth)</v>
      </c>
      <c r="X1" s="1" t="str">
        <f>graph_data!X1</f>
        <v>}</v>
      </c>
      <c r="Y1" s="1" t="str">
        <f>graph_data!Y1</f>
        <v>{</v>
      </c>
      <c r="Z1" s="1" t="str">
        <f>graph_data!Z1</f>
        <v>Masse coeur (t)</v>
      </c>
      <c r="AA1" s="1" t="str">
        <f>graph_data!AA1</f>
        <v>Emoy (%)</v>
      </c>
      <c r="AB1" s="1" t="str">
        <f>graph_data!AB1</f>
        <v>Tcycle (j)</v>
      </c>
      <c r="AC1" s="1" t="str">
        <f>graph_data!AC1</f>
        <v>}</v>
      </c>
      <c r="AD1" s="1" t="str">
        <f>graph_data!AD1</f>
        <v>couleur</v>
      </c>
      <c r="AE1" s="1" t="str">
        <f>graph_data!AE1</f>
        <v>BurnUp (MWj/t)</v>
      </c>
      <c r="AF1" s="1" t="str">
        <f>graph_data!AF1</f>
        <v>Puiss. Vol. (MWth/m3)</v>
      </c>
    </row>
    <row r="2" spans="1:32" x14ac:dyDescent="0.25">
      <c r="M2" t="s">
        <v>37</v>
      </c>
      <c r="N2">
        <f t="array" ref="N2">MIN(IF(ISNUMBER(graph_data!N$2:N$999),graph_data!N$2:N$999))</f>
        <v>3.0988000000000002E-2</v>
      </c>
      <c r="O2">
        <f t="array" ref="O2">MIN(IF(ISNUMBER(graph_data!O$2:O$999),graph_data!O$2:O$999))</f>
        <v>-3.8701399999999997E-2</v>
      </c>
      <c r="P2">
        <f t="array" ref="P2">MIN(IF(ISNUMBER(graph_data!P$2:P$999),graph_data!P$2:P$999))</f>
        <v>5.9854200000000003E-2</v>
      </c>
      <c r="Q2">
        <f t="array" ref="Q2">MIN(IF(ISNUMBER(graph_data!Q$2:Q$999),graph_data!Q$2:Q$999))</f>
        <v>1.05896649895015E-5</v>
      </c>
      <c r="R2">
        <f t="array" ref="R2">MIN(IF(ISNUMBER(graph_data!R$2:R$999),graph_data!R$2:R$999))</f>
        <v>25</v>
      </c>
      <c r="S2">
        <f t="array" ref="S2">MIN(IF(ISNUMBER(graph_data!S$2:S$999),graph_data!S$2:S$999))</f>
        <v>3.3694877087633702E-6</v>
      </c>
      <c r="U2">
        <f t="array" ref="U2">MIN(IF(ISNUMBER(graph_data!U$2:U$999),graph_data!U$2:U$999))</f>
        <v>0.32479000000000002</v>
      </c>
      <c r="V2">
        <f t="array" ref="V2">MIN(IF(ISNUMBER(graph_data!V$2:V$999),graph_data!V$2:V$999))</f>
        <v>80.649299999999997</v>
      </c>
      <c r="W2">
        <f t="array" ref="W2">MIN(IF(ISNUMBER(graph_data!W$2:W$999),graph_data!W$2:W$999))</f>
        <v>45.313977999999999</v>
      </c>
      <c r="Z2">
        <f t="array" ref="Z2">MIN(IF(ISNUMBER(graph_data!Z$2:Z$999),graph_data!Z$2:Z$999))</f>
        <v>9.6641129171943998</v>
      </c>
      <c r="AA2">
        <f t="array" ref="AA2">MIN(IF(ISNUMBER(graph_data!AA$2:AA$999),graph_data!AA$2:AA$999))</f>
        <v>13</v>
      </c>
      <c r="AB2">
        <f t="array" ref="AB2">MIN(IF(ISNUMBER(graph_data!AB$2:AB$999),graph_data!AB$2:AB$999))</f>
        <v>997.10900000000004</v>
      </c>
      <c r="AE2">
        <f t="array" ref="AE2">MIN(IF(ISNUMBER(graph_data!AE$2:AE$999),graph_data!AE$2:AE$999))</f>
        <v>27485.922286101333</v>
      </c>
      <c r="AF2">
        <f t="array" ref="AF2">MIN(IF(ISNUMBER(graph_data!AF$2:AF$999),graph_data!AF$2:AF$999))</f>
        <v>13.859402049865022</v>
      </c>
    </row>
    <row r="3" spans="1:32" x14ac:dyDescent="0.25">
      <c r="G3" s="2"/>
      <c r="M3" t="s">
        <v>38</v>
      </c>
      <c r="N3">
        <f t="array" ref="N3">MAX(IF(ISNUMBER(graph_data!N$2:N$999),graph_data!N$2:N$999))</f>
        <v>1.1841200000000001</v>
      </c>
      <c r="O3">
        <f t="array" ref="O3">MAX(IF(ISNUMBER(graph_data!O$2:O$999),graph_data!O$2:O$999))</f>
        <v>0.37607299999999999</v>
      </c>
      <c r="P3">
        <f t="array" ref="P3">MAX(IF(ISNUMBER(graph_data!P$2:P$999),graph_data!P$2:P$999))</f>
        <v>0.77599300000000004</v>
      </c>
      <c r="Q3">
        <f t="array" ref="Q3">MAX(IF(ISNUMBER(graph_data!Q$2:Q$999),graph_data!Q$2:Q$999))</f>
        <v>600.98928044220099</v>
      </c>
      <c r="R3">
        <f t="array" ref="R3">MAX(IF(ISNUMBER(graph_data!R$2:R$999),graph_data!R$2:R$999))</f>
        <v>144</v>
      </c>
      <c r="S3">
        <f t="array" ref="S3">MAX(IF(ISNUMBER(graph_data!S$2:S$999),graph_data!S$2:S$999))</f>
        <v>298.19054199948198</v>
      </c>
      <c r="U3">
        <f t="array" ref="U3">MAX(IF(ISNUMBER(graph_data!U$2:U$999),graph_data!U$2:U$999))</f>
        <v>1.24729</v>
      </c>
      <c r="V3">
        <f t="array" ref="V3">MAX(IF(ISNUMBER(graph_data!V$2:V$999),graph_data!V$2:V$999))</f>
        <v>288.03649999999999</v>
      </c>
      <c r="W3">
        <f t="array" ref="W3">MAX(IF(ISNUMBER(graph_data!W$2:W$999),graph_data!W$2:W$999))</f>
        <v>467.83587</v>
      </c>
      <c r="Z3">
        <f t="array" ref="Z3">MAX(IF(ISNUMBER(graph_data!Z$2:Z$999),graph_data!Z$2:Z$999))</f>
        <v>34.515082713346096</v>
      </c>
      <c r="AA3">
        <f t="array" ref="AA3">MAX(IF(ISNUMBER(graph_data!AA$2:AA$999),graph_data!AA$2:AA$999))</f>
        <v>20</v>
      </c>
      <c r="AB3">
        <f t="array" ref="AB3">MAX(IF(ISNUMBER(graph_data!AB$2:AB$999),graph_data!AB$2:AB$999))</f>
        <v>8356.58</v>
      </c>
      <c r="AE3">
        <f t="array" ref="AE3">MAX(IF(ISNUMBER(graph_data!AE$2:AE$999),graph_data!AE$2:AE$999))</f>
        <v>80469.895365222575</v>
      </c>
      <c r="AF3">
        <f t="array" ref="AF3">MAX(IF(ISNUMBER(graph_data!AF$2:AF$999),graph_data!AF$2:AF$999))</f>
        <v>155.76686402833684</v>
      </c>
    </row>
    <row r="4" spans="1:32" x14ac:dyDescent="0.25">
      <c r="M4" t="s">
        <v>39</v>
      </c>
      <c r="N4">
        <f>ROUNDDOWN(N2,1/(N3-N2))</f>
        <v>0</v>
      </c>
      <c r="O4">
        <f t="shared" ref="O4:AA4" si="0">ROUNDDOWN(O2,1/(O3-O2))</f>
        <v>-0.03</v>
      </c>
      <c r="P4">
        <f t="shared" si="0"/>
        <v>0</v>
      </c>
      <c r="Q4">
        <f t="shared" si="0"/>
        <v>0</v>
      </c>
      <c r="R4">
        <f t="shared" si="0"/>
        <v>25</v>
      </c>
      <c r="S4">
        <f t="shared" si="0"/>
        <v>0</v>
      </c>
      <c r="T4" t="e">
        <f t="shared" si="0"/>
        <v>#DIV/0!</v>
      </c>
      <c r="U4">
        <f t="shared" si="0"/>
        <v>0.3</v>
      </c>
      <c r="V4">
        <f t="shared" si="0"/>
        <v>80</v>
      </c>
      <c r="W4">
        <f t="shared" si="0"/>
        <v>45</v>
      </c>
      <c r="X4" t="e">
        <f t="shared" si="0"/>
        <v>#DIV/0!</v>
      </c>
      <c r="Y4" t="e">
        <f t="shared" si="0"/>
        <v>#DIV/0!</v>
      </c>
      <c r="Z4">
        <f t="shared" si="0"/>
        <v>9</v>
      </c>
      <c r="AA4">
        <f t="shared" si="0"/>
        <v>13</v>
      </c>
      <c r="AB4">
        <f>ROUNDDOWN(AB2,1/(AB3-AB2))</f>
        <v>997</v>
      </c>
      <c r="AE4">
        <f>ROUNDDOWN(AE2,1/(AE3-AE2))</f>
        <v>27485</v>
      </c>
      <c r="AF4">
        <f>ROUNDDOWN(AF2,1/(AF3-AF2))</f>
        <v>13</v>
      </c>
    </row>
    <row r="5" spans="1:32" x14ac:dyDescent="0.25">
      <c r="M5" t="s">
        <v>40</v>
      </c>
      <c r="N5">
        <f>ROUNDUP(N3,1/(N3-N2))</f>
        <v>2</v>
      </c>
      <c r="O5">
        <f t="shared" ref="O5:AA5" si="1">ROUNDUP(O3,1/(O3-O2))</f>
        <v>0.38</v>
      </c>
      <c r="P5">
        <f t="shared" si="1"/>
        <v>0.79999999999999993</v>
      </c>
      <c r="Q5">
        <f t="shared" si="1"/>
        <v>601</v>
      </c>
      <c r="R5">
        <f t="shared" si="1"/>
        <v>144</v>
      </c>
      <c r="S5">
        <f t="shared" si="1"/>
        <v>299</v>
      </c>
      <c r="T5" t="e">
        <f t="shared" si="1"/>
        <v>#DIV/0!</v>
      </c>
      <c r="U5">
        <f t="shared" si="1"/>
        <v>1.3</v>
      </c>
      <c r="V5">
        <f t="shared" si="1"/>
        <v>289</v>
      </c>
      <c r="W5">
        <f t="shared" si="1"/>
        <v>468</v>
      </c>
      <c r="X5" t="e">
        <f t="shared" si="1"/>
        <v>#DIV/0!</v>
      </c>
      <c r="Y5" t="e">
        <f t="shared" si="1"/>
        <v>#DIV/0!</v>
      </c>
      <c r="Z5">
        <f t="shared" si="1"/>
        <v>35</v>
      </c>
      <c r="AA5">
        <f t="shared" si="1"/>
        <v>20</v>
      </c>
      <c r="AB5">
        <f>ROUNDUP(AB3,1/(AB3-AB2))</f>
        <v>8357</v>
      </c>
      <c r="AE5">
        <f>ROUNDUP(AE3,1/(AE3-AE2))</f>
        <v>80470</v>
      </c>
      <c r="AF5">
        <f>ROUNDUP(AF3,1/(AF3-AF2))</f>
        <v>156</v>
      </c>
    </row>
    <row r="6" spans="1:32" x14ac:dyDescent="0.25">
      <c r="L6" s="9" t="s">
        <v>54</v>
      </c>
      <c r="M6" t="s">
        <v>33</v>
      </c>
      <c r="U6">
        <f t="array" ref="U6">AVERAGE(IF((graph_data!$A$2:$A$999=$M6)*(ISNUMBER(graph_data!U$2:U$999))=1,graph_data!U$2:U$999))</f>
        <v>1.1093107042253521</v>
      </c>
      <c r="V6">
        <f t="array" ref="V6">AVERAGE(IF((graph_data!$A$2:$A$999=$M6)*(ISNUMBER(graph_data!V$2:V$999))=1,graph_data!V$2:V$999))</f>
        <v>122.08401742253521</v>
      </c>
      <c r="W6">
        <f t="array" ref="W6">AVERAGE(IF((graph_data!$A$2:$A$999=$M6)*(ISNUMBER(graph_data!W$2:W$999))=1,graph_data!W$2:W$999))</f>
        <v>378.14799225352129</v>
      </c>
      <c r="X6" t="e">
        <f t="array" ref="X6">AVERAGE(IF((graph_data!$A$2:$A$999=$M6)*(ISNUMBER(graph_data!X$2:X$999))=1,graph_data!X$2:X$999))</f>
        <v>#DIV/0!</v>
      </c>
      <c r="Y6" t="e">
        <f t="array" ref="Y6">AVERAGE(IF((graph_data!$A$2:$A$999=$M6)*(ISNUMBER(graph_data!Y$2:Y$999))=1,graph_data!Y$2:Y$999))</f>
        <v>#DIV/0!</v>
      </c>
      <c r="Z6">
        <f t="array" ref="Z6">AVERAGE(IF((graph_data!$A$2:$A$999=$M6)*(ISNUMBER(graph_data!Z$2:Z$999))=1,graph_data!Z$2:Z$999))</f>
        <v>14.629187479074274</v>
      </c>
      <c r="AA6">
        <f t="array" ref="AA6">AVERAGE(IF((graph_data!$A$2:$A$999=$M6)*(ISNUMBER(graph_data!AA$2:AA$999))=1,graph_data!AA$2:AA$999))</f>
        <v>15.5</v>
      </c>
      <c r="AB6">
        <f t="array" ref="AB6">AVERAGE(IF((graph_data!$A$2:$A$999=$M6)*(ISNUMBER(graph_data!AB$2:AB$999))=1,graph_data!AB$2:AB$999))</f>
        <v>2150.1095633802815</v>
      </c>
      <c r="AC6" t="e">
        <f t="array" ref="AC6">AVERAGE(IF((graph_data!$A$2:$A$999=$M6)*(ISNUMBER(graph_data!AC$2:AC$999))=1,graph_data!AC$2:AC$999))</f>
        <v>#DIV/0!</v>
      </c>
      <c r="AE6">
        <f t="array" ref="AE6">AVERAGE(IF((graph_data!$A$2:$A$999=$M6)*(ISNUMBER(graph_data!AE$2:AE$999))=1,graph_data!AE$2:AE$999))</f>
        <v>52961.236252015486</v>
      </c>
      <c r="AF6">
        <f t="array" ref="AF6">AVERAGE(IF((graph_data!$A$2:$A$999=$M6)*(ISNUMBER(graph_data!AF$2:AF$999))=1,graph_data!AF$2:AF$999))</f>
        <v>103.73142612754854</v>
      </c>
    </row>
    <row r="7" spans="1:32" x14ac:dyDescent="0.25">
      <c r="L7" s="9"/>
      <c r="M7" t="s">
        <v>34</v>
      </c>
      <c r="U7">
        <f t="array" ref="U7">AVERAGE(IF((graph_data!$A$2:$A$999=$M7)*(ISNUMBER(graph_data!U$2:U$999))=1,graph_data!U$2:U$999))</f>
        <v>1.0665487666666671</v>
      </c>
      <c r="V7">
        <f t="array" ref="V7">AVERAGE(IF((graph_data!$A$2:$A$999=$M7)*(ISNUMBER(graph_data!V$2:V$999))=1,graph_data!V$2:V$999))</f>
        <v>241.72069999999997</v>
      </c>
      <c r="W7">
        <f t="array" ref="W7">AVERAGE(IF((graph_data!$A$2:$A$999=$M7)*(ISNUMBER(graph_data!W$2:W$999))=1,graph_data!W$2:W$999))</f>
        <v>331.343323</v>
      </c>
      <c r="X7" t="e">
        <f t="array" ref="X7">AVERAGE(IF((graph_data!$A$2:$A$999=$M7)*(ISNUMBER(graph_data!X$2:X$999))=1,graph_data!X$2:X$999))</f>
        <v>#DIV/0!</v>
      </c>
      <c r="Y7" t="e">
        <f t="array" ref="Y7">AVERAGE(IF((graph_data!$A$2:$A$999=$M7)*(ISNUMBER(graph_data!Y$2:Y$999))=1,graph_data!Y$2:Y$999))</f>
        <v>#DIV/0!</v>
      </c>
      <c r="Z7">
        <f t="array" ref="Z7">AVERAGE(IF((graph_data!$A$2:$A$999=$M7)*(ISNUMBER(graph_data!Z$2:Z$999))=1,graph_data!Z$2:Z$999))</f>
        <v>28.965113636736692</v>
      </c>
      <c r="AA7">
        <f t="array" ref="AA7">AVERAGE(IF((graph_data!$A$2:$A$999=$M7)*(ISNUMBER(graph_data!AA$2:AA$999))=1,graph_data!AA$2:AA$999))</f>
        <v>13.866666666666667</v>
      </c>
      <c r="AB7">
        <f t="array" ref="AB7">AVERAGE(IF((graph_data!$A$2:$A$999=$M7)*(ISNUMBER(graph_data!AB$2:AB$999))=1,graph_data!AB$2:AB$999))</f>
        <v>6609.35</v>
      </c>
      <c r="AC7" t="e">
        <f t="array" ref="AC7">AVERAGE(IF((graph_data!$A$2:$A$999=$M7)*(ISNUMBER(graph_data!AC$2:AC$999))=1,graph_data!AC$2:AC$999))</f>
        <v>#DIV/0!</v>
      </c>
      <c r="AE7">
        <f t="array" ref="AE7">AVERAGE(IF((graph_data!$A$2:$A$999=$M7)*(ISNUMBER(graph_data!AE$2:AE$999))=1,graph_data!AE$2:AE$999))</f>
        <v>75381.534230216712</v>
      </c>
      <c r="AF7">
        <f t="array" ref="AF7">AVERAGE(IF((graph_data!$A$2:$A$999=$M7)*(ISNUMBER(graph_data!AF$2:AF$999))=1,graph_data!AF$2:AF$999))</f>
        <v>43.76284799151658</v>
      </c>
    </row>
    <row r="8" spans="1:32" x14ac:dyDescent="0.25">
      <c r="L8" s="9"/>
      <c r="M8" t="s">
        <v>35</v>
      </c>
      <c r="U8">
        <f t="array" ref="U8">AVERAGE(IF((graph_data!$A$2:$A$999=$M8)*(ISNUMBER(graph_data!U$2:U$999))=1,graph_data!U$2:U$999))</f>
        <v>0.72467341176470579</v>
      </c>
      <c r="V8">
        <f t="array" ref="V8">AVERAGE(IF((graph_data!$A$2:$A$999=$M8)*(ISNUMBER(graph_data!V$2:V$999))=1,graph_data!V$2:V$999))</f>
        <v>115.18318529411765</v>
      </c>
      <c r="W8">
        <f t="array" ref="W8">AVERAGE(IF((graph_data!$A$2:$A$999=$M8)*(ISNUMBER(graph_data!W$2:W$999))=1,graph_data!W$2:W$999))</f>
        <v>122.59700211764708</v>
      </c>
      <c r="X8" t="e">
        <f t="array" ref="X8">AVERAGE(IF((graph_data!$A$2:$A$999=$M8)*(ISNUMBER(graph_data!X$2:X$999))=1,graph_data!X$2:X$999))</f>
        <v>#DIV/0!</v>
      </c>
      <c r="Y8" t="e">
        <f t="array" ref="Y8">AVERAGE(IF((graph_data!$A$2:$A$999=$M8)*(ISNUMBER(graph_data!Y$2:Y$999))=1,graph_data!Y$2:Y$999))</f>
        <v>#DIV/0!</v>
      </c>
      <c r="Z8">
        <f t="array" ref="Z8">AVERAGE(IF((graph_data!$A$2:$A$999=$M8)*(ISNUMBER(graph_data!Z$2:Z$999))=1,graph_data!Z$2:Z$999))</f>
        <v>13.802268697241953</v>
      </c>
      <c r="AA8">
        <f t="array" ref="AA8">AVERAGE(IF((graph_data!$A$2:$A$999=$M8)*(ISNUMBER(graph_data!AA$2:AA$999))=1,graph_data!AA$2:AA$999))</f>
        <v>18.264705882352942</v>
      </c>
      <c r="AB8">
        <f t="array" ref="AB8">AVERAGE(IF((graph_data!$A$2:$A$999=$M8)*(ISNUMBER(graph_data!AB$2:AB$999))=1,graph_data!AB$2:AB$999))</f>
        <v>6821.0594117647061</v>
      </c>
      <c r="AC8" t="e">
        <f t="array" ref="AC8">AVERAGE(IF((graph_data!$A$2:$A$999=$M8)*(ISNUMBER(graph_data!AC$2:AC$999))=1,graph_data!AC$2:AC$999))</f>
        <v>#DIV/0!</v>
      </c>
      <c r="AE8">
        <f t="array" ref="AE8">AVERAGE(IF((graph_data!$A$2:$A$999=$M8)*(ISNUMBER(graph_data!AE$2:AE$999))=1,graph_data!AE$2:AE$999))</f>
        <v>59345.834746876521</v>
      </c>
      <c r="AF8">
        <f t="array" ref="AF8">AVERAGE(IF((graph_data!$A$2:$A$999=$M8)*(ISNUMBER(graph_data!AF$2:AF$999))=1,graph_data!AF$2:AF$999))</f>
        <v>33.66105800812484</v>
      </c>
    </row>
    <row r="9" spans="1:32" x14ac:dyDescent="0.25">
      <c r="L9" s="9"/>
      <c r="M9" t="s">
        <v>36</v>
      </c>
      <c r="U9">
        <f t="array" ref="U9">AVERAGE(IF((graph_data!$A$2:$A$999=$M9)*(ISNUMBER(graph_data!U$2:U$999))=1,graph_data!U$2:U$999))</f>
        <v>0.39985976153846153</v>
      </c>
      <c r="V9">
        <f t="array" ref="V9">AVERAGE(IF((graph_data!$A$2:$A$999=$M9)*(ISNUMBER(graph_data!V$2:V$999))=1,graph_data!V$2:V$999))</f>
        <v>104.38597876923076</v>
      </c>
      <c r="W9">
        <f t="array" ref="W9">AVERAGE(IF((graph_data!$A$2:$A$999=$M9)*(ISNUMBER(graph_data!W$2:W$999))=1,graph_data!W$2:W$999))</f>
        <v>99.942640769230792</v>
      </c>
      <c r="X9" t="e">
        <f t="array" ref="X9">AVERAGE(IF((graph_data!$A$2:$A$999=$M9)*(ISNUMBER(graph_data!X$2:X$999))=1,graph_data!X$2:X$999))</f>
        <v>#DIV/0!</v>
      </c>
      <c r="Y9" t="e">
        <f t="array" ref="Y9">AVERAGE(IF((graph_data!$A$2:$A$999=$M9)*(ISNUMBER(graph_data!Y$2:Y$999))=1,graph_data!Y$2:Y$999))</f>
        <v>#DIV/0!</v>
      </c>
      <c r="Z9">
        <f t="array" ref="Z9">AVERAGE(IF((graph_data!$A$2:$A$999=$M9)*(ISNUMBER(graph_data!Z$2:Z$999))=1,graph_data!Z$2:Z$999))</f>
        <v>12.508451850142528</v>
      </c>
      <c r="AA9">
        <f t="array" ref="AA9">AVERAGE(IF((graph_data!$A$2:$A$999=$M9)*(ISNUMBER(graph_data!AA$2:AA$999))=1,graph_data!AA$2:AA$999))</f>
        <v>18.76923076923077</v>
      </c>
      <c r="AB9">
        <f t="array" ref="AB9">AVERAGE(IF((graph_data!$A$2:$A$999=$M9)*(ISNUMBER(graph_data!AB$2:AB$999))=1,graph_data!AB$2:AB$999))</f>
        <v>5270.7499999999991</v>
      </c>
      <c r="AC9" t="e">
        <f t="array" ref="AC9">AVERAGE(IF((graph_data!$A$2:$A$999=$M9)*(ISNUMBER(graph_data!AC$2:AC$999))=1,graph_data!AC$2:AC$999))</f>
        <v>#DIV/0!</v>
      </c>
      <c r="AE9">
        <f t="array" ref="AE9">AVERAGE(IF((graph_data!$A$2:$A$999=$M9)*(ISNUMBER(graph_data!AE$2:AE$999))=1,graph_data!AE$2:AE$999))</f>
        <v>38241.514217056661</v>
      </c>
      <c r="AF9">
        <f t="array" ref="AF9">AVERAGE(IF((graph_data!$A$2:$A$999=$M9)*(ISNUMBER(graph_data!AF$2:AF$999))=1,graph_data!AF$2:AF$999))</f>
        <v>32.284536348153281</v>
      </c>
    </row>
    <row r="10" spans="1:32" x14ac:dyDescent="0.25">
      <c r="L10" s="9" t="s">
        <v>55</v>
      </c>
      <c r="M10" t="s">
        <v>33</v>
      </c>
      <c r="U10" s="10">
        <f t="array" ref="U10">_xlfn.STDEV.S(IF((graph_data!$A$2:$A$999=$M10)*(ISNUMBER(graph_data!U$2:U$999))=1,graph_data!U$2:U$999))/(U$3-U$2)</f>
        <v>7.29461745437191E-2</v>
      </c>
      <c r="V10" s="10">
        <f t="array" ref="V10">_xlfn.STDEV.S(IF((graph_data!$A$2:$A$999=$M10)*(ISNUMBER(graph_data!V$2:V$999))=1,graph_data!V$2:V$999))/(V$3-V$2)</f>
        <v>0.12904246084255178</v>
      </c>
      <c r="W10" s="10">
        <f t="array" ref="W10">_xlfn.STDEV.S(IF((graph_data!$A$2:$A$999=$M10)*(ISNUMBER(graph_data!W$2:W$999))=1,graph_data!W$2:W$999))/(W$3-W$2)</f>
        <v>7.9917636275576812E-2</v>
      </c>
      <c r="X10" s="10" t="e">
        <f t="array" ref="X10">_xlfn.STDEV.S(IF((graph_data!$A$2:$A$999=$M10)*(ISNUMBER(graph_data!X$2:X$999))=1,graph_data!X$2:X$999))/(X$3-X$2)</f>
        <v>#DIV/0!</v>
      </c>
      <c r="Y10" s="10" t="e">
        <f t="array" ref="Y10">_xlfn.STDEV.S(IF((graph_data!$A$2:$A$999=$M10)*(ISNUMBER(graph_data!Y$2:Y$999))=1,graph_data!Y$2:Y$999))/(Y$3-Y$2)</f>
        <v>#DIV/0!</v>
      </c>
      <c r="Z10" s="10">
        <f t="array" ref="Z10">_xlfn.STDEV.S(IF((graph_data!$A$2:$A$999=$M10)*(ISNUMBER(graph_data!Z$2:Z$999))=1,graph_data!Z$2:Z$999))/(Z$3-Z$2)</f>
        <v>0.12904246084255191</v>
      </c>
      <c r="AA10" s="10">
        <f t="array" ref="AA10">_xlfn.STDEV.S(IF((graph_data!$A$2:$A$999=$M10)*(ISNUMBER(graph_data!AA$2:AA$999))=1,graph_data!AA$2:AA$999))/(AA$3-AA$2)</f>
        <v>0.13766058737991879</v>
      </c>
      <c r="AB10" s="10">
        <f t="array" ref="AB10">_xlfn.STDEV.S(IF((graph_data!$A$2:$A$999=$M10)*(ISNUMBER(graph_data!AB$2:AB$999))=1,graph_data!AB$2:AB$999))/(AB$3-AB$2)</f>
        <v>0.12014381402449231</v>
      </c>
      <c r="AC10" s="10" t="e">
        <f t="array" ref="AC10">_xlfn.STDEV.S(IF((graph_data!$A$2:$A$999=$M10)*(ISNUMBER(graph_data!AC$2:AC$999))=1,graph_data!AC$2:AC$999))/(AC$3-AC$2)</f>
        <v>#DIV/0!</v>
      </c>
      <c r="AD10" s="10" t="e">
        <f t="array" ref="AD10">_xlfn.STDEV.S(IF((graph_data!$A$2:$A$999=$M10)*(ISNUMBER(graph_data!AD$2:AD$999))=1,graph_data!AD$2:AD$999))/(AD$3-AD$2)</f>
        <v>#DIV/0!</v>
      </c>
      <c r="AE10" s="10">
        <f t="array" ref="AE10">_xlfn.STDEV.S(IF((graph_data!$A$2:$A$999=$M10)*(ISNUMBER(graph_data!AE$2:AE$999))=1,graph_data!AE$2:AE$999))/(AE$3-AE$2)</f>
        <v>0.17218678844730068</v>
      </c>
      <c r="AF10" s="10">
        <f t="array" ref="AF10">_xlfn.STDEV.S(IF((graph_data!$A$2:$A$999=$M10)*(ISNUMBER(graph_data!AF$2:AF$999))=1,graph_data!AF$2:AF$999))/(AF$3-AF$2)</f>
        <v>0.18264221594741684</v>
      </c>
    </row>
    <row r="11" spans="1:32" x14ac:dyDescent="0.25">
      <c r="L11" s="9"/>
      <c r="M11" t="s">
        <v>34</v>
      </c>
      <c r="U11" s="10">
        <f t="array" ref="U11">_xlfn.STDEV.S(IF((graph_data!$A$2:$A$999=$M11)*(ISNUMBER(graph_data!U$2:U$999))=1,graph_data!U$2:U$999))/(U$3-U$2)</f>
        <v>9.2727399057834656E-2</v>
      </c>
      <c r="V11" s="10">
        <f t="array" ref="V11">_xlfn.STDEV.S(IF((graph_data!$A$2:$A$999=$M11)*(ISNUMBER(graph_data!V$2:V$999))=1,graph_data!V$2:V$999))/(V$3-V$2)</f>
        <v>0.15160218008102788</v>
      </c>
      <c r="W11" s="10">
        <f t="array" ref="W11">_xlfn.STDEV.S(IF((graph_data!$A$2:$A$999=$M11)*(ISNUMBER(graph_data!W$2:W$999))=1,graph_data!W$2:W$999))/(W$3-W$2)</f>
        <v>9.7121712306925886E-2</v>
      </c>
      <c r="X11" s="10" t="e">
        <f t="array" ref="X11">_xlfn.STDEV.S(IF((graph_data!$A$2:$A$999=$M11)*(ISNUMBER(graph_data!X$2:X$999))=1,graph_data!X$2:X$999))/(X$3-X$2)</f>
        <v>#DIV/0!</v>
      </c>
      <c r="Y11" s="10" t="e">
        <f t="array" ref="Y11">_xlfn.STDEV.S(IF((graph_data!$A$2:$A$999=$M11)*(ISNUMBER(graph_data!Y$2:Y$999))=1,graph_data!Y$2:Y$999))/(Y$3-Y$2)</f>
        <v>#DIV/0!</v>
      </c>
      <c r="Z11" s="10">
        <f t="array" ref="Z11">_xlfn.STDEV.S(IF((graph_data!$A$2:$A$999=$M11)*(ISNUMBER(graph_data!Z$2:Z$999))=1,graph_data!Z$2:Z$999))/(Z$3-Z$2)</f>
        <v>0.15160218008102655</v>
      </c>
      <c r="AA11" s="10">
        <f t="array" ref="AA11">_xlfn.STDEV.S(IF((graph_data!$A$2:$A$999=$M11)*(ISNUMBER(graph_data!AA$2:AA$999))=1,graph_data!AA$2:AA$999))/(AA$3-AA$2)</f>
        <v>7.0018931121937286E-2</v>
      </c>
      <c r="AB11" s="10">
        <f t="array" ref="AB11">_xlfn.STDEV.S(IF((graph_data!$A$2:$A$999=$M11)*(ISNUMBER(graph_data!AB$2:AB$999))=1,graph_data!AB$2:AB$999))/(AB$3-AB$2)</f>
        <v>0.11686319057724782</v>
      </c>
      <c r="AC11" s="10" t="e">
        <f t="array" ref="AC11">_xlfn.STDEV.S(IF((graph_data!$A$2:$A$999=$M11)*(ISNUMBER(graph_data!AC$2:AC$999))=1,graph_data!AC$2:AC$999))/(AC$3-AC$2)</f>
        <v>#DIV/0!</v>
      </c>
      <c r="AD11" s="10" t="e">
        <f t="array" ref="AD11">_xlfn.STDEV.S(IF((graph_data!$A$2:$A$999=$M11)*(ISNUMBER(graph_data!AD$2:AD$999))=1,graph_data!AD$2:AD$999))/(AD$3-AD$2)</f>
        <v>#DIV/0!</v>
      </c>
      <c r="AE11" s="10">
        <f t="array" ref="AE11">_xlfn.STDEV.S(IF((graph_data!$A$2:$A$999=$M11)*(ISNUMBER(graph_data!AE$2:AE$999))=1,graph_data!AE$2:AE$999))/(AE$3-AE$2)</f>
        <v>0.15490597385269023</v>
      </c>
      <c r="AF11" s="10">
        <f t="array" ref="AF11">_xlfn.STDEV.S(IF((graph_data!$A$2:$A$999=$M11)*(ISNUMBER(graph_data!AF$2:AF$999))=1,graph_data!AF$2:AF$999))/(AF$3-AF$2)</f>
        <v>2.4050728681135208E-2</v>
      </c>
    </row>
    <row r="12" spans="1:32" x14ac:dyDescent="0.25">
      <c r="G12" s="2"/>
      <c r="L12" s="9"/>
      <c r="M12" t="s">
        <v>35</v>
      </c>
      <c r="U12" s="10">
        <f t="array" ref="U12">_xlfn.STDEV.S(IF((graph_data!$A$2:$A$999=$M12)*(ISNUMBER(graph_data!U$2:U$999))=1,graph_data!U$2:U$999))/(U$3-U$2)</f>
        <v>3.9238271650235024E-2</v>
      </c>
      <c r="V12" s="10">
        <f t="array" ref="V12">_xlfn.STDEV.S(IF((graph_data!$A$2:$A$999=$M12)*(ISNUMBER(graph_data!V$2:V$999))=1,graph_data!V$2:V$999))/(V$3-V$2)</f>
        <v>0.10313730625052409</v>
      </c>
      <c r="W12" s="10">
        <f t="array" ref="W12">_xlfn.STDEV.S(IF((graph_data!$A$2:$A$999=$M12)*(ISNUMBER(graph_data!W$2:W$999))=1,graph_data!W$2:W$999))/(W$3-W$2)</f>
        <v>7.8166171217303876E-2</v>
      </c>
      <c r="X12" s="10" t="e">
        <f t="array" ref="X12">_xlfn.STDEV.S(IF((graph_data!$A$2:$A$999=$M12)*(ISNUMBER(graph_data!X$2:X$999))=1,graph_data!X$2:X$999))/(X$3-X$2)</f>
        <v>#DIV/0!</v>
      </c>
      <c r="Y12" s="10" t="e">
        <f t="array" ref="Y12">_xlfn.STDEV.S(IF((graph_data!$A$2:$A$999=$M12)*(ISNUMBER(graph_data!Y$2:Y$999))=1,graph_data!Y$2:Y$999))/(Y$3-Y$2)</f>
        <v>#DIV/0!</v>
      </c>
      <c r="Z12" s="10">
        <f t="array" ref="Z12">_xlfn.STDEV.S(IF((graph_data!$A$2:$A$999=$M12)*(ISNUMBER(graph_data!Z$2:Z$999))=1,graph_data!Z$2:Z$999))/(Z$3-Z$2)</f>
        <v>0.10313730625052396</v>
      </c>
      <c r="AA12" s="10">
        <f t="array" ref="AA12">_xlfn.STDEV.S(IF((graph_data!$A$2:$A$999=$M12)*(ISNUMBER(graph_data!AA$2:AA$999))=1,graph_data!AA$2:AA$999))/(AA$3-AA$2)</f>
        <v>0.15794770967505872</v>
      </c>
      <c r="AB12" s="10">
        <f t="array" ref="AB12">_xlfn.STDEV.S(IF((graph_data!$A$2:$A$999=$M12)*(ISNUMBER(graph_data!AB$2:AB$999))=1,graph_data!AB$2:AB$999))/(AB$3-AB$2)</f>
        <v>0.13477504204586521</v>
      </c>
      <c r="AC12" s="10" t="e">
        <f t="array" ref="AC12">_xlfn.STDEV.S(IF((graph_data!$A$2:$A$999=$M12)*(ISNUMBER(graph_data!AC$2:AC$999))=1,graph_data!AC$2:AC$999))/(AC$3-AC$2)</f>
        <v>#DIV/0!</v>
      </c>
      <c r="AD12" s="10" t="e">
        <f t="array" ref="AD12">_xlfn.STDEV.S(IF((graph_data!$A$2:$A$999=$M12)*(ISNUMBER(graph_data!AD$2:AD$999))=1,graph_data!AD$2:AD$999))/(AD$3-AD$2)</f>
        <v>#DIV/0!</v>
      </c>
      <c r="AE12" s="10">
        <f t="array" ref="AE12">_xlfn.STDEV.S(IF((graph_data!$A$2:$A$999=$M12)*(ISNUMBER(graph_data!AE$2:AE$999))=1,graph_data!AE$2:AE$999))/(AE$3-AE$2)</f>
        <v>0.14714515304384368</v>
      </c>
      <c r="AF12" s="10">
        <f t="array" ref="AF12">_xlfn.STDEV.S(IF((graph_data!$A$2:$A$999=$M12)*(ISNUMBER(graph_data!AF$2:AF$999))=1,graph_data!AF$2:AF$999))/(AF$3-AF$2)</f>
        <v>3.6393866504086464E-2</v>
      </c>
    </row>
    <row r="13" spans="1:32" x14ac:dyDescent="0.25">
      <c r="L13" s="9"/>
      <c r="M13" t="s">
        <v>36</v>
      </c>
      <c r="U13" s="10">
        <f t="array" ref="U13">_xlfn.STDEV.S(IF((graph_data!$A$2:$A$999=$M13)*(ISNUMBER(graph_data!U$2:U$999))=1,graph_data!U$2:U$999))/(U$3-U$2)</f>
        <v>4.772325673373988E-2</v>
      </c>
      <c r="V13" s="10">
        <f t="array" ref="V13">_xlfn.STDEV.S(IF((graph_data!$A$2:$A$999=$M13)*(ISNUMBER(graph_data!V$2:V$999))=1,graph_data!V$2:V$999))/(V$3-V$2)</f>
        <v>9.735359324293151E-2</v>
      </c>
      <c r="W13" s="10">
        <f t="array" ref="W13">_xlfn.STDEV.S(IF((graph_data!$A$2:$A$999=$M13)*(ISNUMBER(graph_data!W$2:W$999))=1,graph_data!W$2:W$999))/(W$3-W$2)</f>
        <v>7.6983797753908692E-2</v>
      </c>
      <c r="X13" s="10" t="e">
        <f t="array" ref="X13">_xlfn.STDEV.S(IF((graph_data!$A$2:$A$999=$M13)*(ISNUMBER(graph_data!X$2:X$999))=1,graph_data!X$2:X$999))/(X$3-X$2)</f>
        <v>#DIV/0!</v>
      </c>
      <c r="Y13" s="10" t="e">
        <f t="array" ref="Y13">_xlfn.STDEV.S(IF((graph_data!$A$2:$A$999=$M13)*(ISNUMBER(graph_data!Y$2:Y$999))=1,graph_data!Y$2:Y$999))/(Y$3-Y$2)</f>
        <v>#DIV/0!</v>
      </c>
      <c r="Z13" s="10">
        <f t="array" ref="Z13">_xlfn.STDEV.S(IF((graph_data!$A$2:$A$999=$M13)*(ISNUMBER(graph_data!Z$2:Z$999))=1,graph_data!Z$2:Z$999))/(Z$3-Z$2)</f>
        <v>9.7353593242930872E-2</v>
      </c>
      <c r="AA13" s="10">
        <f t="array" ref="AA13">_xlfn.STDEV.S(IF((graph_data!$A$2:$A$999=$M13)*(ISNUMBER(graph_data!AA$2:AA$999))=1,graph_data!AA$2:AA$999))/(AA$3-AA$2)</f>
        <v>0.15598977545690537</v>
      </c>
      <c r="AB13" s="10">
        <f t="array" ref="AB13">_xlfn.STDEV.S(IF((graph_data!$A$2:$A$999=$M13)*(ISNUMBER(graph_data!AB$2:AB$999))=1,graph_data!AB$2:AB$999))/(AB$3-AB$2)</f>
        <v>0.26961732503205943</v>
      </c>
      <c r="AC13" s="10" t="e">
        <f t="array" ref="AC13">_xlfn.STDEV.S(IF((graph_data!$A$2:$A$999=$M13)*(ISNUMBER(graph_data!AC$2:AC$999))=1,graph_data!AC$2:AC$999))/(AC$3-AC$2)</f>
        <v>#DIV/0!</v>
      </c>
      <c r="AD13" s="10" t="e">
        <f t="array" ref="AD13">_xlfn.STDEV.S(IF((graph_data!$A$2:$A$999=$M13)*(ISNUMBER(graph_data!AD$2:AD$999))=1,graph_data!AD$2:AD$999))/(AD$3-AD$2)</f>
        <v>#DIV/0!</v>
      </c>
      <c r="AE13" s="10">
        <f t="array" ref="AE13">_xlfn.STDEV.S(IF((graph_data!$A$2:$A$999=$M13)*(ISNUMBER(graph_data!AE$2:AE$999))=1,graph_data!AE$2:AE$999))/(AE$3-AE$2)</f>
        <v>0.10238988441274738</v>
      </c>
      <c r="AF13" s="10">
        <f t="array" ref="AF13">_xlfn.STDEV.S(IF((graph_data!$A$2:$A$999=$M13)*(ISNUMBER(graph_data!AF$2:AF$999))=1,graph_data!AF$2:AF$999))/(AF$3-AF$2)</f>
        <v>9.8538690444735316E-2</v>
      </c>
    </row>
    <row r="16" spans="1:32" x14ac:dyDescent="0.25">
      <c r="M16" s="3" t="s">
        <v>48</v>
      </c>
      <c r="N16" s="3" t="s">
        <v>49</v>
      </c>
    </row>
    <row r="17" spans="13:14" x14ac:dyDescent="0.25">
      <c r="M17" s="3">
        <v>1</v>
      </c>
      <c r="N17" s="8"/>
    </row>
    <row r="18" spans="13:14" x14ac:dyDescent="0.25">
      <c r="M18" s="3">
        <v>2</v>
      </c>
      <c r="N18" s="6"/>
    </row>
    <row r="19" spans="13:14" x14ac:dyDescent="0.25">
      <c r="M19" s="3">
        <v>3</v>
      </c>
      <c r="N19" s="4"/>
    </row>
    <row r="20" spans="13:14" x14ac:dyDescent="0.25">
      <c r="M20" s="3">
        <v>4</v>
      </c>
      <c r="N20" s="5"/>
    </row>
    <row r="21" spans="13:14" x14ac:dyDescent="0.25">
      <c r="M21" s="7">
        <v>0</v>
      </c>
      <c r="N21" s="3"/>
    </row>
    <row r="79" spans="7:7" x14ac:dyDescent="0.25">
      <c r="G79" s="2"/>
    </row>
    <row r="88" spans="7:9" x14ac:dyDescent="0.25">
      <c r="G88" s="2"/>
    </row>
    <row r="96" spans="7:9" x14ac:dyDescent="0.25">
      <c r="I96" s="2"/>
    </row>
    <row r="101" spans="7:9" x14ac:dyDescent="0.25">
      <c r="I101" s="2"/>
    </row>
    <row r="112" spans="7:9" x14ac:dyDescent="0.25">
      <c r="G112" s="2"/>
    </row>
    <row r="121" spans="7:7" x14ac:dyDescent="0.25">
      <c r="G121" s="2"/>
    </row>
  </sheetData>
  <mergeCells count="2">
    <mergeCell ref="L6:L9"/>
    <mergeCell ref="L10:L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F145"/>
  <sheetViews>
    <sheetView zoomScale="70" zoomScaleNormal="70" workbookViewId="0">
      <selection activeCell="N1" sqref="N1:N1048576"/>
    </sheetView>
  </sheetViews>
  <sheetFormatPr baseColWidth="10" defaultColWidth="11.28515625" defaultRowHeight="15" x14ac:dyDescent="0.25"/>
  <cols>
    <col min="1" max="1" width="11.5703125" bestFit="1" customWidth="1"/>
    <col min="2" max="2" width="4.5703125" bestFit="1" customWidth="1"/>
    <col min="3" max="3" width="11.140625" bestFit="1" customWidth="1"/>
    <col min="4" max="4" width="15.85546875" bestFit="1" customWidth="1"/>
    <col min="5" max="5" width="11.140625" bestFit="1" customWidth="1"/>
    <col min="6" max="6" width="4.5703125" bestFit="1" customWidth="1"/>
    <col min="7" max="7" width="13.5703125" bestFit="1" customWidth="1"/>
    <col min="8" max="8" width="7.42578125" bestFit="1" customWidth="1"/>
    <col min="9" max="9" width="10" bestFit="1" customWidth="1"/>
    <col min="10" max="10" width="22.5703125" bestFit="1" customWidth="1"/>
    <col min="11" max="11" width="3" bestFit="1" customWidth="1"/>
    <col min="12" max="12" width="2.140625" customWidth="1"/>
    <col min="13" max="13" width="6" bestFit="1" customWidth="1"/>
    <col min="14" max="14" width="16" bestFit="1" customWidth="1"/>
    <col min="15" max="15" width="15.85546875" bestFit="1" customWidth="1"/>
    <col min="16" max="16" width="16" bestFit="1" customWidth="1"/>
    <col min="17" max="17" width="14.85546875" bestFit="1" customWidth="1"/>
    <col min="18" max="18" width="7.42578125" bestFit="1" customWidth="1"/>
    <col min="19" max="19" width="14.85546875" bestFit="1" customWidth="1"/>
    <col min="20" max="20" width="6" bestFit="1" customWidth="1"/>
    <col min="21" max="21" width="10.5703125" customWidth="1"/>
    <col min="22" max="22" width="13.5703125" bestFit="1" customWidth="1"/>
    <col min="23" max="23" width="12.42578125" bestFit="1" customWidth="1"/>
    <col min="24" max="25" width="6" bestFit="1" customWidth="1"/>
    <col min="26" max="26" width="14.85546875" bestFit="1" customWidth="1"/>
    <col min="27" max="27" width="6.28515625" bestFit="1" customWidth="1"/>
    <col min="28" max="28" width="10" bestFit="1" customWidth="1"/>
    <col min="29" max="29" width="6" bestFit="1" customWidth="1"/>
    <col min="30" max="30" width="10.28515625" bestFit="1" customWidth="1"/>
    <col min="32" max="32" width="7.7109375" customWidth="1"/>
    <col min="33" max="39" width="4.7109375" customWidth="1"/>
  </cols>
  <sheetData>
    <row r="1" spans="1:32" x14ac:dyDescent="0.25">
      <c r="A1" s="1" t="s">
        <v>19</v>
      </c>
      <c r="B1" s="1" t="s">
        <v>20</v>
      </c>
      <c r="C1" s="1" t="s">
        <v>22</v>
      </c>
      <c r="D1" s="1" t="s">
        <v>23</v>
      </c>
      <c r="E1" s="1" t="s">
        <v>24</v>
      </c>
      <c r="F1" s="1" t="s">
        <v>21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28</v>
      </c>
      <c r="L1" s="1"/>
      <c r="M1" s="1" t="s">
        <v>18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0</v>
      </c>
      <c r="U1" s="1" t="s">
        <v>41</v>
      </c>
      <c r="V1" s="1" t="s">
        <v>46</v>
      </c>
      <c r="W1" s="1" t="s">
        <v>44</v>
      </c>
      <c r="X1" s="1" t="s">
        <v>1</v>
      </c>
      <c r="Y1" s="1" t="s">
        <v>0</v>
      </c>
      <c r="Z1" s="1" t="s">
        <v>45</v>
      </c>
      <c r="AA1" s="1" t="s">
        <v>42</v>
      </c>
      <c r="AB1" s="1" t="s">
        <v>43</v>
      </c>
      <c r="AC1" s="1" t="s">
        <v>1</v>
      </c>
      <c r="AD1" s="1" t="s">
        <v>29</v>
      </c>
      <c r="AE1" s="1" t="s">
        <v>47</v>
      </c>
      <c r="AF1" s="1" t="s">
        <v>60</v>
      </c>
    </row>
    <row r="2" spans="1:32" x14ac:dyDescent="0.25">
      <c r="A2" t="s">
        <v>33</v>
      </c>
      <c r="B2">
        <v>-3</v>
      </c>
      <c r="C2">
        <v>1.06053</v>
      </c>
      <c r="D2">
        <v>0.101386</v>
      </c>
      <c r="E2">
        <v>0.88423499999999999</v>
      </c>
      <c r="F2">
        <v>-3</v>
      </c>
      <c r="G2">
        <v>64.921199999999999</v>
      </c>
      <c r="H2">
        <v>36</v>
      </c>
      <c r="I2">
        <v>190.482</v>
      </c>
      <c r="J2" t="s">
        <v>3</v>
      </c>
      <c r="K2">
        <v>0</v>
      </c>
      <c r="M2" t="e">
        <v>#N/A</v>
      </c>
      <c r="N2" t="e">
        <v>#N/A</v>
      </c>
      <c r="O2" t="e">
        <v>#N/A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  <c r="W2" t="e">
        <v>#N/A</v>
      </c>
      <c r="X2" t="e">
        <v>#N/A</v>
      </c>
      <c r="Y2" t="e">
        <v>#N/A</v>
      </c>
      <c r="Z2" t="e">
        <v>#N/A</v>
      </c>
      <c r="AA2" t="e">
        <v>#N/A</v>
      </c>
      <c r="AB2" t="e">
        <v>#N/A</v>
      </c>
      <c r="AC2" t="e">
        <v>#N/A</v>
      </c>
      <c r="AD2">
        <f t="shared" ref="AD2:AD33" si="0">IF(A2="set1",1)+IF(A2="set2",2)+IF(A2="set3",3)+IF(A2="set4",4)</f>
        <v>1</v>
      </c>
      <c r="AE2" t="e">
        <f t="shared" ref="AE2:AE33" si="1">W2*AB2/Z2</f>
        <v>#N/A</v>
      </c>
      <c r="AF2" t="e">
        <f>W2/(PI()*1*V2/100)</f>
        <v>#N/A</v>
      </c>
    </row>
    <row r="3" spans="1:32" x14ac:dyDescent="0.25">
      <c r="A3" t="s">
        <v>33</v>
      </c>
      <c r="B3">
        <v>-3</v>
      </c>
      <c r="C3">
        <v>0.29924800000000001</v>
      </c>
      <c r="D3">
        <v>-3.3107200000000003E-2</v>
      </c>
      <c r="E3">
        <v>0.48025099999999998</v>
      </c>
      <c r="F3">
        <v>-3</v>
      </c>
      <c r="G3" s="2">
        <v>5.09517E-7</v>
      </c>
      <c r="H3">
        <v>144</v>
      </c>
      <c r="I3">
        <v>214.59399999999999</v>
      </c>
      <c r="J3" t="s">
        <v>3</v>
      </c>
      <c r="K3">
        <v>0</v>
      </c>
      <c r="M3" t="e">
        <v>#N/A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>
        <f t="shared" si="0"/>
        <v>1</v>
      </c>
      <c r="AE3" t="e">
        <f t="shared" si="1"/>
        <v>#N/A</v>
      </c>
      <c r="AF3" t="e">
        <f t="shared" ref="AF3:AF66" si="2">W3/(PI()*1*V3/100)</f>
        <v>#N/A</v>
      </c>
    </row>
    <row r="4" spans="1:32" x14ac:dyDescent="0.25">
      <c r="A4" t="s">
        <v>33</v>
      </c>
      <c r="B4">
        <v>-3</v>
      </c>
      <c r="C4">
        <v>1.0947</v>
      </c>
      <c r="D4">
        <v>-3.1268799999999999E-2</v>
      </c>
      <c r="E4">
        <v>0.68372699999999997</v>
      </c>
      <c r="F4">
        <v>-3</v>
      </c>
      <c r="G4">
        <v>1.1975599999999999E-2</v>
      </c>
      <c r="H4">
        <v>72.25</v>
      </c>
      <c r="I4">
        <v>296.69799999999998</v>
      </c>
      <c r="J4" t="s">
        <v>3</v>
      </c>
      <c r="K4">
        <v>0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  <c r="W4" t="e">
        <v>#N/A</v>
      </c>
      <c r="X4" t="e">
        <v>#N/A</v>
      </c>
      <c r="Y4" t="e">
        <v>#N/A</v>
      </c>
      <c r="Z4" t="e">
        <v>#N/A</v>
      </c>
      <c r="AA4" t="e">
        <v>#N/A</v>
      </c>
      <c r="AB4" t="e">
        <v>#N/A</v>
      </c>
      <c r="AC4" t="e">
        <v>#N/A</v>
      </c>
      <c r="AD4">
        <f t="shared" si="0"/>
        <v>1</v>
      </c>
      <c r="AE4" t="e">
        <f t="shared" si="1"/>
        <v>#N/A</v>
      </c>
      <c r="AF4" t="e">
        <f t="shared" si="2"/>
        <v>#N/A</v>
      </c>
    </row>
    <row r="5" spans="1:32" x14ac:dyDescent="0.25">
      <c r="A5" t="s">
        <v>33</v>
      </c>
      <c r="B5">
        <v>-3</v>
      </c>
      <c r="C5">
        <v>0.97575800000000001</v>
      </c>
      <c r="D5">
        <v>9.5766500000000004E-2</v>
      </c>
      <c r="E5">
        <v>0.71336900000000003</v>
      </c>
      <c r="F5">
        <v>-3</v>
      </c>
      <c r="G5">
        <v>59.608899999999998</v>
      </c>
      <c r="H5">
        <v>42.25</v>
      </c>
      <c r="I5">
        <v>152.69399999999999</v>
      </c>
      <c r="J5" t="s">
        <v>3</v>
      </c>
      <c r="K5">
        <v>0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 t="e">
        <v>#N/A</v>
      </c>
      <c r="W5" t="e">
        <v>#N/A</v>
      </c>
      <c r="X5" t="e">
        <v>#N/A</v>
      </c>
      <c r="Y5" t="e">
        <v>#N/A</v>
      </c>
      <c r="Z5" t="e">
        <v>#N/A</v>
      </c>
      <c r="AA5" t="e">
        <v>#N/A</v>
      </c>
      <c r="AB5" t="e">
        <v>#N/A</v>
      </c>
      <c r="AC5" t="e">
        <v>#N/A</v>
      </c>
      <c r="AD5">
        <f t="shared" si="0"/>
        <v>1</v>
      </c>
      <c r="AE5" t="e">
        <f t="shared" si="1"/>
        <v>#N/A</v>
      </c>
      <c r="AF5" t="e">
        <f t="shared" si="2"/>
        <v>#N/A</v>
      </c>
    </row>
    <row r="6" spans="1:32" x14ac:dyDescent="0.25">
      <c r="A6" t="s">
        <v>33</v>
      </c>
      <c r="B6">
        <v>-3</v>
      </c>
      <c r="C6">
        <v>0.87458899999999995</v>
      </c>
      <c r="D6">
        <v>-4.8260100000000004E-3</v>
      </c>
      <c r="E6">
        <v>0.70409100000000002</v>
      </c>
      <c r="F6">
        <v>-3</v>
      </c>
      <c r="G6">
        <v>2.8687499999999999</v>
      </c>
      <c r="H6">
        <v>81</v>
      </c>
      <c r="I6">
        <v>266.50099999999998</v>
      </c>
      <c r="J6" t="s">
        <v>3</v>
      </c>
      <c r="K6">
        <v>0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  <c r="W6" t="e">
        <v>#N/A</v>
      </c>
      <c r="X6" t="e">
        <v>#N/A</v>
      </c>
      <c r="Y6" t="e">
        <v>#N/A</v>
      </c>
      <c r="Z6" t="e">
        <v>#N/A</v>
      </c>
      <c r="AA6" t="e">
        <v>#N/A</v>
      </c>
      <c r="AB6" t="e">
        <v>#N/A</v>
      </c>
      <c r="AC6" t="e">
        <v>#N/A</v>
      </c>
      <c r="AD6">
        <f t="shared" si="0"/>
        <v>1</v>
      </c>
      <c r="AE6" t="e">
        <f t="shared" si="1"/>
        <v>#N/A</v>
      </c>
      <c r="AF6" t="e">
        <f t="shared" si="2"/>
        <v>#N/A</v>
      </c>
    </row>
    <row r="7" spans="1:32" x14ac:dyDescent="0.25">
      <c r="A7" t="s">
        <v>33</v>
      </c>
      <c r="B7">
        <v>-3</v>
      </c>
      <c r="C7">
        <v>1.1128100000000001</v>
      </c>
      <c r="D7">
        <v>1.16729E-2</v>
      </c>
      <c r="E7">
        <v>0.65715800000000002</v>
      </c>
      <c r="F7">
        <v>-3</v>
      </c>
      <c r="G7">
        <v>7.1945199999999998</v>
      </c>
      <c r="H7">
        <v>56.25</v>
      </c>
      <c r="I7">
        <v>257.84500000000003</v>
      </c>
      <c r="J7" t="s">
        <v>3</v>
      </c>
      <c r="K7">
        <v>0</v>
      </c>
      <c r="M7">
        <v>278</v>
      </c>
      <c r="N7">
        <v>1.1128100000000001</v>
      </c>
      <c r="O7">
        <v>1.16729E-2</v>
      </c>
      <c r="P7">
        <v>0.65715800000000002</v>
      </c>
      <c r="Q7">
        <v>7.1945195149123604</v>
      </c>
      <c r="R7">
        <v>56.25</v>
      </c>
      <c r="S7">
        <v>257.84528594557997</v>
      </c>
      <c r="T7" t="s">
        <v>0</v>
      </c>
      <c r="U7">
        <v>1.19024</v>
      </c>
      <c r="V7">
        <v>105.83645</v>
      </c>
      <c r="W7">
        <v>397.72322000000003</v>
      </c>
      <c r="X7" t="s">
        <v>1</v>
      </c>
      <c r="Y7" t="s">
        <v>0</v>
      </c>
      <c r="Z7">
        <v>12.682260150491</v>
      </c>
      <c r="AA7">
        <v>15.5</v>
      </c>
      <c r="AB7">
        <v>1438.99</v>
      </c>
      <c r="AC7" t="s">
        <v>1</v>
      </c>
      <c r="AD7">
        <f t="shared" si="0"/>
        <v>1</v>
      </c>
      <c r="AE7">
        <f t="shared" si="1"/>
        <v>45127.582115214878</v>
      </c>
      <c r="AF7">
        <f t="shared" si="2"/>
        <v>119.61779981362825</v>
      </c>
    </row>
    <row r="8" spans="1:32" x14ac:dyDescent="0.25">
      <c r="A8" t="s">
        <v>33</v>
      </c>
      <c r="B8">
        <v>-3</v>
      </c>
      <c r="C8">
        <v>1.0400199999999999</v>
      </c>
      <c r="D8">
        <v>1.41253E-2</v>
      </c>
      <c r="E8">
        <v>0.622471</v>
      </c>
      <c r="F8">
        <v>-3</v>
      </c>
      <c r="G8">
        <v>8.0043399999999991</v>
      </c>
      <c r="H8">
        <v>64</v>
      </c>
      <c r="I8">
        <v>248.83099999999999</v>
      </c>
      <c r="J8" t="s">
        <v>3</v>
      </c>
      <c r="K8">
        <v>0</v>
      </c>
      <c r="M8">
        <v>293</v>
      </c>
      <c r="N8">
        <v>1.0400199999999999</v>
      </c>
      <c r="O8">
        <v>1.41253E-2</v>
      </c>
      <c r="P8">
        <v>0.622471</v>
      </c>
      <c r="Q8">
        <v>8.00434031383997</v>
      </c>
      <c r="R8">
        <v>64</v>
      </c>
      <c r="S8">
        <v>248.831176749859</v>
      </c>
      <c r="T8" t="s">
        <v>0</v>
      </c>
      <c r="U8">
        <v>1.13201</v>
      </c>
      <c r="V8">
        <v>107.06265</v>
      </c>
      <c r="W8">
        <v>377.25788999999997</v>
      </c>
      <c r="X8" t="s">
        <v>1</v>
      </c>
      <c r="Y8" t="s">
        <v>0</v>
      </c>
      <c r="Z8">
        <v>12.829194287043499</v>
      </c>
      <c r="AA8">
        <v>16</v>
      </c>
      <c r="AB8">
        <v>1542.35</v>
      </c>
      <c r="AC8" t="s">
        <v>1</v>
      </c>
      <c r="AD8">
        <f t="shared" si="0"/>
        <v>1</v>
      </c>
      <c r="AE8">
        <f t="shared" si="1"/>
        <v>45354.657012961252</v>
      </c>
      <c r="AF8">
        <f t="shared" si="2"/>
        <v>112.16322034606561</v>
      </c>
    </row>
    <row r="9" spans="1:32" x14ac:dyDescent="0.25">
      <c r="A9" t="s">
        <v>33</v>
      </c>
      <c r="B9">
        <v>-3</v>
      </c>
      <c r="C9">
        <v>0.83097100000000002</v>
      </c>
      <c r="D9">
        <v>-8.7953000000000007E-3</v>
      </c>
      <c r="E9">
        <v>0.77599300000000004</v>
      </c>
      <c r="F9">
        <v>-3</v>
      </c>
      <c r="G9">
        <v>2.1196999999999999</v>
      </c>
      <c r="H9">
        <v>90.25</v>
      </c>
      <c r="I9">
        <v>277.08100000000002</v>
      </c>
      <c r="J9" t="s">
        <v>3</v>
      </c>
      <c r="K9">
        <v>0</v>
      </c>
      <c r="M9">
        <v>301</v>
      </c>
      <c r="N9">
        <v>0.83097100000000002</v>
      </c>
      <c r="O9">
        <v>-8.7953000000000007E-3</v>
      </c>
      <c r="P9">
        <v>0.77599300000000004</v>
      </c>
      <c r="Q9">
        <v>2.1197022049067602</v>
      </c>
      <c r="R9">
        <v>90.25</v>
      </c>
      <c r="S9">
        <v>277.08110707449799</v>
      </c>
      <c r="T9" t="s">
        <v>0</v>
      </c>
      <c r="U9">
        <v>0.96477599999999997</v>
      </c>
      <c r="V9">
        <v>95.602350000000001</v>
      </c>
      <c r="W9">
        <v>467.83587</v>
      </c>
      <c r="X9" t="s">
        <v>1</v>
      </c>
      <c r="Y9" t="s">
        <v>0</v>
      </c>
      <c r="Z9">
        <v>11.455919711009701</v>
      </c>
      <c r="AA9">
        <v>17.5</v>
      </c>
      <c r="AB9">
        <v>1224.3</v>
      </c>
      <c r="AC9" t="s">
        <v>1</v>
      </c>
      <c r="AD9">
        <f t="shared" si="0"/>
        <v>1</v>
      </c>
      <c r="AE9">
        <f t="shared" si="1"/>
        <v>49997.85875686074</v>
      </c>
      <c r="AF9">
        <f t="shared" si="2"/>
        <v>155.76686402833684</v>
      </c>
    </row>
    <row r="10" spans="1:32" x14ac:dyDescent="0.25">
      <c r="A10" t="s">
        <v>33</v>
      </c>
      <c r="B10">
        <v>-3</v>
      </c>
      <c r="C10">
        <v>1.0307900000000001</v>
      </c>
      <c r="D10">
        <v>3.1551500000000003E-2</v>
      </c>
      <c r="E10">
        <v>0.65731399999999995</v>
      </c>
      <c r="F10">
        <v>-3</v>
      </c>
      <c r="G10">
        <v>15.0023</v>
      </c>
      <c r="H10">
        <v>56.25</v>
      </c>
      <c r="I10">
        <v>219.416</v>
      </c>
      <c r="J10" t="s">
        <v>3</v>
      </c>
      <c r="K10">
        <v>0</v>
      </c>
      <c r="M10">
        <v>333</v>
      </c>
      <c r="N10">
        <v>1.0307900000000001</v>
      </c>
      <c r="O10">
        <v>3.1551500000000003E-2</v>
      </c>
      <c r="P10">
        <v>0.65731399999999995</v>
      </c>
      <c r="Q10">
        <v>15.0022595728895</v>
      </c>
      <c r="R10">
        <v>56.25</v>
      </c>
      <c r="S10">
        <v>219.41644653480901</v>
      </c>
      <c r="T10" t="s">
        <v>0</v>
      </c>
      <c r="U10">
        <v>1.12463</v>
      </c>
      <c r="V10">
        <v>115.77575</v>
      </c>
      <c r="W10">
        <v>397.81526000000002</v>
      </c>
      <c r="X10" t="s">
        <v>1</v>
      </c>
      <c r="Y10" t="s">
        <v>0</v>
      </c>
      <c r="Z10">
        <v>13.873275044828199</v>
      </c>
      <c r="AA10">
        <v>15.5</v>
      </c>
      <c r="AB10">
        <v>1893.36</v>
      </c>
      <c r="AC10" t="s">
        <v>1</v>
      </c>
      <c r="AD10">
        <f t="shared" si="0"/>
        <v>1</v>
      </c>
      <c r="AE10">
        <f t="shared" si="1"/>
        <v>54291.974911460238</v>
      </c>
      <c r="AF10">
        <f t="shared" si="2"/>
        <v>109.37396659730133</v>
      </c>
    </row>
    <row r="11" spans="1:32" x14ac:dyDescent="0.25">
      <c r="A11" t="s">
        <v>33</v>
      </c>
      <c r="B11">
        <v>-3</v>
      </c>
      <c r="C11">
        <v>1.0560400000000001</v>
      </c>
      <c r="D11">
        <v>0.10141600000000001</v>
      </c>
      <c r="E11">
        <v>0.64420699999999997</v>
      </c>
      <c r="F11">
        <v>-3</v>
      </c>
      <c r="G11">
        <v>64.950199999999995</v>
      </c>
      <c r="H11">
        <v>36</v>
      </c>
      <c r="I11">
        <v>135.78100000000001</v>
      </c>
      <c r="J11" t="s">
        <v>3</v>
      </c>
      <c r="K11">
        <v>0</v>
      </c>
      <c r="M11">
        <v>380</v>
      </c>
      <c r="N11">
        <v>1.0560400000000001</v>
      </c>
      <c r="O11">
        <v>0.10141600000000001</v>
      </c>
      <c r="P11">
        <v>0.64420699999999997</v>
      </c>
      <c r="Q11">
        <v>64.950163218979995</v>
      </c>
      <c r="R11">
        <v>36</v>
      </c>
      <c r="S11">
        <v>135.781235120285</v>
      </c>
      <c r="T11" t="s">
        <v>0</v>
      </c>
      <c r="U11">
        <v>1.14483</v>
      </c>
      <c r="V11">
        <v>150.708</v>
      </c>
      <c r="W11">
        <v>390.08213000000001</v>
      </c>
      <c r="X11" t="s">
        <v>1</v>
      </c>
      <c r="Y11" t="s">
        <v>0</v>
      </c>
      <c r="Z11">
        <v>18.059166409684</v>
      </c>
      <c r="AA11">
        <v>14</v>
      </c>
      <c r="AB11">
        <v>3046.83</v>
      </c>
      <c r="AC11" t="s">
        <v>1</v>
      </c>
      <c r="AD11">
        <f t="shared" si="0"/>
        <v>1</v>
      </c>
      <c r="AE11">
        <f t="shared" si="1"/>
        <v>65812.225724359814</v>
      </c>
      <c r="AF11">
        <f t="shared" si="2"/>
        <v>82.389122277935257</v>
      </c>
    </row>
    <row r="12" spans="1:32" x14ac:dyDescent="0.25">
      <c r="A12" t="s">
        <v>33</v>
      </c>
      <c r="B12">
        <v>-3</v>
      </c>
      <c r="C12">
        <v>1.10616</v>
      </c>
      <c r="D12">
        <v>-3.3149600000000001E-2</v>
      </c>
      <c r="E12">
        <v>0.65562799999999999</v>
      </c>
      <c r="F12">
        <v>-3</v>
      </c>
      <c r="G12" s="2">
        <v>1.05897E-5</v>
      </c>
      <c r="H12">
        <v>72.25</v>
      </c>
      <c r="I12">
        <v>298.19099999999997</v>
      </c>
      <c r="J12" t="s">
        <v>3</v>
      </c>
      <c r="K12">
        <v>0</v>
      </c>
      <c r="M12">
        <v>398</v>
      </c>
      <c r="N12">
        <v>1.10616</v>
      </c>
      <c r="O12">
        <v>-3.3149600000000001E-2</v>
      </c>
      <c r="P12">
        <v>0.65562799999999999</v>
      </c>
      <c r="Q12">
        <v>1.05896649895015E-5</v>
      </c>
      <c r="R12">
        <v>72.25</v>
      </c>
      <c r="S12">
        <v>298.19054199948198</v>
      </c>
      <c r="T12" t="s">
        <v>0</v>
      </c>
      <c r="U12">
        <v>1.18492</v>
      </c>
      <c r="V12">
        <v>83.425200000000004</v>
      </c>
      <c r="W12">
        <v>396.82051999999999</v>
      </c>
      <c r="X12" t="s">
        <v>1</v>
      </c>
      <c r="Y12" t="s">
        <v>0</v>
      </c>
      <c r="Z12">
        <v>9.9967458234544608</v>
      </c>
      <c r="AA12">
        <v>16.5</v>
      </c>
      <c r="AB12">
        <v>997.10900000000004</v>
      </c>
      <c r="AC12" t="s">
        <v>1</v>
      </c>
      <c r="AD12">
        <f t="shared" si="0"/>
        <v>1</v>
      </c>
      <c r="AE12">
        <f t="shared" si="1"/>
        <v>39580.211287191829</v>
      </c>
      <c r="AF12">
        <f t="shared" si="2"/>
        <v>151.40736199205114</v>
      </c>
    </row>
    <row r="13" spans="1:32" x14ac:dyDescent="0.25">
      <c r="A13" t="s">
        <v>33</v>
      </c>
      <c r="B13">
        <v>-3</v>
      </c>
      <c r="C13">
        <v>1.03687</v>
      </c>
      <c r="D13">
        <v>9.6456100000000006E-3</v>
      </c>
      <c r="E13">
        <v>0.62546900000000005</v>
      </c>
      <c r="F13">
        <v>-3</v>
      </c>
      <c r="G13">
        <v>6.5576800000000004</v>
      </c>
      <c r="H13">
        <v>64</v>
      </c>
      <c r="I13">
        <v>252.93799999999999</v>
      </c>
      <c r="J13" t="s">
        <v>3</v>
      </c>
      <c r="K13">
        <v>0</v>
      </c>
      <c r="M13">
        <v>417</v>
      </c>
      <c r="N13">
        <v>1.03687</v>
      </c>
      <c r="O13">
        <v>9.6456100000000006E-3</v>
      </c>
      <c r="P13">
        <v>0.62546900000000005</v>
      </c>
      <c r="Q13">
        <v>6.5576773585659502</v>
      </c>
      <c r="R13">
        <v>64</v>
      </c>
      <c r="S13">
        <v>252.93808745280501</v>
      </c>
      <c r="T13" t="s">
        <v>0</v>
      </c>
      <c r="U13">
        <v>1.1294900000000001</v>
      </c>
      <c r="V13">
        <v>104.822805</v>
      </c>
      <c r="W13">
        <v>379.02670999999998</v>
      </c>
      <c r="X13" t="s">
        <v>1</v>
      </c>
      <c r="Y13" t="s">
        <v>0</v>
      </c>
      <c r="Z13">
        <v>12.560796235268599</v>
      </c>
      <c r="AA13">
        <v>16</v>
      </c>
      <c r="AB13">
        <v>1495.03</v>
      </c>
      <c r="AC13" t="s">
        <v>1</v>
      </c>
      <c r="AD13">
        <f t="shared" si="0"/>
        <v>1</v>
      </c>
      <c r="AE13">
        <f t="shared" si="1"/>
        <v>45113.087708582083</v>
      </c>
      <c r="AF13">
        <f t="shared" si="2"/>
        <v>115.09704297716191</v>
      </c>
    </row>
    <row r="14" spans="1:32" x14ac:dyDescent="0.25">
      <c r="A14" t="s">
        <v>33</v>
      </c>
      <c r="B14">
        <v>-3</v>
      </c>
      <c r="C14">
        <v>1.10267</v>
      </c>
      <c r="D14">
        <v>2.9383399999999998E-3</v>
      </c>
      <c r="E14">
        <v>0.70021100000000003</v>
      </c>
      <c r="F14">
        <v>-3</v>
      </c>
      <c r="G14">
        <v>4.6609999999999996</v>
      </c>
      <c r="H14">
        <v>56.25</v>
      </c>
      <c r="I14">
        <v>270.43700000000001</v>
      </c>
      <c r="J14" t="s">
        <v>3</v>
      </c>
      <c r="K14">
        <v>0</v>
      </c>
      <c r="M14">
        <v>469</v>
      </c>
      <c r="N14">
        <v>1.10267</v>
      </c>
      <c r="O14">
        <v>2.9383399999999998E-3</v>
      </c>
      <c r="P14">
        <v>0.70021100000000003</v>
      </c>
      <c r="Q14">
        <v>4.6609960510381496</v>
      </c>
      <c r="R14">
        <v>56.25</v>
      </c>
      <c r="S14">
        <v>270.43667335785301</v>
      </c>
      <c r="T14" t="s">
        <v>0</v>
      </c>
      <c r="U14">
        <v>1.1821299999999999</v>
      </c>
      <c r="V14">
        <v>101.46917000000001</v>
      </c>
      <c r="W14">
        <v>423.12448999999998</v>
      </c>
      <c r="X14" t="s">
        <v>1</v>
      </c>
      <c r="Y14" t="s">
        <v>0</v>
      </c>
      <c r="Z14">
        <v>12.158934008032199</v>
      </c>
      <c r="AA14">
        <v>15.5</v>
      </c>
      <c r="AB14">
        <v>1297.5899999999999</v>
      </c>
      <c r="AC14" t="s">
        <v>1</v>
      </c>
      <c r="AD14">
        <f t="shared" si="0"/>
        <v>1</v>
      </c>
      <c r="AE14">
        <f t="shared" si="1"/>
        <v>45155.447559498418</v>
      </c>
      <c r="AF14">
        <f t="shared" si="2"/>
        <v>132.73461116659817</v>
      </c>
    </row>
    <row r="15" spans="1:32" x14ac:dyDescent="0.25">
      <c r="A15" t="s">
        <v>33</v>
      </c>
      <c r="B15">
        <v>-3</v>
      </c>
      <c r="C15">
        <v>1.08531</v>
      </c>
      <c r="D15">
        <v>8.5301100000000005E-2</v>
      </c>
      <c r="E15">
        <v>0.629355</v>
      </c>
      <c r="F15">
        <v>-3</v>
      </c>
      <c r="G15">
        <v>50.319899999999997</v>
      </c>
      <c r="H15">
        <v>42.25</v>
      </c>
      <c r="I15">
        <v>186.43700000000001</v>
      </c>
      <c r="J15" t="s">
        <v>3</v>
      </c>
      <c r="K15">
        <v>0</v>
      </c>
      <c r="M15">
        <v>470</v>
      </c>
      <c r="N15">
        <v>1.08531</v>
      </c>
      <c r="O15">
        <v>8.5301100000000005E-2</v>
      </c>
      <c r="P15">
        <v>0.629355</v>
      </c>
      <c r="Q15">
        <v>50.3198907205309</v>
      </c>
      <c r="R15">
        <v>42.25</v>
      </c>
      <c r="S15">
        <v>186.43695318746401</v>
      </c>
      <c r="T15" t="s">
        <v>0</v>
      </c>
      <c r="U15">
        <v>1.1682399999999999</v>
      </c>
      <c r="V15">
        <v>142.65055000000001</v>
      </c>
      <c r="W15">
        <v>381.31945000000002</v>
      </c>
      <c r="X15" t="s">
        <v>1</v>
      </c>
      <c r="Y15" t="s">
        <v>0</v>
      </c>
      <c r="Z15">
        <v>17.093651437766699</v>
      </c>
      <c r="AA15">
        <v>14.5</v>
      </c>
      <c r="AB15">
        <v>2316.2199999999998</v>
      </c>
      <c r="AC15" t="s">
        <v>1</v>
      </c>
      <c r="AD15">
        <f t="shared" si="0"/>
        <v>1</v>
      </c>
      <c r="AE15">
        <f t="shared" si="1"/>
        <v>51669.459839786781</v>
      </c>
      <c r="AF15">
        <f t="shared" si="2"/>
        <v>85.087474762043101</v>
      </c>
    </row>
    <row r="16" spans="1:32" x14ac:dyDescent="0.25">
      <c r="A16" t="s">
        <v>33</v>
      </c>
      <c r="B16">
        <v>-3</v>
      </c>
      <c r="C16">
        <v>1.0082899999999999</v>
      </c>
      <c r="D16">
        <v>7.0639199999999996E-3</v>
      </c>
      <c r="E16">
        <v>0.65167799999999998</v>
      </c>
      <c r="F16">
        <v>-3</v>
      </c>
      <c r="G16">
        <v>5.78939</v>
      </c>
      <c r="H16">
        <v>64</v>
      </c>
      <c r="I16">
        <v>257.399</v>
      </c>
      <c r="J16" t="s">
        <v>3</v>
      </c>
      <c r="K16">
        <v>0</v>
      </c>
      <c r="M16">
        <v>493</v>
      </c>
      <c r="N16">
        <v>1.0082899999999999</v>
      </c>
      <c r="O16">
        <v>7.0639199999999996E-3</v>
      </c>
      <c r="P16">
        <v>0.65167799999999998</v>
      </c>
      <c r="Q16">
        <v>5.7893930633781201</v>
      </c>
      <c r="R16">
        <v>64</v>
      </c>
      <c r="S16">
        <v>257.399386628635</v>
      </c>
      <c r="T16" t="s">
        <v>0</v>
      </c>
      <c r="U16">
        <v>1.10663</v>
      </c>
      <c r="V16">
        <v>103.53196</v>
      </c>
      <c r="W16">
        <v>394.49002000000002</v>
      </c>
      <c r="X16" t="s">
        <v>1</v>
      </c>
      <c r="Y16" t="s">
        <v>0</v>
      </c>
      <c r="Z16">
        <v>12.406115762671799</v>
      </c>
      <c r="AA16">
        <v>16</v>
      </c>
      <c r="AB16">
        <v>1444.06</v>
      </c>
      <c r="AC16" t="s">
        <v>1</v>
      </c>
      <c r="AD16">
        <f t="shared" si="0"/>
        <v>1</v>
      </c>
      <c r="AE16">
        <f t="shared" si="1"/>
        <v>45918.260733568684</v>
      </c>
      <c r="AF16">
        <f t="shared" si="2"/>
        <v>121.28629011451277</v>
      </c>
    </row>
    <row r="17" spans="1:32" x14ac:dyDescent="0.25">
      <c r="A17" t="s">
        <v>33</v>
      </c>
      <c r="B17">
        <v>-3</v>
      </c>
      <c r="C17">
        <v>1.1535500000000001</v>
      </c>
      <c r="D17">
        <v>0.15155099999999999</v>
      </c>
      <c r="E17">
        <v>0.76579399999999997</v>
      </c>
      <c r="F17">
        <v>-3</v>
      </c>
      <c r="G17">
        <v>122.389</v>
      </c>
      <c r="H17">
        <v>30.25</v>
      </c>
      <c r="I17">
        <v>143.226</v>
      </c>
      <c r="J17" t="s">
        <v>3</v>
      </c>
      <c r="K17">
        <v>0</v>
      </c>
      <c r="M17">
        <v>529</v>
      </c>
      <c r="N17">
        <v>1.1535500000000001</v>
      </c>
      <c r="O17">
        <v>0.15155099999999999</v>
      </c>
      <c r="P17">
        <v>0.76579399999999997</v>
      </c>
      <c r="Q17">
        <v>122.389440654073</v>
      </c>
      <c r="R17">
        <v>30.25</v>
      </c>
      <c r="S17">
        <v>143.22646626684099</v>
      </c>
      <c r="T17" t="s">
        <v>0</v>
      </c>
      <c r="U17">
        <v>1.2228399999999999</v>
      </c>
      <c r="V17">
        <v>175.77549999999999</v>
      </c>
      <c r="W17">
        <v>461.81846000000002</v>
      </c>
      <c r="X17" t="s">
        <v>1</v>
      </c>
      <c r="Y17" t="s">
        <v>0</v>
      </c>
      <c r="Z17">
        <v>21.062976121011602</v>
      </c>
      <c r="AA17">
        <v>13.5</v>
      </c>
      <c r="AB17">
        <v>2931.78</v>
      </c>
      <c r="AC17" t="s">
        <v>1</v>
      </c>
      <c r="AD17">
        <f t="shared" si="0"/>
        <v>1</v>
      </c>
      <c r="AE17">
        <f t="shared" si="1"/>
        <v>64281.045417326022</v>
      </c>
      <c r="AF17">
        <f t="shared" si="2"/>
        <v>83.630188189010127</v>
      </c>
    </row>
    <row r="18" spans="1:32" x14ac:dyDescent="0.25">
      <c r="A18" t="s">
        <v>33</v>
      </c>
      <c r="B18">
        <v>-3</v>
      </c>
      <c r="C18">
        <v>1.0087699999999999</v>
      </c>
      <c r="D18">
        <v>-1.37647E-2</v>
      </c>
      <c r="E18">
        <v>0.62114599999999998</v>
      </c>
      <c r="F18">
        <v>-3</v>
      </c>
      <c r="G18">
        <v>1.34138</v>
      </c>
      <c r="H18">
        <v>81</v>
      </c>
      <c r="I18">
        <v>277.75400000000002</v>
      </c>
      <c r="J18" t="s">
        <v>3</v>
      </c>
      <c r="K18">
        <v>0</v>
      </c>
      <c r="M18">
        <v>540</v>
      </c>
      <c r="N18">
        <v>1.0087699999999999</v>
      </c>
      <c r="O18">
        <v>-1.37647E-2</v>
      </c>
      <c r="P18">
        <v>0.62114599999999998</v>
      </c>
      <c r="Q18">
        <v>1.34138315007831</v>
      </c>
      <c r="R18">
        <v>81</v>
      </c>
      <c r="S18">
        <v>277.75372959204299</v>
      </c>
      <c r="T18" t="s">
        <v>0</v>
      </c>
      <c r="U18">
        <v>1.10701</v>
      </c>
      <c r="V18">
        <v>93.117649999999998</v>
      </c>
      <c r="W18">
        <v>376.47613999999999</v>
      </c>
      <c r="X18" t="s">
        <v>1</v>
      </c>
      <c r="Y18" t="s">
        <v>0</v>
      </c>
      <c r="Z18">
        <v>11.158180966031701</v>
      </c>
      <c r="AA18">
        <v>17</v>
      </c>
      <c r="AB18">
        <v>1216.93</v>
      </c>
      <c r="AC18" t="s">
        <v>1</v>
      </c>
      <c r="AD18">
        <f t="shared" si="0"/>
        <v>1</v>
      </c>
      <c r="AE18">
        <f t="shared" si="1"/>
        <v>41059.121593825068</v>
      </c>
      <c r="AF18">
        <f t="shared" si="2"/>
        <v>128.69319326068995</v>
      </c>
    </row>
    <row r="19" spans="1:32" x14ac:dyDescent="0.25">
      <c r="A19" t="s">
        <v>33</v>
      </c>
      <c r="B19">
        <v>-3</v>
      </c>
      <c r="C19">
        <v>0.97248500000000004</v>
      </c>
      <c r="D19">
        <v>0.105519</v>
      </c>
      <c r="E19">
        <v>0.585781</v>
      </c>
      <c r="F19">
        <v>-3</v>
      </c>
      <c r="G19">
        <v>68.972899999999996</v>
      </c>
      <c r="H19">
        <v>42.25</v>
      </c>
      <c r="I19">
        <v>112.02800000000001</v>
      </c>
      <c r="J19" t="s">
        <v>3</v>
      </c>
      <c r="K19">
        <v>0</v>
      </c>
      <c r="M19">
        <v>543</v>
      </c>
      <c r="N19">
        <v>0.97248500000000004</v>
      </c>
      <c r="O19">
        <v>0.105519</v>
      </c>
      <c r="P19">
        <v>0.585781</v>
      </c>
      <c r="Q19">
        <v>68.972946876563597</v>
      </c>
      <c r="R19">
        <v>42.25</v>
      </c>
      <c r="S19">
        <v>112.028015450553</v>
      </c>
      <c r="T19" t="s">
        <v>0</v>
      </c>
      <c r="U19">
        <v>1.0779879999999999</v>
      </c>
      <c r="V19">
        <v>152.7595</v>
      </c>
      <c r="W19">
        <v>355.61079000000001</v>
      </c>
      <c r="X19" t="s">
        <v>1</v>
      </c>
      <c r="Y19" t="s">
        <v>0</v>
      </c>
      <c r="Z19">
        <v>18.3049952966009</v>
      </c>
      <c r="AA19">
        <v>14.5</v>
      </c>
      <c r="AB19">
        <v>3436.72</v>
      </c>
      <c r="AC19" t="s">
        <v>1</v>
      </c>
      <c r="AD19">
        <f t="shared" si="0"/>
        <v>1</v>
      </c>
      <c r="AE19">
        <f t="shared" si="1"/>
        <v>66765.093047346541</v>
      </c>
      <c r="AF19">
        <f t="shared" si="2"/>
        <v>74.09976472208136</v>
      </c>
    </row>
    <row r="20" spans="1:32" x14ac:dyDescent="0.25">
      <c r="A20" t="s">
        <v>33</v>
      </c>
      <c r="B20">
        <v>-3</v>
      </c>
      <c r="C20">
        <v>0.97855899999999996</v>
      </c>
      <c r="D20">
        <v>9.5137700000000006E-2</v>
      </c>
      <c r="E20">
        <v>0.71626000000000001</v>
      </c>
      <c r="F20">
        <v>-3</v>
      </c>
      <c r="G20">
        <v>59.028599999999997</v>
      </c>
      <c r="H20">
        <v>42.25</v>
      </c>
      <c r="I20">
        <v>154.89099999999999</v>
      </c>
      <c r="J20" t="s">
        <v>3</v>
      </c>
      <c r="K20">
        <v>0</v>
      </c>
      <c r="M20">
        <v>566</v>
      </c>
      <c r="N20">
        <v>0.97855899999999996</v>
      </c>
      <c r="O20">
        <v>9.5137700000000006E-2</v>
      </c>
      <c r="P20">
        <v>0.71626000000000001</v>
      </c>
      <c r="Q20">
        <v>59.028576178408102</v>
      </c>
      <c r="R20">
        <v>42.25</v>
      </c>
      <c r="S20">
        <v>154.89064073634799</v>
      </c>
      <c r="T20" t="s">
        <v>0</v>
      </c>
      <c r="U20">
        <v>1.0828469999999999</v>
      </c>
      <c r="V20">
        <v>147.56885</v>
      </c>
      <c r="W20">
        <v>432.59339999999997</v>
      </c>
      <c r="X20" t="s">
        <v>1</v>
      </c>
      <c r="Y20" t="s">
        <v>0</v>
      </c>
      <c r="Z20">
        <v>17.683005673459299</v>
      </c>
      <c r="AA20">
        <v>14.5</v>
      </c>
      <c r="AB20">
        <v>2757.39</v>
      </c>
      <c r="AC20" t="s">
        <v>1</v>
      </c>
      <c r="AD20">
        <f t="shared" si="0"/>
        <v>1</v>
      </c>
      <c r="AE20">
        <f t="shared" si="1"/>
        <v>67456.219675161628</v>
      </c>
      <c r="AF20">
        <f t="shared" si="2"/>
        <v>93.31153283220614</v>
      </c>
    </row>
    <row r="21" spans="1:32" x14ac:dyDescent="0.25">
      <c r="A21" t="s">
        <v>33</v>
      </c>
      <c r="B21">
        <v>-3</v>
      </c>
      <c r="C21">
        <v>1.0621799999999999</v>
      </c>
      <c r="D21">
        <v>-2.95004E-2</v>
      </c>
      <c r="E21">
        <v>0.59887699999999999</v>
      </c>
      <c r="F21">
        <v>-3</v>
      </c>
      <c r="G21">
        <v>4.6390899999999999E-2</v>
      </c>
      <c r="H21">
        <v>81</v>
      </c>
      <c r="I21">
        <v>284.12200000000001</v>
      </c>
      <c r="J21" t="s">
        <v>3</v>
      </c>
      <c r="K21">
        <v>0</v>
      </c>
      <c r="M21">
        <v>578</v>
      </c>
      <c r="N21">
        <v>1.0621799999999999</v>
      </c>
      <c r="O21">
        <v>-2.95004E-2</v>
      </c>
      <c r="P21">
        <v>0.59887699999999999</v>
      </c>
      <c r="Q21">
        <v>4.6390932641731303E-2</v>
      </c>
      <c r="R21">
        <v>81</v>
      </c>
      <c r="S21">
        <v>284.12196515744</v>
      </c>
      <c r="T21" t="s">
        <v>0</v>
      </c>
      <c r="U21">
        <v>1.14974</v>
      </c>
      <c r="V21">
        <v>85.249799999999993</v>
      </c>
      <c r="W21">
        <v>363.33742999999998</v>
      </c>
      <c r="X21" t="s">
        <v>1</v>
      </c>
      <c r="Y21" t="s">
        <v>0</v>
      </c>
      <c r="Z21">
        <v>10.21538554418</v>
      </c>
      <c r="AA21">
        <v>17</v>
      </c>
      <c r="AB21">
        <v>1147.5899999999999</v>
      </c>
      <c r="AC21" t="s">
        <v>1</v>
      </c>
      <c r="AD21">
        <f t="shared" si="0"/>
        <v>1</v>
      </c>
      <c r="AE21">
        <f t="shared" si="1"/>
        <v>40817.098825139838</v>
      </c>
      <c r="AF21">
        <f t="shared" si="2"/>
        <v>135.66471239769595</v>
      </c>
    </row>
    <row r="22" spans="1:32" x14ac:dyDescent="0.25">
      <c r="A22" t="s">
        <v>33</v>
      </c>
      <c r="B22">
        <v>-3</v>
      </c>
      <c r="C22">
        <v>0.91211900000000001</v>
      </c>
      <c r="D22">
        <v>6.0631900000000002E-2</v>
      </c>
      <c r="E22">
        <v>0.552458</v>
      </c>
      <c r="F22">
        <v>-3</v>
      </c>
      <c r="G22">
        <v>31.5351</v>
      </c>
      <c r="H22">
        <v>56.25</v>
      </c>
      <c r="I22">
        <v>169.7</v>
      </c>
      <c r="J22" t="s">
        <v>3</v>
      </c>
      <c r="K22">
        <v>0</v>
      </c>
      <c r="M22">
        <v>595</v>
      </c>
      <c r="N22">
        <v>0.91211900000000001</v>
      </c>
      <c r="O22">
        <v>6.0631900000000002E-2</v>
      </c>
      <c r="P22">
        <v>0.552458</v>
      </c>
      <c r="Q22">
        <v>31.535081261781301</v>
      </c>
      <c r="R22">
        <v>56.25</v>
      </c>
      <c r="S22">
        <v>169.69951687821299</v>
      </c>
      <c r="T22" t="s">
        <v>0</v>
      </c>
      <c r="U22">
        <v>1.029695</v>
      </c>
      <c r="V22">
        <v>130.31594999999999</v>
      </c>
      <c r="W22">
        <v>335.95022</v>
      </c>
      <c r="X22" t="s">
        <v>1</v>
      </c>
      <c r="Y22" t="s">
        <v>0</v>
      </c>
      <c r="Z22">
        <v>15.6156104976913</v>
      </c>
      <c r="AA22">
        <v>15.5</v>
      </c>
      <c r="AB22">
        <v>2545.19</v>
      </c>
      <c r="AC22" t="s">
        <v>1</v>
      </c>
      <c r="AD22">
        <f t="shared" si="0"/>
        <v>1</v>
      </c>
      <c r="AE22">
        <f t="shared" si="1"/>
        <v>54756.561747503656</v>
      </c>
      <c r="AF22">
        <f t="shared" si="2"/>
        <v>82.059238559531252</v>
      </c>
    </row>
    <row r="23" spans="1:32" x14ac:dyDescent="0.25">
      <c r="A23" t="s">
        <v>33</v>
      </c>
      <c r="B23">
        <v>-3</v>
      </c>
      <c r="C23">
        <v>0.823766</v>
      </c>
      <c r="D23">
        <v>7.7853599999999995E-2</v>
      </c>
      <c r="E23">
        <v>0.658609</v>
      </c>
      <c r="F23">
        <v>-3</v>
      </c>
      <c r="G23">
        <v>44.188400000000001</v>
      </c>
      <c r="H23">
        <v>56.25</v>
      </c>
      <c r="I23">
        <v>143.608</v>
      </c>
      <c r="J23" t="s">
        <v>3</v>
      </c>
      <c r="K23">
        <v>0</v>
      </c>
      <c r="M23">
        <v>597</v>
      </c>
      <c r="N23">
        <v>0.823766</v>
      </c>
      <c r="O23">
        <v>7.7853599999999995E-2</v>
      </c>
      <c r="P23">
        <v>0.658609</v>
      </c>
      <c r="Q23">
        <v>44.188442008211801</v>
      </c>
      <c r="R23">
        <v>56.25</v>
      </c>
      <c r="S23">
        <v>143.60771957890699</v>
      </c>
      <c r="T23" t="s">
        <v>0</v>
      </c>
      <c r="U23">
        <v>0.95901199999999998</v>
      </c>
      <c r="V23">
        <v>138.92679999999999</v>
      </c>
      <c r="W23">
        <v>398.57931000000002</v>
      </c>
      <c r="X23" t="s">
        <v>1</v>
      </c>
      <c r="Y23" t="s">
        <v>0</v>
      </c>
      <c r="Z23">
        <v>16.647438755506599</v>
      </c>
      <c r="AA23">
        <v>15.5</v>
      </c>
      <c r="AB23">
        <v>2925.97</v>
      </c>
      <c r="AC23" t="s">
        <v>1</v>
      </c>
      <c r="AD23">
        <f t="shared" si="0"/>
        <v>1</v>
      </c>
      <c r="AE23">
        <f t="shared" si="1"/>
        <v>70054.686538188165</v>
      </c>
      <c r="AF23">
        <f t="shared" si="2"/>
        <v>91.322721606856163</v>
      </c>
    </row>
    <row r="24" spans="1:32" x14ac:dyDescent="0.25">
      <c r="A24" t="s">
        <v>33</v>
      </c>
      <c r="B24">
        <v>-3</v>
      </c>
      <c r="C24">
        <v>1.1364099999999999</v>
      </c>
      <c r="D24">
        <v>5.5244500000000002E-2</v>
      </c>
      <c r="E24">
        <v>0.63690199999999997</v>
      </c>
      <c r="F24">
        <v>-3</v>
      </c>
      <c r="G24">
        <v>28.013999999999999</v>
      </c>
      <c r="H24">
        <v>42.25</v>
      </c>
      <c r="I24">
        <v>206.87100000000001</v>
      </c>
      <c r="J24" t="s">
        <v>3</v>
      </c>
      <c r="K24">
        <v>0</v>
      </c>
      <c r="M24">
        <v>600</v>
      </c>
      <c r="N24">
        <v>1.1364099999999999</v>
      </c>
      <c r="O24">
        <v>5.5244500000000002E-2</v>
      </c>
      <c r="P24">
        <v>0.63690199999999997</v>
      </c>
      <c r="Q24">
        <v>28.0140231876657</v>
      </c>
      <c r="R24">
        <v>42.25</v>
      </c>
      <c r="S24">
        <v>206.87108305498199</v>
      </c>
      <c r="T24" t="s">
        <v>0</v>
      </c>
      <c r="U24">
        <v>1.20912</v>
      </c>
      <c r="V24">
        <v>127.62224999999999</v>
      </c>
      <c r="W24">
        <v>385.77217999999999</v>
      </c>
      <c r="X24" t="s">
        <v>1</v>
      </c>
      <c r="Y24" t="s">
        <v>0</v>
      </c>
      <c r="Z24">
        <v>15.292827522947</v>
      </c>
      <c r="AA24">
        <v>14.5</v>
      </c>
      <c r="AB24">
        <v>2050.1999999999998</v>
      </c>
      <c r="AC24" t="s">
        <v>1</v>
      </c>
      <c r="AD24">
        <f t="shared" si="0"/>
        <v>1</v>
      </c>
      <c r="AE24">
        <f t="shared" si="1"/>
        <v>51717.71683485173</v>
      </c>
      <c r="AF24">
        <f t="shared" si="2"/>
        <v>96.21762561675007</v>
      </c>
    </row>
    <row r="25" spans="1:32" x14ac:dyDescent="0.25">
      <c r="A25" t="s">
        <v>33</v>
      </c>
      <c r="B25">
        <v>-3</v>
      </c>
      <c r="C25">
        <v>0.91884299999999997</v>
      </c>
      <c r="D25">
        <v>1.7326600000000001E-2</v>
      </c>
      <c r="E25">
        <v>0.56180099999999999</v>
      </c>
      <c r="F25">
        <v>-3</v>
      </c>
      <c r="G25">
        <v>9.1264299999999992</v>
      </c>
      <c r="H25">
        <v>72.25</v>
      </c>
      <c r="I25">
        <v>230.62299999999999</v>
      </c>
      <c r="J25" t="s">
        <v>3</v>
      </c>
      <c r="K25">
        <v>0</v>
      </c>
      <c r="M25">
        <v>603</v>
      </c>
      <c r="N25">
        <v>0.91884299999999997</v>
      </c>
      <c r="O25">
        <v>1.7326600000000001E-2</v>
      </c>
      <c r="P25">
        <v>0.56180099999999999</v>
      </c>
      <c r="Q25">
        <v>9.1264309502655703</v>
      </c>
      <c r="R25">
        <v>72.25</v>
      </c>
      <c r="S25">
        <v>230.62291717095101</v>
      </c>
      <c r="T25" t="s">
        <v>0</v>
      </c>
      <c r="U25">
        <v>1.035074</v>
      </c>
      <c r="V25">
        <v>108.66330000000001</v>
      </c>
      <c r="W25">
        <v>341.46258999999998</v>
      </c>
      <c r="X25" t="s">
        <v>1</v>
      </c>
      <c r="Y25" t="s">
        <v>0</v>
      </c>
      <c r="Z25">
        <v>13.020998336686899</v>
      </c>
      <c r="AA25">
        <v>16.5</v>
      </c>
      <c r="AB25">
        <v>1757.01</v>
      </c>
      <c r="AC25" t="s">
        <v>1</v>
      </c>
      <c r="AD25">
        <f t="shared" si="0"/>
        <v>1</v>
      </c>
      <c r="AE25">
        <f t="shared" si="1"/>
        <v>46075.820742985656</v>
      </c>
      <c r="AF25">
        <f t="shared" si="2"/>
        <v>100.0254162711075</v>
      </c>
    </row>
    <row r="26" spans="1:32" x14ac:dyDescent="0.25">
      <c r="A26" t="s">
        <v>33</v>
      </c>
      <c r="B26">
        <v>-3</v>
      </c>
      <c r="C26">
        <v>0.92207799999999995</v>
      </c>
      <c r="D26">
        <v>5.4322199999999998E-3</v>
      </c>
      <c r="E26">
        <v>0.61616499999999996</v>
      </c>
      <c r="F26">
        <v>-3</v>
      </c>
      <c r="G26">
        <v>5.3285</v>
      </c>
      <c r="H26">
        <v>72.25</v>
      </c>
      <c r="I26">
        <v>248.83199999999999</v>
      </c>
      <c r="J26" t="s">
        <v>3</v>
      </c>
      <c r="K26">
        <v>0</v>
      </c>
      <c r="M26">
        <v>611</v>
      </c>
      <c r="N26">
        <v>0.92207799999999995</v>
      </c>
      <c r="O26">
        <v>5.4322199999999998E-3</v>
      </c>
      <c r="P26">
        <v>0.61616499999999996</v>
      </c>
      <c r="Q26">
        <v>5.3284953959554304</v>
      </c>
      <c r="R26">
        <v>72.25</v>
      </c>
      <c r="S26">
        <v>248.83204110039401</v>
      </c>
      <c r="T26" t="s">
        <v>0</v>
      </c>
      <c r="U26">
        <v>1.0376620000000001</v>
      </c>
      <c r="V26">
        <v>102.71611</v>
      </c>
      <c r="W26">
        <v>373.53735</v>
      </c>
      <c r="X26" t="s">
        <v>1</v>
      </c>
      <c r="Y26" t="s">
        <v>0</v>
      </c>
      <c r="Z26">
        <v>12.3083533949452</v>
      </c>
      <c r="AA26">
        <v>16.5</v>
      </c>
      <c r="AB26">
        <v>1542.34</v>
      </c>
      <c r="AC26" t="s">
        <v>1</v>
      </c>
      <c r="AD26">
        <f t="shared" si="0"/>
        <v>1</v>
      </c>
      <c r="AE26">
        <f t="shared" si="1"/>
        <v>46807.365527512549</v>
      </c>
      <c r="AF26">
        <f t="shared" si="2"/>
        <v>115.75655597149736</v>
      </c>
    </row>
    <row r="27" spans="1:32" x14ac:dyDescent="0.25">
      <c r="A27" t="s">
        <v>33</v>
      </c>
      <c r="B27">
        <v>-3</v>
      </c>
      <c r="C27">
        <v>1.0446200000000001</v>
      </c>
      <c r="D27">
        <v>0.13877500000000001</v>
      </c>
      <c r="E27">
        <v>0.63427999999999995</v>
      </c>
      <c r="F27">
        <v>-3</v>
      </c>
      <c r="G27">
        <v>106.039</v>
      </c>
      <c r="H27">
        <v>36</v>
      </c>
      <c r="I27">
        <v>111.089</v>
      </c>
      <c r="J27" t="s">
        <v>3</v>
      </c>
      <c r="K27">
        <v>0</v>
      </c>
      <c r="M27">
        <v>627</v>
      </c>
      <c r="N27">
        <v>1.0446200000000001</v>
      </c>
      <c r="O27">
        <v>0.13877500000000001</v>
      </c>
      <c r="P27">
        <v>0.63427999999999995</v>
      </c>
      <c r="Q27">
        <v>106.038700330285</v>
      </c>
      <c r="R27">
        <v>36</v>
      </c>
      <c r="S27">
        <v>111.088712347532</v>
      </c>
      <c r="T27" t="s">
        <v>0</v>
      </c>
      <c r="U27">
        <v>1.1356900000000001</v>
      </c>
      <c r="V27">
        <v>169.38749999999999</v>
      </c>
      <c r="W27">
        <v>384.22519999999997</v>
      </c>
      <c r="X27" t="s">
        <v>1</v>
      </c>
      <c r="Y27" t="s">
        <v>0</v>
      </c>
      <c r="Z27">
        <v>20.297509423655999</v>
      </c>
      <c r="AA27">
        <v>14</v>
      </c>
      <c r="AB27">
        <v>3452.95</v>
      </c>
      <c r="AC27" t="s">
        <v>1</v>
      </c>
      <c r="AD27">
        <f t="shared" si="0"/>
        <v>1</v>
      </c>
      <c r="AE27">
        <f t="shared" si="1"/>
        <v>65363.211645748408</v>
      </c>
      <c r="AF27">
        <f t="shared" si="2"/>
        <v>72.202895538894083</v>
      </c>
    </row>
    <row r="28" spans="1:32" x14ac:dyDescent="0.25">
      <c r="A28" t="s">
        <v>33</v>
      </c>
      <c r="B28">
        <v>-3</v>
      </c>
      <c r="C28">
        <v>1.02474</v>
      </c>
      <c r="D28">
        <v>0.14191699999999999</v>
      </c>
      <c r="E28">
        <v>0.55102700000000004</v>
      </c>
      <c r="F28">
        <v>-3</v>
      </c>
      <c r="G28">
        <v>109.95099999999999</v>
      </c>
      <c r="H28">
        <v>36</v>
      </c>
      <c r="I28">
        <v>85.622799999999998</v>
      </c>
      <c r="J28" t="s">
        <v>3</v>
      </c>
      <c r="K28">
        <v>0</v>
      </c>
      <c r="M28">
        <v>629</v>
      </c>
      <c r="N28">
        <v>1.02474</v>
      </c>
      <c r="O28">
        <v>0.14191699999999999</v>
      </c>
      <c r="P28">
        <v>0.55102700000000004</v>
      </c>
      <c r="Q28">
        <v>109.951174267487</v>
      </c>
      <c r="R28">
        <v>36</v>
      </c>
      <c r="S28">
        <v>85.622825697879506</v>
      </c>
      <c r="T28" t="s">
        <v>0</v>
      </c>
      <c r="U28">
        <v>1.1197900000000001</v>
      </c>
      <c r="V28">
        <v>170.95849999999999</v>
      </c>
      <c r="W28">
        <v>335.10593</v>
      </c>
      <c r="X28" t="s">
        <v>1</v>
      </c>
      <c r="Y28" t="s">
        <v>0</v>
      </c>
      <c r="Z28">
        <v>20.485760547880499</v>
      </c>
      <c r="AA28">
        <v>14</v>
      </c>
      <c r="AB28">
        <v>3922.56</v>
      </c>
      <c r="AC28" t="s">
        <v>1</v>
      </c>
      <c r="AD28">
        <f t="shared" si="0"/>
        <v>1</v>
      </c>
      <c r="AE28">
        <f t="shared" si="1"/>
        <v>64165.209473601812</v>
      </c>
      <c r="AF28">
        <f t="shared" si="2"/>
        <v>62.393815129293564</v>
      </c>
    </row>
    <row r="29" spans="1:32" x14ac:dyDescent="0.25">
      <c r="A29" t="s">
        <v>33</v>
      </c>
      <c r="B29">
        <v>-3</v>
      </c>
      <c r="C29">
        <v>1.0447500000000001</v>
      </c>
      <c r="D29">
        <v>3.7119300000000001E-2</v>
      </c>
      <c r="E29">
        <v>0.64341899999999996</v>
      </c>
      <c r="F29">
        <v>-3</v>
      </c>
      <c r="G29">
        <v>17.697700000000001</v>
      </c>
      <c r="H29">
        <v>49</v>
      </c>
      <c r="I29">
        <v>217.19200000000001</v>
      </c>
      <c r="J29" t="s">
        <v>3</v>
      </c>
      <c r="K29">
        <v>0</v>
      </c>
      <c r="M29">
        <v>645</v>
      </c>
      <c r="N29">
        <v>1.0447500000000001</v>
      </c>
      <c r="O29">
        <v>3.7119300000000001E-2</v>
      </c>
      <c r="P29">
        <v>0.64341899999999996</v>
      </c>
      <c r="Q29">
        <v>17.697726437846399</v>
      </c>
      <c r="R29">
        <v>49</v>
      </c>
      <c r="S29">
        <v>217.192493067367</v>
      </c>
      <c r="T29" t="s">
        <v>0</v>
      </c>
      <c r="U29">
        <v>1.1357999999999999</v>
      </c>
      <c r="V29">
        <v>118.55965</v>
      </c>
      <c r="W29">
        <v>389.61721</v>
      </c>
      <c r="X29" t="s">
        <v>1</v>
      </c>
      <c r="Y29" t="s">
        <v>0</v>
      </c>
      <c r="Z29">
        <v>14.2068665818928</v>
      </c>
      <c r="AA29">
        <v>15</v>
      </c>
      <c r="AB29">
        <v>1920.83</v>
      </c>
      <c r="AC29" t="s">
        <v>1</v>
      </c>
      <c r="AD29">
        <f t="shared" si="0"/>
        <v>1</v>
      </c>
      <c r="AE29">
        <f t="shared" si="1"/>
        <v>52677.937191171339</v>
      </c>
      <c r="AF29">
        <f t="shared" si="2"/>
        <v>104.60473674673135</v>
      </c>
    </row>
    <row r="30" spans="1:32" x14ac:dyDescent="0.25">
      <c r="A30" t="s">
        <v>33</v>
      </c>
      <c r="B30">
        <v>-3</v>
      </c>
      <c r="C30">
        <v>0.98429999999999995</v>
      </c>
      <c r="D30">
        <v>3.25475E-2</v>
      </c>
      <c r="E30">
        <v>0.65069900000000003</v>
      </c>
      <c r="F30">
        <v>-3</v>
      </c>
      <c r="G30">
        <v>15.4681</v>
      </c>
      <c r="H30">
        <v>56.25</v>
      </c>
      <c r="I30">
        <v>216.358</v>
      </c>
      <c r="J30" t="s">
        <v>3</v>
      </c>
      <c r="K30">
        <v>0</v>
      </c>
      <c r="M30">
        <v>654</v>
      </c>
      <c r="N30">
        <v>0.98429999999999995</v>
      </c>
      <c r="O30">
        <v>3.25475E-2</v>
      </c>
      <c r="P30">
        <v>0.65069900000000003</v>
      </c>
      <c r="Q30">
        <v>15.468094226900201</v>
      </c>
      <c r="R30">
        <v>56.25</v>
      </c>
      <c r="S30">
        <v>216.35750191330399</v>
      </c>
      <c r="T30" t="s">
        <v>0</v>
      </c>
      <c r="U30">
        <v>1.0873999999999999</v>
      </c>
      <c r="V30">
        <v>116.27375000000001</v>
      </c>
      <c r="W30">
        <v>393.91241000000002</v>
      </c>
      <c r="X30" t="s">
        <v>1</v>
      </c>
      <c r="Y30" t="s">
        <v>0</v>
      </c>
      <c r="Z30">
        <v>13.932949812405401</v>
      </c>
      <c r="AA30">
        <v>15.5</v>
      </c>
      <c r="AB30">
        <v>1931.18</v>
      </c>
      <c r="AC30" t="s">
        <v>1</v>
      </c>
      <c r="AD30">
        <f t="shared" si="0"/>
        <v>1</v>
      </c>
      <c r="AE30">
        <f t="shared" si="1"/>
        <v>54598.32829272707</v>
      </c>
      <c r="AF30">
        <f t="shared" si="2"/>
        <v>107.83707792471017</v>
      </c>
    </row>
    <row r="31" spans="1:32" x14ac:dyDescent="0.25">
      <c r="A31" t="s">
        <v>33</v>
      </c>
      <c r="B31">
        <v>-3</v>
      </c>
      <c r="C31">
        <v>1.0440400000000001</v>
      </c>
      <c r="D31">
        <v>4.15559E-2</v>
      </c>
      <c r="E31">
        <v>0.57645299999999999</v>
      </c>
      <c r="F31">
        <v>-3</v>
      </c>
      <c r="G31">
        <v>20.004899999999999</v>
      </c>
      <c r="H31">
        <v>49</v>
      </c>
      <c r="I31">
        <v>195.066</v>
      </c>
      <c r="J31" t="s">
        <v>3</v>
      </c>
      <c r="K31">
        <v>0</v>
      </c>
      <c r="M31">
        <v>656</v>
      </c>
      <c r="N31">
        <v>1.0440400000000001</v>
      </c>
      <c r="O31">
        <v>4.15559E-2</v>
      </c>
      <c r="P31">
        <v>0.57645299999999999</v>
      </c>
      <c r="Q31">
        <v>20.004892512543101</v>
      </c>
      <c r="R31">
        <v>49</v>
      </c>
      <c r="S31">
        <v>195.06599208932201</v>
      </c>
      <c r="T31" t="s">
        <v>0</v>
      </c>
      <c r="U31">
        <v>1.13523</v>
      </c>
      <c r="V31">
        <v>120.77795</v>
      </c>
      <c r="W31">
        <v>350.10727000000003</v>
      </c>
      <c r="X31" t="s">
        <v>1</v>
      </c>
      <c r="Y31" t="s">
        <v>0</v>
      </c>
      <c r="Z31">
        <v>14.4726829210825</v>
      </c>
      <c r="AA31">
        <v>15</v>
      </c>
      <c r="AB31">
        <v>2202.19</v>
      </c>
      <c r="AC31" t="s">
        <v>1</v>
      </c>
      <c r="AD31">
        <f t="shared" si="0"/>
        <v>1</v>
      </c>
      <c r="AE31">
        <f t="shared" si="1"/>
        <v>53272.964876344573</v>
      </c>
      <c r="AF31">
        <f t="shared" si="2"/>
        <v>92.270654755953117</v>
      </c>
    </row>
    <row r="32" spans="1:32" x14ac:dyDescent="0.25">
      <c r="A32" t="s">
        <v>33</v>
      </c>
      <c r="B32">
        <v>-3</v>
      </c>
      <c r="C32">
        <v>0.97477800000000003</v>
      </c>
      <c r="D32">
        <v>0.126274</v>
      </c>
      <c r="E32">
        <v>0.54028900000000002</v>
      </c>
      <c r="F32">
        <v>-3</v>
      </c>
      <c r="G32">
        <v>91.174199999999999</v>
      </c>
      <c r="H32">
        <v>42.25</v>
      </c>
      <c r="I32">
        <v>86.242999999999995</v>
      </c>
      <c r="J32" t="s">
        <v>3</v>
      </c>
      <c r="K32">
        <v>0</v>
      </c>
      <c r="M32">
        <v>658</v>
      </c>
      <c r="N32">
        <v>0.97477800000000003</v>
      </c>
      <c r="O32">
        <v>0.126274</v>
      </c>
      <c r="P32">
        <v>0.54028900000000002</v>
      </c>
      <c r="Q32">
        <v>91.174218783902802</v>
      </c>
      <c r="R32">
        <v>42.25</v>
      </c>
      <c r="S32">
        <v>86.243025877275201</v>
      </c>
      <c r="T32" t="s">
        <v>0</v>
      </c>
      <c r="U32">
        <v>1.0798220000000001</v>
      </c>
      <c r="V32">
        <v>163.137</v>
      </c>
      <c r="W32">
        <v>328.77051</v>
      </c>
      <c r="X32" t="s">
        <v>1</v>
      </c>
      <c r="Y32" t="s">
        <v>0</v>
      </c>
      <c r="Z32">
        <v>19.548519193252002</v>
      </c>
      <c r="AA32">
        <v>14.5</v>
      </c>
      <c r="AB32">
        <v>3910.35</v>
      </c>
      <c r="AC32" t="s">
        <v>1</v>
      </c>
      <c r="AD32">
        <f t="shared" si="0"/>
        <v>1</v>
      </c>
      <c r="AE32">
        <f t="shared" si="1"/>
        <v>65764.969257737015</v>
      </c>
      <c r="AF32">
        <f t="shared" si="2"/>
        <v>64.149091633833422</v>
      </c>
    </row>
    <row r="33" spans="1:32" x14ac:dyDescent="0.25">
      <c r="A33" t="s">
        <v>33</v>
      </c>
      <c r="B33">
        <v>-3</v>
      </c>
      <c r="C33">
        <v>1.03495</v>
      </c>
      <c r="D33">
        <v>-8.3284199999999996E-3</v>
      </c>
      <c r="E33">
        <v>0.68238299999999996</v>
      </c>
      <c r="F33">
        <v>-3</v>
      </c>
      <c r="G33">
        <v>2.20194</v>
      </c>
      <c r="H33">
        <v>64</v>
      </c>
      <c r="I33">
        <v>273.51900000000001</v>
      </c>
      <c r="J33" t="s">
        <v>3</v>
      </c>
      <c r="K33">
        <v>0</v>
      </c>
      <c r="M33">
        <v>667</v>
      </c>
      <c r="N33">
        <v>1.03495</v>
      </c>
      <c r="O33">
        <v>-8.3284199999999996E-3</v>
      </c>
      <c r="P33">
        <v>0.68238299999999996</v>
      </c>
      <c r="Q33">
        <v>2.2019371233426299</v>
      </c>
      <c r="R33">
        <v>64</v>
      </c>
      <c r="S33">
        <v>273.51903704559902</v>
      </c>
      <c r="T33" t="s">
        <v>0</v>
      </c>
      <c r="U33">
        <v>1.1279600000000001</v>
      </c>
      <c r="V33">
        <v>95.835790000000003</v>
      </c>
      <c r="W33">
        <v>412.60597000000001</v>
      </c>
      <c r="X33" t="s">
        <v>1</v>
      </c>
      <c r="Y33" t="s">
        <v>0</v>
      </c>
      <c r="Z33">
        <v>11.483892557883699</v>
      </c>
      <c r="AA33">
        <v>16</v>
      </c>
      <c r="AB33">
        <v>1263.48</v>
      </c>
      <c r="AC33" t="s">
        <v>1</v>
      </c>
      <c r="AD33">
        <f t="shared" si="0"/>
        <v>1</v>
      </c>
      <c r="AE33">
        <f t="shared" si="1"/>
        <v>45395.70431784595</v>
      </c>
      <c r="AF33">
        <f t="shared" si="2"/>
        <v>137.04333146254916</v>
      </c>
    </row>
    <row r="34" spans="1:32" x14ac:dyDescent="0.25">
      <c r="A34" t="s">
        <v>33</v>
      </c>
      <c r="B34">
        <v>-3</v>
      </c>
      <c r="C34">
        <v>1.0236000000000001</v>
      </c>
      <c r="D34">
        <v>3.9057699999999998E-3</v>
      </c>
      <c r="E34">
        <v>0.67142800000000002</v>
      </c>
      <c r="F34">
        <v>-3</v>
      </c>
      <c r="G34">
        <v>4.9146299999999998</v>
      </c>
      <c r="H34">
        <v>64</v>
      </c>
      <c r="I34">
        <v>262.822</v>
      </c>
      <c r="J34" t="s">
        <v>3</v>
      </c>
      <c r="K34">
        <v>0</v>
      </c>
      <c r="M34">
        <v>685</v>
      </c>
      <c r="N34">
        <v>1.0236000000000001</v>
      </c>
      <c r="O34">
        <v>3.9057699999999998E-3</v>
      </c>
      <c r="P34">
        <v>0.67142800000000002</v>
      </c>
      <c r="Q34">
        <v>4.9146323994096601</v>
      </c>
      <c r="R34">
        <v>64</v>
      </c>
      <c r="S34">
        <v>262.82183741790197</v>
      </c>
      <c r="T34" t="s">
        <v>0</v>
      </c>
      <c r="U34">
        <v>1.1188</v>
      </c>
      <c r="V34">
        <v>101.95288499999999</v>
      </c>
      <c r="W34">
        <v>406.14251999999999</v>
      </c>
      <c r="X34" t="s">
        <v>1</v>
      </c>
      <c r="Y34" t="s">
        <v>0</v>
      </c>
      <c r="Z34">
        <v>12.2168970204792</v>
      </c>
      <c r="AA34">
        <v>16</v>
      </c>
      <c r="AB34">
        <v>1382.7</v>
      </c>
      <c r="AC34" t="s">
        <v>1</v>
      </c>
      <c r="AD34">
        <f t="shared" ref="AD34:AD65" si="3">IF(A34="set1",1)+IF(A34="set2",2)+IF(A34="set3",3)+IF(A34="set4",4)</f>
        <v>1</v>
      </c>
      <c r="AE34">
        <f t="shared" ref="AE34:AE65" si="4">W34*AB34/Z34</f>
        <v>45966.931002416903</v>
      </c>
      <c r="AF34">
        <f t="shared" si="2"/>
        <v>126.80286518189055</v>
      </c>
    </row>
    <row r="35" spans="1:32" x14ac:dyDescent="0.25">
      <c r="A35" t="s">
        <v>33</v>
      </c>
      <c r="B35">
        <v>-3</v>
      </c>
      <c r="C35">
        <v>0.87267399999999995</v>
      </c>
      <c r="D35">
        <v>-4.03083E-3</v>
      </c>
      <c r="E35">
        <v>0.70748699999999998</v>
      </c>
      <c r="F35">
        <v>-3</v>
      </c>
      <c r="G35">
        <v>3.0324</v>
      </c>
      <c r="H35">
        <v>81</v>
      </c>
      <c r="I35">
        <v>266.12</v>
      </c>
      <c r="J35" t="s">
        <v>3</v>
      </c>
      <c r="K35">
        <v>0</v>
      </c>
      <c r="M35">
        <v>689</v>
      </c>
      <c r="N35">
        <v>0.87267399999999995</v>
      </c>
      <c r="O35">
        <v>-4.03083E-3</v>
      </c>
      <c r="P35">
        <v>0.70748699999999998</v>
      </c>
      <c r="Q35">
        <v>3.03240497593004</v>
      </c>
      <c r="R35">
        <v>81</v>
      </c>
      <c r="S35">
        <v>266.11977914130199</v>
      </c>
      <c r="T35" t="s">
        <v>0</v>
      </c>
      <c r="U35">
        <v>0.998139</v>
      </c>
      <c r="V35">
        <v>97.984584999999996</v>
      </c>
      <c r="W35">
        <v>427.41732999999999</v>
      </c>
      <c r="X35" t="s">
        <v>1</v>
      </c>
      <c r="Y35" t="s">
        <v>0</v>
      </c>
      <c r="Z35">
        <v>11.7413801928154</v>
      </c>
      <c r="AA35">
        <v>17</v>
      </c>
      <c r="AB35">
        <v>1345.69</v>
      </c>
      <c r="AC35" t="s">
        <v>1</v>
      </c>
      <c r="AD35">
        <f t="shared" si="3"/>
        <v>1</v>
      </c>
      <c r="AE35">
        <f t="shared" si="4"/>
        <v>48986.679364973606</v>
      </c>
      <c r="AF35">
        <f t="shared" si="2"/>
        <v>138.84955645347654</v>
      </c>
    </row>
    <row r="36" spans="1:32" x14ac:dyDescent="0.25">
      <c r="A36" t="s">
        <v>33</v>
      </c>
      <c r="B36">
        <v>-3</v>
      </c>
      <c r="C36">
        <v>1.0308200000000001</v>
      </c>
      <c r="D36">
        <v>3.6142800000000003E-2</v>
      </c>
      <c r="E36">
        <v>0.603491</v>
      </c>
      <c r="F36">
        <v>-3</v>
      </c>
      <c r="G36">
        <v>17.2089</v>
      </c>
      <c r="H36">
        <v>56.25</v>
      </c>
      <c r="I36">
        <v>201.75899999999999</v>
      </c>
      <c r="J36" t="s">
        <v>3</v>
      </c>
      <c r="K36">
        <v>0</v>
      </c>
      <c r="M36">
        <v>709</v>
      </c>
      <c r="N36">
        <v>1.0308200000000001</v>
      </c>
      <c r="O36">
        <v>3.6142800000000003E-2</v>
      </c>
      <c r="P36">
        <v>0.603491</v>
      </c>
      <c r="Q36">
        <v>17.208891897673301</v>
      </c>
      <c r="R36">
        <v>56.25</v>
      </c>
      <c r="S36">
        <v>201.75906414636799</v>
      </c>
      <c r="T36" t="s">
        <v>0</v>
      </c>
      <c r="U36">
        <v>1.1246499999999999</v>
      </c>
      <c r="V36">
        <v>118.0714</v>
      </c>
      <c r="W36">
        <v>366.05968999999999</v>
      </c>
      <c r="X36" t="s">
        <v>1</v>
      </c>
      <c r="Y36" t="s">
        <v>0</v>
      </c>
      <c r="Z36">
        <v>14.1483601456085</v>
      </c>
      <c r="AA36">
        <v>15.5</v>
      </c>
      <c r="AB36">
        <v>2115.4699999999998</v>
      </c>
      <c r="AC36" t="s">
        <v>1</v>
      </c>
      <c r="AD36">
        <f t="shared" si="3"/>
        <v>1</v>
      </c>
      <c r="AE36">
        <f t="shared" si="4"/>
        <v>54733.430901860513</v>
      </c>
      <c r="AF36">
        <f t="shared" si="2"/>
        <v>98.686403532416577</v>
      </c>
    </row>
    <row r="37" spans="1:32" x14ac:dyDescent="0.25">
      <c r="A37" t="s">
        <v>33</v>
      </c>
      <c r="B37">
        <v>-3</v>
      </c>
      <c r="C37">
        <v>1.04169</v>
      </c>
      <c r="D37">
        <v>4.0283100000000002E-2</v>
      </c>
      <c r="E37">
        <v>0.60659399999999997</v>
      </c>
      <c r="F37">
        <v>-3</v>
      </c>
      <c r="G37">
        <v>19.328499999999998</v>
      </c>
      <c r="H37">
        <v>49</v>
      </c>
      <c r="I37">
        <v>204.898</v>
      </c>
      <c r="J37" t="s">
        <v>3</v>
      </c>
      <c r="K37">
        <v>0</v>
      </c>
      <c r="M37">
        <v>716</v>
      </c>
      <c r="N37">
        <v>1.04169</v>
      </c>
      <c r="O37">
        <v>4.0283100000000002E-2</v>
      </c>
      <c r="P37">
        <v>0.60659399999999997</v>
      </c>
      <c r="Q37">
        <v>19.328542586093</v>
      </c>
      <c r="R37">
        <v>49</v>
      </c>
      <c r="S37">
        <v>204.89843936273201</v>
      </c>
      <c r="T37" t="s">
        <v>0</v>
      </c>
      <c r="U37">
        <v>1.1333500000000001</v>
      </c>
      <c r="V37">
        <v>120.14155</v>
      </c>
      <c r="W37">
        <v>367.89046000000002</v>
      </c>
      <c r="X37" t="s">
        <v>1</v>
      </c>
      <c r="Y37" t="s">
        <v>0</v>
      </c>
      <c r="Z37">
        <v>14.3964238405882</v>
      </c>
      <c r="AA37">
        <v>15</v>
      </c>
      <c r="AB37">
        <v>2075.29</v>
      </c>
      <c r="AC37" t="s">
        <v>1</v>
      </c>
      <c r="AD37">
        <f t="shared" si="3"/>
        <v>1</v>
      </c>
      <c r="AE37">
        <f t="shared" si="4"/>
        <v>53032.572615770267</v>
      </c>
      <c r="AF37">
        <f t="shared" si="2"/>
        <v>97.471000208256356</v>
      </c>
    </row>
    <row r="38" spans="1:32" x14ac:dyDescent="0.25">
      <c r="A38" t="s">
        <v>33</v>
      </c>
      <c r="B38">
        <v>-3</v>
      </c>
      <c r="C38">
        <v>1.04467</v>
      </c>
      <c r="D38">
        <v>4.5121000000000001E-2</v>
      </c>
      <c r="E38">
        <v>0.57565</v>
      </c>
      <c r="F38">
        <v>-3</v>
      </c>
      <c r="G38">
        <v>21.961300000000001</v>
      </c>
      <c r="H38">
        <v>49</v>
      </c>
      <c r="I38">
        <v>190.82300000000001</v>
      </c>
      <c r="J38" t="s">
        <v>3</v>
      </c>
      <c r="K38">
        <v>0</v>
      </c>
      <c r="M38">
        <v>724</v>
      </c>
      <c r="N38">
        <v>1.04467</v>
      </c>
      <c r="O38">
        <v>4.5121000000000001E-2</v>
      </c>
      <c r="P38">
        <v>0.57565</v>
      </c>
      <c r="Q38">
        <v>21.961256216318802</v>
      </c>
      <c r="R38">
        <v>49</v>
      </c>
      <c r="S38">
        <v>190.822811361231</v>
      </c>
      <c r="T38" t="s">
        <v>0</v>
      </c>
      <c r="U38">
        <v>1.1357299999999999</v>
      </c>
      <c r="V38">
        <v>122.5605</v>
      </c>
      <c r="W38">
        <v>349.63350000000003</v>
      </c>
      <c r="X38" t="s">
        <v>1</v>
      </c>
      <c r="Y38" t="s">
        <v>0</v>
      </c>
      <c r="Z38">
        <v>14.686283838642099</v>
      </c>
      <c r="AA38">
        <v>15</v>
      </c>
      <c r="AB38">
        <v>2257.94</v>
      </c>
      <c r="AC38" t="s">
        <v>1</v>
      </c>
      <c r="AD38">
        <f t="shared" si="3"/>
        <v>1</v>
      </c>
      <c r="AE38">
        <f t="shared" si="4"/>
        <v>53754.337970291686</v>
      </c>
      <c r="AF38">
        <f t="shared" si="2"/>
        <v>90.805601797512566</v>
      </c>
    </row>
    <row r="39" spans="1:32" x14ac:dyDescent="0.25">
      <c r="A39" t="s">
        <v>33</v>
      </c>
      <c r="B39">
        <v>-3</v>
      </c>
      <c r="C39">
        <v>1.1464399999999999</v>
      </c>
      <c r="D39">
        <v>3.8861199999999999E-3</v>
      </c>
      <c r="E39">
        <v>0.66831600000000002</v>
      </c>
      <c r="F39">
        <v>-3</v>
      </c>
      <c r="G39">
        <v>4.9094100000000003</v>
      </c>
      <c r="H39">
        <v>56.25</v>
      </c>
      <c r="I39">
        <v>265.53399999999999</v>
      </c>
      <c r="J39" t="s">
        <v>3</v>
      </c>
      <c r="K39">
        <v>0</v>
      </c>
      <c r="M39">
        <v>733</v>
      </c>
      <c r="N39">
        <v>1.1464399999999999</v>
      </c>
      <c r="O39">
        <v>3.8861199999999999E-3</v>
      </c>
      <c r="P39">
        <v>0.66831600000000002</v>
      </c>
      <c r="Q39">
        <v>4.9094137979307</v>
      </c>
      <c r="R39">
        <v>56.25</v>
      </c>
      <c r="S39">
        <v>265.53372161756403</v>
      </c>
      <c r="T39" t="s">
        <v>0</v>
      </c>
      <c r="U39">
        <v>1.21715</v>
      </c>
      <c r="V39">
        <v>101.94306</v>
      </c>
      <c r="W39">
        <v>404.30644000000001</v>
      </c>
      <c r="X39" t="s">
        <v>1</v>
      </c>
      <c r="Y39" t="s">
        <v>0</v>
      </c>
      <c r="Z39">
        <v>12.215719702022501</v>
      </c>
      <c r="AA39">
        <v>15.5</v>
      </c>
      <c r="AB39">
        <v>1352.25</v>
      </c>
      <c r="AC39" t="s">
        <v>1</v>
      </c>
      <c r="AD39">
        <f t="shared" si="3"/>
        <v>1</v>
      </c>
      <c r="AE39">
        <f t="shared" si="4"/>
        <v>44755.724331124067</v>
      </c>
      <c r="AF39">
        <f t="shared" si="2"/>
        <v>126.2417833050858</v>
      </c>
    </row>
    <row r="40" spans="1:32" x14ac:dyDescent="0.25">
      <c r="A40" t="s">
        <v>33</v>
      </c>
      <c r="B40">
        <v>-3</v>
      </c>
      <c r="C40">
        <v>1.03688</v>
      </c>
      <c r="D40">
        <v>-1.9765399999999999E-2</v>
      </c>
      <c r="E40">
        <v>0.61463400000000001</v>
      </c>
      <c r="F40">
        <v>-3</v>
      </c>
      <c r="G40">
        <v>0.63784600000000002</v>
      </c>
      <c r="H40">
        <v>81</v>
      </c>
      <c r="I40">
        <v>279.13</v>
      </c>
      <c r="J40" t="s">
        <v>3</v>
      </c>
      <c r="K40">
        <v>0</v>
      </c>
      <c r="M40">
        <v>738</v>
      </c>
      <c r="N40">
        <v>1.03688</v>
      </c>
      <c r="O40">
        <v>-1.9765399999999999E-2</v>
      </c>
      <c r="P40">
        <v>0.61463400000000001</v>
      </c>
      <c r="Q40">
        <v>0.63784577464847103</v>
      </c>
      <c r="R40">
        <v>81</v>
      </c>
      <c r="S40">
        <v>279.12979947006897</v>
      </c>
      <c r="T40" t="s">
        <v>0</v>
      </c>
      <c r="U40">
        <v>1.1294999999999999</v>
      </c>
      <c r="V40">
        <v>90.1173</v>
      </c>
      <c r="W40">
        <v>372.63405999999998</v>
      </c>
      <c r="X40" t="s">
        <v>1</v>
      </c>
      <c r="Y40" t="s">
        <v>0</v>
      </c>
      <c r="Z40">
        <v>10.7986524742642</v>
      </c>
      <c r="AA40">
        <v>17</v>
      </c>
      <c r="AB40">
        <v>1201.8800000000001</v>
      </c>
      <c r="AC40" t="s">
        <v>1</v>
      </c>
      <c r="AD40">
        <f t="shared" si="3"/>
        <v>1</v>
      </c>
      <c r="AE40">
        <f t="shared" si="4"/>
        <v>41473.82509995225</v>
      </c>
      <c r="AF40">
        <f t="shared" si="2"/>
        <v>131.62079337352961</v>
      </c>
    </row>
    <row r="41" spans="1:32" x14ac:dyDescent="0.25">
      <c r="A41" t="s">
        <v>33</v>
      </c>
      <c r="B41">
        <v>-3</v>
      </c>
      <c r="C41">
        <v>0.97041500000000003</v>
      </c>
      <c r="D41">
        <v>0.105874</v>
      </c>
      <c r="E41">
        <v>0.58579700000000001</v>
      </c>
      <c r="F41">
        <v>-3</v>
      </c>
      <c r="G41">
        <v>69.326700000000002</v>
      </c>
      <c r="H41">
        <v>42.25</v>
      </c>
      <c r="I41">
        <v>111.712</v>
      </c>
      <c r="J41" t="s">
        <v>3</v>
      </c>
      <c r="K41">
        <v>0</v>
      </c>
      <c r="M41">
        <v>753</v>
      </c>
      <c r="N41">
        <v>0.97041500000000003</v>
      </c>
      <c r="O41">
        <v>0.105874</v>
      </c>
      <c r="P41">
        <v>0.58579700000000001</v>
      </c>
      <c r="Q41">
        <v>69.326687477635701</v>
      </c>
      <c r="R41">
        <v>42.25</v>
      </c>
      <c r="S41">
        <v>111.711579301182</v>
      </c>
      <c r="T41" t="s">
        <v>0</v>
      </c>
      <c r="U41">
        <v>1.0763320000000001</v>
      </c>
      <c r="V41">
        <v>152.93700000000001</v>
      </c>
      <c r="W41">
        <v>355.62022999999999</v>
      </c>
      <c r="X41" t="s">
        <v>1</v>
      </c>
      <c r="Y41" t="s">
        <v>0</v>
      </c>
      <c r="Z41">
        <v>18.326264917574701</v>
      </c>
      <c r="AA41">
        <v>14.5</v>
      </c>
      <c r="AB41">
        <v>3442.18</v>
      </c>
      <c r="AC41" t="s">
        <v>1</v>
      </c>
      <c r="AD41">
        <f t="shared" si="3"/>
        <v>1</v>
      </c>
      <c r="AE41">
        <f t="shared" si="4"/>
        <v>66795.326205695732</v>
      </c>
      <c r="AF41">
        <f t="shared" si="2"/>
        <v>74.015728656867509</v>
      </c>
    </row>
    <row r="42" spans="1:32" x14ac:dyDescent="0.25">
      <c r="A42" t="s">
        <v>33</v>
      </c>
      <c r="B42">
        <v>-3</v>
      </c>
      <c r="C42">
        <v>1.0660799999999999</v>
      </c>
      <c r="D42">
        <v>-1.1938600000000001E-2</v>
      </c>
      <c r="E42">
        <v>0.62314700000000001</v>
      </c>
      <c r="F42">
        <v>-3</v>
      </c>
      <c r="G42">
        <v>1.6067899999999999</v>
      </c>
      <c r="H42">
        <v>72.25</v>
      </c>
      <c r="I42">
        <v>282.42</v>
      </c>
      <c r="J42" t="s">
        <v>3</v>
      </c>
      <c r="K42">
        <v>0</v>
      </c>
      <c r="M42">
        <v>761</v>
      </c>
      <c r="N42">
        <v>1.0660799999999999</v>
      </c>
      <c r="O42">
        <v>-1.1938600000000001E-2</v>
      </c>
      <c r="P42">
        <v>0.62314700000000001</v>
      </c>
      <c r="Q42">
        <v>1.60678617773848</v>
      </c>
      <c r="R42">
        <v>72.25</v>
      </c>
      <c r="S42">
        <v>282.41953539125501</v>
      </c>
      <c r="T42" t="s">
        <v>0</v>
      </c>
      <c r="U42">
        <v>1.15286</v>
      </c>
      <c r="V42">
        <v>94.030699999999996</v>
      </c>
      <c r="W42">
        <v>377.65672999999998</v>
      </c>
      <c r="X42" t="s">
        <v>1</v>
      </c>
      <c r="Y42" t="s">
        <v>0</v>
      </c>
      <c r="Z42">
        <v>11.2675906980324</v>
      </c>
      <c r="AA42">
        <v>16.5</v>
      </c>
      <c r="AB42">
        <v>1166.05</v>
      </c>
      <c r="AC42" t="s">
        <v>1</v>
      </c>
      <c r="AD42">
        <f t="shared" si="3"/>
        <v>1</v>
      </c>
      <c r="AE42">
        <f t="shared" si="4"/>
        <v>39082.590219877158</v>
      </c>
      <c r="AF42">
        <f t="shared" si="2"/>
        <v>127.84321582508966</v>
      </c>
    </row>
    <row r="43" spans="1:32" x14ac:dyDescent="0.25">
      <c r="A43" t="s">
        <v>33</v>
      </c>
      <c r="B43">
        <v>-3</v>
      </c>
      <c r="C43">
        <v>0.82169099999999995</v>
      </c>
      <c r="D43">
        <v>7.8037800000000004E-2</v>
      </c>
      <c r="E43">
        <v>0.65423600000000004</v>
      </c>
      <c r="F43">
        <v>-3</v>
      </c>
      <c r="G43">
        <v>44.335299999999997</v>
      </c>
      <c r="H43">
        <v>56.25</v>
      </c>
      <c r="I43">
        <v>141.91800000000001</v>
      </c>
      <c r="J43" t="s">
        <v>3</v>
      </c>
      <c r="K43">
        <v>0</v>
      </c>
      <c r="M43">
        <v>769</v>
      </c>
      <c r="N43">
        <v>0.82169099999999995</v>
      </c>
      <c r="O43">
        <v>7.8037800000000004E-2</v>
      </c>
      <c r="P43">
        <v>0.65423600000000004</v>
      </c>
      <c r="Q43">
        <v>44.335289227651103</v>
      </c>
      <c r="R43">
        <v>56.25</v>
      </c>
      <c r="S43">
        <v>141.917937086883</v>
      </c>
      <c r="T43" t="s">
        <v>0</v>
      </c>
      <c r="U43">
        <v>0.95735199999999998</v>
      </c>
      <c r="V43">
        <v>139.0189</v>
      </c>
      <c r="W43">
        <v>395.99923999999999</v>
      </c>
      <c r="X43" t="s">
        <v>1</v>
      </c>
      <c r="Y43" t="s">
        <v>0</v>
      </c>
      <c r="Z43">
        <v>16.658474992642901</v>
      </c>
      <c r="AA43">
        <v>15.5</v>
      </c>
      <c r="AB43">
        <v>2951.78</v>
      </c>
      <c r="AC43" t="s">
        <v>1</v>
      </c>
      <c r="AD43">
        <f t="shared" si="3"/>
        <v>1</v>
      </c>
      <c r="AE43">
        <f t="shared" si="4"/>
        <v>70168.646119373938</v>
      </c>
      <c r="AF43">
        <f t="shared" si="2"/>
        <v>90.671464824759525</v>
      </c>
    </row>
    <row r="44" spans="1:32" x14ac:dyDescent="0.25">
      <c r="A44" t="s">
        <v>33</v>
      </c>
      <c r="B44">
        <v>-3</v>
      </c>
      <c r="C44">
        <v>1.1841200000000001</v>
      </c>
      <c r="D44">
        <v>-2.1138500000000001E-2</v>
      </c>
      <c r="E44">
        <v>0.58893799999999996</v>
      </c>
      <c r="F44">
        <v>-3</v>
      </c>
      <c r="G44">
        <v>0.51320600000000005</v>
      </c>
      <c r="H44">
        <v>64</v>
      </c>
      <c r="I44">
        <v>282.43900000000002</v>
      </c>
      <c r="J44" t="s">
        <v>3</v>
      </c>
      <c r="K44">
        <v>0</v>
      </c>
      <c r="M44">
        <v>770</v>
      </c>
      <c r="N44">
        <v>1.1841200000000001</v>
      </c>
      <c r="O44">
        <v>-2.1138500000000001E-2</v>
      </c>
      <c r="P44">
        <v>0.58893799999999996</v>
      </c>
      <c r="Q44">
        <v>0.51320600238005698</v>
      </c>
      <c r="R44">
        <v>64</v>
      </c>
      <c r="S44">
        <v>282.43887337661801</v>
      </c>
      <c r="T44" t="s">
        <v>0</v>
      </c>
      <c r="U44">
        <v>1.24729</v>
      </c>
      <c r="V44">
        <v>89.430750000000003</v>
      </c>
      <c r="W44">
        <v>357.47341999999998</v>
      </c>
      <c r="X44" t="s">
        <v>1</v>
      </c>
      <c r="Y44" t="s">
        <v>0</v>
      </c>
      <c r="Z44">
        <v>10.716383976914599</v>
      </c>
      <c r="AA44">
        <v>16</v>
      </c>
      <c r="AB44">
        <v>1165.8399999999999</v>
      </c>
      <c r="AC44" t="s">
        <v>1</v>
      </c>
      <c r="AD44">
        <f t="shared" si="3"/>
        <v>1</v>
      </c>
      <c r="AE44">
        <f t="shared" si="4"/>
        <v>38889.686378407489</v>
      </c>
      <c r="AF44">
        <f t="shared" si="2"/>
        <v>127.23512173825041</v>
      </c>
    </row>
    <row r="45" spans="1:32" x14ac:dyDescent="0.25">
      <c r="A45" t="s">
        <v>33</v>
      </c>
      <c r="B45">
        <v>-3</v>
      </c>
      <c r="C45">
        <v>0.95099100000000003</v>
      </c>
      <c r="D45">
        <v>4.6025700000000003E-2</v>
      </c>
      <c r="E45">
        <v>0.53393000000000002</v>
      </c>
      <c r="F45">
        <v>-3</v>
      </c>
      <c r="G45">
        <v>22.472200000000001</v>
      </c>
      <c r="H45">
        <v>56.25</v>
      </c>
      <c r="I45">
        <v>173.703</v>
      </c>
      <c r="J45" t="s">
        <v>3</v>
      </c>
      <c r="K45">
        <v>0</v>
      </c>
      <c r="M45">
        <v>772</v>
      </c>
      <c r="N45">
        <v>0.95099100000000003</v>
      </c>
      <c r="O45">
        <v>4.6025700000000003E-2</v>
      </c>
      <c r="P45">
        <v>0.53393000000000002</v>
      </c>
      <c r="Q45">
        <v>22.472230452488201</v>
      </c>
      <c r="R45">
        <v>56.25</v>
      </c>
      <c r="S45">
        <v>173.703011633702</v>
      </c>
      <c r="T45" t="s">
        <v>0</v>
      </c>
      <c r="U45">
        <v>1.060792</v>
      </c>
      <c r="V45">
        <v>123.01285</v>
      </c>
      <c r="W45">
        <v>325.01870000000002</v>
      </c>
      <c r="X45" t="s">
        <v>1</v>
      </c>
      <c r="Y45" t="s">
        <v>0</v>
      </c>
      <c r="Z45">
        <v>14.740488419191401</v>
      </c>
      <c r="AA45">
        <v>15.5</v>
      </c>
      <c r="AB45">
        <v>2489.4299999999998</v>
      </c>
      <c r="AC45" t="s">
        <v>1</v>
      </c>
      <c r="AD45">
        <f t="shared" si="3"/>
        <v>1</v>
      </c>
      <c r="AE45">
        <f t="shared" si="4"/>
        <v>54890.399784010981</v>
      </c>
      <c r="AF45">
        <f t="shared" si="2"/>
        <v>84.102323785363581</v>
      </c>
    </row>
    <row r="46" spans="1:32" x14ac:dyDescent="0.25">
      <c r="A46" t="s">
        <v>33</v>
      </c>
      <c r="B46">
        <v>-3</v>
      </c>
      <c r="C46">
        <v>0.90958000000000006</v>
      </c>
      <c r="D46">
        <v>7.2333200000000003E-4</v>
      </c>
      <c r="E46">
        <v>0.62061599999999995</v>
      </c>
      <c r="F46">
        <v>-3</v>
      </c>
      <c r="G46">
        <v>4.1055799999999998</v>
      </c>
      <c r="H46">
        <v>72.25</v>
      </c>
      <c r="I46">
        <v>252.548</v>
      </c>
      <c r="J46" t="s">
        <v>3</v>
      </c>
      <c r="K46">
        <v>0</v>
      </c>
      <c r="M46">
        <v>774</v>
      </c>
      <c r="N46">
        <v>0.90958000000000006</v>
      </c>
      <c r="O46">
        <v>7.2333200000000003E-4</v>
      </c>
      <c r="P46">
        <v>0.62061599999999995</v>
      </c>
      <c r="Q46">
        <v>4.1055799566545499</v>
      </c>
      <c r="R46">
        <v>72.25</v>
      </c>
      <c r="S46">
        <v>252.547826910114</v>
      </c>
      <c r="T46" t="s">
        <v>0</v>
      </c>
      <c r="U46">
        <v>1.02766</v>
      </c>
      <c r="V46">
        <v>100.361666</v>
      </c>
      <c r="W46">
        <v>376.16343999999998</v>
      </c>
      <c r="X46" t="s">
        <v>1</v>
      </c>
      <c r="Y46" t="s">
        <v>0</v>
      </c>
      <c r="Z46">
        <v>12.026223076725399</v>
      </c>
      <c r="AA46">
        <v>16.5</v>
      </c>
      <c r="AB46">
        <v>1499.51</v>
      </c>
      <c r="AC46" t="s">
        <v>1</v>
      </c>
      <c r="AD46">
        <f t="shared" si="3"/>
        <v>1</v>
      </c>
      <c r="AE46">
        <f t="shared" si="4"/>
        <v>46902.575839129306</v>
      </c>
      <c r="AF46">
        <f t="shared" si="2"/>
        <v>119.30505594925374</v>
      </c>
    </row>
    <row r="47" spans="1:32" x14ac:dyDescent="0.25">
      <c r="A47" t="s">
        <v>33</v>
      </c>
      <c r="B47">
        <v>-3</v>
      </c>
      <c r="C47">
        <v>1.0422400000000001</v>
      </c>
      <c r="D47">
        <v>0.13772699999999999</v>
      </c>
      <c r="E47">
        <v>0.63768800000000003</v>
      </c>
      <c r="F47">
        <v>-3</v>
      </c>
      <c r="G47">
        <v>104.749</v>
      </c>
      <c r="H47">
        <v>36</v>
      </c>
      <c r="I47">
        <v>113.83799999999999</v>
      </c>
      <c r="J47" t="s">
        <v>3</v>
      </c>
      <c r="K47">
        <v>0</v>
      </c>
      <c r="M47">
        <v>776</v>
      </c>
      <c r="N47">
        <v>1.0422400000000001</v>
      </c>
      <c r="O47">
        <v>0.13772699999999999</v>
      </c>
      <c r="P47">
        <v>0.63768800000000003</v>
      </c>
      <c r="Q47">
        <v>104.74947517799301</v>
      </c>
      <c r="R47">
        <v>36</v>
      </c>
      <c r="S47">
        <v>113.83837640758099</v>
      </c>
      <c r="T47" t="s">
        <v>0</v>
      </c>
      <c r="U47">
        <v>1.1337900000000001</v>
      </c>
      <c r="V47">
        <v>168.86349999999999</v>
      </c>
      <c r="W47">
        <v>386.23592000000002</v>
      </c>
      <c r="X47" t="s">
        <v>1</v>
      </c>
      <c r="Y47" t="s">
        <v>0</v>
      </c>
      <c r="Z47">
        <v>20.234719105964398</v>
      </c>
      <c r="AA47">
        <v>14</v>
      </c>
      <c r="AB47">
        <v>3405.63</v>
      </c>
      <c r="AC47" t="s">
        <v>1</v>
      </c>
      <c r="AD47">
        <f t="shared" si="3"/>
        <v>1</v>
      </c>
      <c r="AE47">
        <f t="shared" si="4"/>
        <v>65005.925179454498</v>
      </c>
      <c r="AF47">
        <f t="shared" si="2"/>
        <v>72.805971530432387</v>
      </c>
    </row>
    <row r="48" spans="1:32" x14ac:dyDescent="0.25">
      <c r="A48" t="s">
        <v>33</v>
      </c>
      <c r="B48">
        <v>-3</v>
      </c>
      <c r="C48">
        <v>1.0946899999999999</v>
      </c>
      <c r="D48">
        <v>9.2437900000000003E-2</v>
      </c>
      <c r="E48">
        <v>0.57492900000000002</v>
      </c>
      <c r="F48">
        <v>-3</v>
      </c>
      <c r="G48">
        <v>56.569200000000002</v>
      </c>
      <c r="H48">
        <v>42.25</v>
      </c>
      <c r="I48">
        <v>165.7</v>
      </c>
      <c r="J48" t="s">
        <v>3</v>
      </c>
      <c r="K48">
        <v>0</v>
      </c>
      <c r="M48">
        <v>778</v>
      </c>
      <c r="N48">
        <v>1.0946899999999999</v>
      </c>
      <c r="O48">
        <v>9.2437900000000003E-2</v>
      </c>
      <c r="P48">
        <v>0.57492900000000002</v>
      </c>
      <c r="Q48">
        <v>56.5691821289901</v>
      </c>
      <c r="R48">
        <v>42.25</v>
      </c>
      <c r="S48">
        <v>165.70037457308999</v>
      </c>
      <c r="T48" t="s">
        <v>0</v>
      </c>
      <c r="U48">
        <v>1.1757500000000001</v>
      </c>
      <c r="V48">
        <v>146.21895000000001</v>
      </c>
      <c r="W48">
        <v>349.20810999999998</v>
      </c>
      <c r="X48" t="s">
        <v>1</v>
      </c>
      <c r="Y48" t="s">
        <v>0</v>
      </c>
      <c r="Z48">
        <v>17.521248708092902</v>
      </c>
      <c r="AA48">
        <v>14.5</v>
      </c>
      <c r="AB48">
        <v>2601.5500000000002</v>
      </c>
      <c r="AC48" t="s">
        <v>1</v>
      </c>
      <c r="AD48">
        <f t="shared" si="3"/>
        <v>1</v>
      </c>
      <c r="AE48">
        <f t="shared" si="4"/>
        <v>51850.320357069097</v>
      </c>
      <c r="AF48">
        <f t="shared" si="2"/>
        <v>76.020511533256553</v>
      </c>
    </row>
    <row r="49" spans="1:32" x14ac:dyDescent="0.25">
      <c r="A49" t="s">
        <v>33</v>
      </c>
      <c r="B49">
        <v>-3</v>
      </c>
      <c r="C49">
        <v>1.0212600000000001</v>
      </c>
      <c r="D49">
        <v>4.0188300000000003E-2</v>
      </c>
      <c r="E49">
        <v>0.60040300000000002</v>
      </c>
      <c r="F49">
        <v>-3</v>
      </c>
      <c r="G49">
        <v>19.278600000000001</v>
      </c>
      <c r="H49">
        <v>56.25</v>
      </c>
      <c r="I49">
        <v>198.67699999999999</v>
      </c>
      <c r="J49" t="s">
        <v>3</v>
      </c>
      <c r="K49">
        <v>0</v>
      </c>
      <c r="M49">
        <v>789</v>
      </c>
      <c r="N49">
        <v>1.0212600000000001</v>
      </c>
      <c r="O49">
        <v>4.0188300000000003E-2</v>
      </c>
      <c r="P49">
        <v>0.60040300000000002</v>
      </c>
      <c r="Q49">
        <v>19.2786324614374</v>
      </c>
      <c r="R49">
        <v>56.25</v>
      </c>
      <c r="S49">
        <v>198.677134534809</v>
      </c>
      <c r="T49" t="s">
        <v>0</v>
      </c>
      <c r="U49">
        <v>1.117</v>
      </c>
      <c r="V49">
        <v>120.09415</v>
      </c>
      <c r="W49">
        <v>364.23777000000001</v>
      </c>
      <c r="X49" t="s">
        <v>1</v>
      </c>
      <c r="Y49" t="s">
        <v>0</v>
      </c>
      <c r="Z49">
        <v>14.390743953071899</v>
      </c>
      <c r="AA49">
        <v>15.5</v>
      </c>
      <c r="AB49">
        <v>2155.2199999999998</v>
      </c>
      <c r="AC49" t="s">
        <v>1</v>
      </c>
      <c r="AD49">
        <f t="shared" si="3"/>
        <v>1</v>
      </c>
      <c r="AE49">
        <f t="shared" si="4"/>
        <v>54549.822387176057</v>
      </c>
      <c r="AF49">
        <f t="shared" si="2"/>
        <v>96.541324546231209</v>
      </c>
    </row>
    <row r="50" spans="1:32" x14ac:dyDescent="0.25">
      <c r="A50" t="s">
        <v>33</v>
      </c>
      <c r="B50">
        <v>-3</v>
      </c>
      <c r="C50">
        <v>1.02532</v>
      </c>
      <c r="D50">
        <v>-1.5121500000000001E-3</v>
      </c>
      <c r="E50">
        <v>0.68779599999999996</v>
      </c>
      <c r="F50">
        <v>-3</v>
      </c>
      <c r="G50">
        <v>3.58074</v>
      </c>
      <c r="H50">
        <v>64</v>
      </c>
      <c r="I50">
        <v>269.56900000000002</v>
      </c>
      <c r="J50" t="s">
        <v>3</v>
      </c>
      <c r="K50">
        <v>0</v>
      </c>
      <c r="M50">
        <v>790</v>
      </c>
      <c r="N50">
        <v>1.02532</v>
      </c>
      <c r="O50">
        <v>-1.5121500000000001E-3</v>
      </c>
      <c r="P50">
        <v>0.68779599999999996</v>
      </c>
      <c r="Q50">
        <v>3.5807442525729498</v>
      </c>
      <c r="R50">
        <v>64</v>
      </c>
      <c r="S50">
        <v>269.56871662901102</v>
      </c>
      <c r="T50" t="s">
        <v>0</v>
      </c>
      <c r="U50">
        <v>1.12025</v>
      </c>
      <c r="V50">
        <v>99.243925000000004</v>
      </c>
      <c r="W50">
        <v>415.79964000000001</v>
      </c>
      <c r="X50" t="s">
        <v>1</v>
      </c>
      <c r="Y50" t="s">
        <v>0</v>
      </c>
      <c r="Z50">
        <v>11.892285457475399</v>
      </c>
      <c r="AA50">
        <v>16</v>
      </c>
      <c r="AB50">
        <v>1307.23</v>
      </c>
      <c r="AC50" t="s">
        <v>1</v>
      </c>
      <c r="AD50">
        <f t="shared" si="3"/>
        <v>1</v>
      </c>
      <c r="AE50">
        <f t="shared" si="4"/>
        <v>45705.744731811108</v>
      </c>
      <c r="AF50">
        <f t="shared" si="2"/>
        <v>133.36144865659148</v>
      </c>
    </row>
    <row r="51" spans="1:32" x14ac:dyDescent="0.25">
      <c r="A51" t="s">
        <v>33</v>
      </c>
      <c r="B51">
        <v>-3</v>
      </c>
      <c r="C51">
        <v>1.08653</v>
      </c>
      <c r="D51">
        <v>6.12928E-3</v>
      </c>
      <c r="E51">
        <v>0.63983100000000004</v>
      </c>
      <c r="F51">
        <v>-3</v>
      </c>
      <c r="G51">
        <v>5.5230499999999996</v>
      </c>
      <c r="H51">
        <v>56.25</v>
      </c>
      <c r="I51">
        <v>261.25099999999998</v>
      </c>
      <c r="J51" t="s">
        <v>3</v>
      </c>
      <c r="K51">
        <v>0</v>
      </c>
      <c r="M51">
        <v>803</v>
      </c>
      <c r="N51">
        <v>1.08653</v>
      </c>
      <c r="O51">
        <v>6.12928E-3</v>
      </c>
      <c r="P51">
        <v>0.63983100000000004</v>
      </c>
      <c r="Q51">
        <v>5.52305153164962</v>
      </c>
      <c r="R51">
        <v>56.25</v>
      </c>
      <c r="S51">
        <v>261.25098268417997</v>
      </c>
      <c r="T51" t="s">
        <v>0</v>
      </c>
      <c r="U51">
        <v>1.1692199999999999</v>
      </c>
      <c r="V51">
        <v>103.06464</v>
      </c>
      <c r="W51">
        <v>387.50029000000001</v>
      </c>
      <c r="X51" t="s">
        <v>1</v>
      </c>
      <c r="Y51" t="s">
        <v>0</v>
      </c>
      <c r="Z51">
        <v>12.3501173442297</v>
      </c>
      <c r="AA51">
        <v>15.5</v>
      </c>
      <c r="AB51">
        <v>1400.41</v>
      </c>
      <c r="AC51" t="s">
        <v>1</v>
      </c>
      <c r="AD51">
        <f t="shared" si="3"/>
        <v>1</v>
      </c>
      <c r="AE51">
        <f t="shared" si="4"/>
        <v>43939.605267997293</v>
      </c>
      <c r="AF51">
        <f t="shared" si="2"/>
        <v>119.6774890069823</v>
      </c>
    </row>
    <row r="52" spans="1:32" x14ac:dyDescent="0.25">
      <c r="A52" t="s">
        <v>33</v>
      </c>
      <c r="B52">
        <v>-3</v>
      </c>
      <c r="C52">
        <v>1.0415399999999999</v>
      </c>
      <c r="D52">
        <v>-2.7833299999999998E-2</v>
      </c>
      <c r="E52">
        <v>0.599997</v>
      </c>
      <c r="F52">
        <v>-3</v>
      </c>
      <c r="G52">
        <v>9.9394499999999997E-2</v>
      </c>
      <c r="H52">
        <v>81</v>
      </c>
      <c r="I52">
        <v>282.28199999999998</v>
      </c>
      <c r="J52" t="s">
        <v>3</v>
      </c>
      <c r="K52">
        <v>0</v>
      </c>
      <c r="M52">
        <v>822</v>
      </c>
      <c r="N52">
        <v>1.0415399999999999</v>
      </c>
      <c r="O52">
        <v>-2.7833299999999998E-2</v>
      </c>
      <c r="P52">
        <v>0.599997</v>
      </c>
      <c r="Q52">
        <v>9.9394468311572198E-2</v>
      </c>
      <c r="R52">
        <v>81</v>
      </c>
      <c r="S52">
        <v>282.28234679376902</v>
      </c>
      <c r="T52" t="s">
        <v>0</v>
      </c>
      <c r="U52">
        <v>1.13323</v>
      </c>
      <c r="V52">
        <v>86.083349999999996</v>
      </c>
      <c r="W52">
        <v>363.99822999999998</v>
      </c>
      <c r="X52" t="s">
        <v>1</v>
      </c>
      <c r="Y52" t="s">
        <v>0</v>
      </c>
      <c r="Z52">
        <v>10.3152688825614</v>
      </c>
      <c r="AA52">
        <v>17</v>
      </c>
      <c r="AB52">
        <v>1167.54</v>
      </c>
      <c r="AC52" t="s">
        <v>1</v>
      </c>
      <c r="AD52">
        <f t="shared" si="3"/>
        <v>1</v>
      </c>
      <c r="AE52">
        <f t="shared" si="4"/>
        <v>41199.361673708692</v>
      </c>
      <c r="AF52">
        <f t="shared" si="2"/>
        <v>134.59540684975812</v>
      </c>
    </row>
    <row r="53" spans="1:32" x14ac:dyDescent="0.25">
      <c r="A53" t="s">
        <v>33</v>
      </c>
      <c r="B53">
        <v>-3</v>
      </c>
      <c r="C53">
        <v>1.0416700000000001</v>
      </c>
      <c r="D53">
        <v>2.1096699999999999E-2</v>
      </c>
      <c r="E53">
        <v>0.62362399999999996</v>
      </c>
      <c r="F53">
        <v>-3</v>
      </c>
      <c r="G53">
        <v>10.542199999999999</v>
      </c>
      <c r="H53">
        <v>49</v>
      </c>
      <c r="I53">
        <v>222.71100000000001</v>
      </c>
      <c r="J53" t="s">
        <v>3</v>
      </c>
      <c r="K53">
        <v>0</v>
      </c>
      <c r="M53">
        <v>824</v>
      </c>
      <c r="N53">
        <v>1.0416700000000001</v>
      </c>
      <c r="O53">
        <v>2.1096699999999999E-2</v>
      </c>
      <c r="P53">
        <v>0.62362399999999996</v>
      </c>
      <c r="Q53">
        <v>10.5422408480102</v>
      </c>
      <c r="R53">
        <v>49</v>
      </c>
      <c r="S53">
        <v>222.711056681553</v>
      </c>
      <c r="T53" t="s">
        <v>0</v>
      </c>
      <c r="U53">
        <v>1.1333299999999999</v>
      </c>
      <c r="V53">
        <v>110.54835</v>
      </c>
      <c r="W53">
        <v>377.93815999999998</v>
      </c>
      <c r="X53" t="s">
        <v>1</v>
      </c>
      <c r="Y53" t="s">
        <v>0</v>
      </c>
      <c r="Z53">
        <v>13.246881711428699</v>
      </c>
      <c r="AA53">
        <v>15</v>
      </c>
      <c r="AB53">
        <v>1852.92</v>
      </c>
      <c r="AC53" t="s">
        <v>1</v>
      </c>
      <c r="AD53">
        <f t="shared" si="3"/>
        <v>1</v>
      </c>
      <c r="AE53">
        <f t="shared" si="4"/>
        <v>52864.45449445118</v>
      </c>
      <c r="AF53">
        <f t="shared" si="2"/>
        <v>108.82247694706548</v>
      </c>
    </row>
    <row r="54" spans="1:32" x14ac:dyDescent="0.25">
      <c r="A54" t="s">
        <v>33</v>
      </c>
      <c r="B54">
        <v>-3</v>
      </c>
      <c r="C54">
        <v>0.83881600000000001</v>
      </c>
      <c r="D54">
        <v>-5.9238900000000002E-3</v>
      </c>
      <c r="E54">
        <v>0.77028799999999997</v>
      </c>
      <c r="F54">
        <v>-3</v>
      </c>
      <c r="G54">
        <v>2.6502500000000002</v>
      </c>
      <c r="H54">
        <v>90.25</v>
      </c>
      <c r="I54">
        <v>272.70800000000003</v>
      </c>
      <c r="J54" t="s">
        <v>3</v>
      </c>
      <c r="K54">
        <v>0</v>
      </c>
      <c r="M54">
        <v>826</v>
      </c>
      <c r="N54">
        <v>0.83881600000000001</v>
      </c>
      <c r="O54">
        <v>-5.9238900000000002E-3</v>
      </c>
      <c r="P54">
        <v>0.77028799999999997</v>
      </c>
      <c r="Q54">
        <v>2.6502491736790201</v>
      </c>
      <c r="R54">
        <v>90.25</v>
      </c>
      <c r="S54">
        <v>272.70767163520298</v>
      </c>
      <c r="T54" t="s">
        <v>0</v>
      </c>
      <c r="U54">
        <v>0.97105200000000003</v>
      </c>
      <c r="V54">
        <v>97.038055</v>
      </c>
      <c r="W54">
        <v>464.46992</v>
      </c>
      <c r="X54" t="s">
        <v>1</v>
      </c>
      <c r="Y54" t="s">
        <v>0</v>
      </c>
      <c r="Z54">
        <v>11.6279585908981</v>
      </c>
      <c r="AA54">
        <v>17.5</v>
      </c>
      <c r="AB54">
        <v>1272.44</v>
      </c>
      <c r="AC54" t="s">
        <v>1</v>
      </c>
      <c r="AD54">
        <f t="shared" si="3"/>
        <v>1</v>
      </c>
      <c r="AE54">
        <f t="shared" si="4"/>
        <v>50826.643420231907</v>
      </c>
      <c r="AF54">
        <f t="shared" si="2"/>
        <v>152.35813142688644</v>
      </c>
    </row>
    <row r="55" spans="1:32" x14ac:dyDescent="0.25">
      <c r="A55" t="s">
        <v>33</v>
      </c>
      <c r="B55">
        <v>-3</v>
      </c>
      <c r="C55">
        <v>1.09138</v>
      </c>
      <c r="D55">
        <v>0.115005</v>
      </c>
      <c r="E55">
        <v>0.64251800000000003</v>
      </c>
      <c r="F55">
        <v>-3</v>
      </c>
      <c r="G55">
        <v>78.736199999999997</v>
      </c>
      <c r="H55">
        <v>36</v>
      </c>
      <c r="I55">
        <v>127.206</v>
      </c>
      <c r="J55" t="s">
        <v>3</v>
      </c>
      <c r="K55">
        <v>0</v>
      </c>
      <c r="M55">
        <v>830</v>
      </c>
      <c r="N55">
        <v>1.09138</v>
      </c>
      <c r="O55">
        <v>0.115005</v>
      </c>
      <c r="P55">
        <v>0.64251800000000003</v>
      </c>
      <c r="Q55">
        <v>78.736225486415293</v>
      </c>
      <c r="R55">
        <v>36</v>
      </c>
      <c r="S55">
        <v>127.205643752298</v>
      </c>
      <c r="T55" t="s">
        <v>0</v>
      </c>
      <c r="U55">
        <v>1.1731</v>
      </c>
      <c r="V55">
        <v>157.5025</v>
      </c>
      <c r="W55">
        <v>389.08562000000001</v>
      </c>
      <c r="X55" t="s">
        <v>1</v>
      </c>
      <c r="Y55" t="s">
        <v>0</v>
      </c>
      <c r="Z55">
        <v>18.873343534790799</v>
      </c>
      <c r="AA55">
        <v>14</v>
      </c>
      <c r="AB55">
        <v>3183.33</v>
      </c>
      <c r="AC55" t="s">
        <v>1</v>
      </c>
      <c r="AD55">
        <f t="shared" si="3"/>
        <v>1</v>
      </c>
      <c r="AE55">
        <f t="shared" si="4"/>
        <v>65626.311757183255</v>
      </c>
      <c r="AF55">
        <f t="shared" si="2"/>
        <v>78.633545129727864</v>
      </c>
    </row>
    <row r="56" spans="1:32" x14ac:dyDescent="0.25">
      <c r="A56" t="s">
        <v>33</v>
      </c>
      <c r="B56">
        <v>-3</v>
      </c>
      <c r="C56">
        <v>1.0795399999999999</v>
      </c>
      <c r="D56">
        <v>7.5115100000000004E-2</v>
      </c>
      <c r="E56">
        <v>0.60932600000000003</v>
      </c>
      <c r="F56">
        <v>-3</v>
      </c>
      <c r="G56">
        <v>42.033999999999999</v>
      </c>
      <c r="H56">
        <v>49</v>
      </c>
      <c r="I56">
        <v>182.18299999999999</v>
      </c>
      <c r="J56" t="s">
        <v>3</v>
      </c>
      <c r="K56">
        <v>0</v>
      </c>
      <c r="M56">
        <v>831</v>
      </c>
      <c r="N56">
        <v>1.0795399999999999</v>
      </c>
      <c r="O56">
        <v>7.5115100000000004E-2</v>
      </c>
      <c r="P56">
        <v>0.60932600000000003</v>
      </c>
      <c r="Q56">
        <v>42.033997110845398</v>
      </c>
      <c r="R56">
        <v>49</v>
      </c>
      <c r="S56">
        <v>182.183430737474</v>
      </c>
      <c r="T56" t="s">
        <v>0</v>
      </c>
      <c r="U56">
        <v>1.1636299999999999</v>
      </c>
      <c r="V56">
        <v>137.55754999999999</v>
      </c>
      <c r="W56">
        <v>369.50234</v>
      </c>
      <c r="X56" t="s">
        <v>1</v>
      </c>
      <c r="Y56" t="s">
        <v>0</v>
      </c>
      <c r="Z56">
        <v>16.483363101881999</v>
      </c>
      <c r="AA56">
        <v>15</v>
      </c>
      <c r="AB56">
        <v>2373.4</v>
      </c>
      <c r="AC56" t="s">
        <v>1</v>
      </c>
      <c r="AD56">
        <f t="shared" si="3"/>
        <v>1</v>
      </c>
      <c r="AE56">
        <f t="shared" si="4"/>
        <v>53203.757530274306</v>
      </c>
      <c r="AF56">
        <f t="shared" si="2"/>
        <v>85.503302283331124</v>
      </c>
    </row>
    <row r="57" spans="1:32" x14ac:dyDescent="0.25">
      <c r="A57" t="s">
        <v>33</v>
      </c>
      <c r="B57">
        <v>-3</v>
      </c>
      <c r="C57">
        <v>1.1074999999999999</v>
      </c>
      <c r="D57">
        <v>-3.1961999999999997E-2</v>
      </c>
      <c r="E57">
        <v>0.65575499999999998</v>
      </c>
      <c r="F57">
        <v>-3</v>
      </c>
      <c r="G57">
        <v>4.6104400000000004E-3</v>
      </c>
      <c r="H57">
        <v>72.25</v>
      </c>
      <c r="I57">
        <v>297.07400000000001</v>
      </c>
      <c r="J57" t="s">
        <v>3</v>
      </c>
      <c r="K57">
        <v>0</v>
      </c>
      <c r="M57">
        <v>832</v>
      </c>
      <c r="N57">
        <v>1.1074999999999999</v>
      </c>
      <c r="O57">
        <v>-3.1961999999999997E-2</v>
      </c>
      <c r="P57">
        <v>0.65575499999999998</v>
      </c>
      <c r="Q57">
        <v>4.6104364694916503E-3</v>
      </c>
      <c r="R57">
        <v>72.25</v>
      </c>
      <c r="S57">
        <v>297.07402939688399</v>
      </c>
      <c r="T57" t="s">
        <v>0</v>
      </c>
      <c r="U57">
        <v>1.1859999999999999</v>
      </c>
      <c r="V57">
        <v>84.019000000000005</v>
      </c>
      <c r="W57">
        <v>396.89544999999998</v>
      </c>
      <c r="X57" t="s">
        <v>1</v>
      </c>
      <c r="Y57" t="s">
        <v>0</v>
      </c>
      <c r="Z57">
        <v>10.0679001949149</v>
      </c>
      <c r="AA57">
        <v>16.5</v>
      </c>
      <c r="AB57">
        <v>1008.92</v>
      </c>
      <c r="AC57" t="s">
        <v>1</v>
      </c>
      <c r="AD57">
        <f t="shared" si="3"/>
        <v>1</v>
      </c>
      <c r="AE57">
        <f t="shared" si="4"/>
        <v>39773.512814146918</v>
      </c>
      <c r="AF57">
        <f t="shared" si="2"/>
        <v>150.36568575722677</v>
      </c>
    </row>
    <row r="58" spans="1:32" x14ac:dyDescent="0.25">
      <c r="A58" t="s">
        <v>33</v>
      </c>
      <c r="B58">
        <v>-3</v>
      </c>
      <c r="C58">
        <v>0.95319100000000001</v>
      </c>
      <c r="D58">
        <v>0.15955900000000001</v>
      </c>
      <c r="E58">
        <v>0.57937099999999997</v>
      </c>
      <c r="F58">
        <v>-3</v>
      </c>
      <c r="G58">
        <v>133.23599999999999</v>
      </c>
      <c r="H58">
        <v>42.25</v>
      </c>
      <c r="I58">
        <v>82.2346</v>
      </c>
      <c r="J58" t="s">
        <v>3</v>
      </c>
      <c r="K58">
        <v>0</v>
      </c>
      <c r="M58">
        <v>835</v>
      </c>
      <c r="N58">
        <v>0.95319100000000001</v>
      </c>
      <c r="O58">
        <v>0.15955900000000001</v>
      </c>
      <c r="P58">
        <v>0.57937099999999997</v>
      </c>
      <c r="Q58">
        <v>133.23555863336401</v>
      </c>
      <c r="R58">
        <v>42.25</v>
      </c>
      <c r="S58">
        <v>82.234586628635697</v>
      </c>
      <c r="T58" t="s">
        <v>0</v>
      </c>
      <c r="U58">
        <v>1.0625519999999999</v>
      </c>
      <c r="V58">
        <v>179.77950000000001</v>
      </c>
      <c r="W58">
        <v>351.82889</v>
      </c>
      <c r="X58" t="s">
        <v>1</v>
      </c>
      <c r="Y58" t="s">
        <v>0</v>
      </c>
      <c r="Z58">
        <v>21.542770838640202</v>
      </c>
      <c r="AA58">
        <v>14.5</v>
      </c>
      <c r="AB58">
        <v>3990.06</v>
      </c>
      <c r="AC58" t="s">
        <v>1</v>
      </c>
      <c r="AD58">
        <f t="shared" si="3"/>
        <v>1</v>
      </c>
      <c r="AE58">
        <f t="shared" si="4"/>
        <v>65164.244253828314</v>
      </c>
      <c r="AF58">
        <f t="shared" si="2"/>
        <v>62.293317053429007</v>
      </c>
    </row>
    <row r="59" spans="1:32" x14ac:dyDescent="0.25">
      <c r="A59" t="s">
        <v>33</v>
      </c>
      <c r="B59">
        <v>-3</v>
      </c>
      <c r="C59">
        <v>0.93318000000000001</v>
      </c>
      <c r="D59">
        <v>-4.4275900000000003E-3</v>
      </c>
      <c r="E59">
        <v>0.73934800000000001</v>
      </c>
      <c r="F59">
        <v>-3</v>
      </c>
      <c r="G59">
        <v>2.95018</v>
      </c>
      <c r="H59">
        <v>72.25</v>
      </c>
      <c r="I59">
        <v>272.45299999999997</v>
      </c>
      <c r="J59" t="s">
        <v>3</v>
      </c>
      <c r="K59">
        <v>0</v>
      </c>
      <c r="M59">
        <v>839</v>
      </c>
      <c r="N59">
        <v>0.93318000000000001</v>
      </c>
      <c r="O59">
        <v>-4.4275900000000003E-3</v>
      </c>
      <c r="P59">
        <v>0.73934800000000001</v>
      </c>
      <c r="Q59">
        <v>2.9501791153755601</v>
      </c>
      <c r="R59">
        <v>72.25</v>
      </c>
      <c r="S59">
        <v>272.45346265715801</v>
      </c>
      <c r="T59" t="s">
        <v>0</v>
      </c>
      <c r="U59">
        <v>1.04654</v>
      </c>
      <c r="V59">
        <v>97.786204999999995</v>
      </c>
      <c r="W59">
        <v>446.21532000000002</v>
      </c>
      <c r="X59" t="s">
        <v>1</v>
      </c>
      <c r="Y59" t="s">
        <v>0</v>
      </c>
      <c r="Z59">
        <v>11.717608545441999</v>
      </c>
      <c r="AA59">
        <v>16.5</v>
      </c>
      <c r="AB59">
        <v>1275.25</v>
      </c>
      <c r="AC59" t="s">
        <v>1</v>
      </c>
      <c r="AD59">
        <f t="shared" si="3"/>
        <v>1</v>
      </c>
      <c r="AE59">
        <f t="shared" si="4"/>
        <v>48562.476261536132</v>
      </c>
      <c r="AF59">
        <f t="shared" si="2"/>
        <v>145.25029141141511</v>
      </c>
    </row>
    <row r="60" spans="1:32" x14ac:dyDescent="0.25">
      <c r="A60" t="s">
        <v>33</v>
      </c>
      <c r="B60">
        <v>-3</v>
      </c>
      <c r="C60">
        <v>0.97969099999999998</v>
      </c>
      <c r="D60">
        <v>0.118398</v>
      </c>
      <c r="E60">
        <v>0.53225900000000004</v>
      </c>
      <c r="F60">
        <v>-3</v>
      </c>
      <c r="G60">
        <v>82.385300000000001</v>
      </c>
      <c r="H60">
        <v>42.25</v>
      </c>
      <c r="I60">
        <v>87.363600000000005</v>
      </c>
      <c r="J60" t="s">
        <v>3</v>
      </c>
      <c r="K60">
        <v>0</v>
      </c>
      <c r="M60">
        <v>850</v>
      </c>
      <c r="N60">
        <v>0.97969099999999998</v>
      </c>
      <c r="O60">
        <v>0.118398</v>
      </c>
      <c r="P60">
        <v>0.53225900000000004</v>
      </c>
      <c r="Q60">
        <v>82.385269879923001</v>
      </c>
      <c r="R60">
        <v>42.25</v>
      </c>
      <c r="S60">
        <v>87.363592118596301</v>
      </c>
      <c r="T60" t="s">
        <v>0</v>
      </c>
      <c r="U60">
        <v>1.083752</v>
      </c>
      <c r="V60">
        <v>159.19900000000001</v>
      </c>
      <c r="W60">
        <v>324.03280999999998</v>
      </c>
      <c r="X60" t="s">
        <v>1</v>
      </c>
      <c r="Y60" t="s">
        <v>0</v>
      </c>
      <c r="Z60">
        <v>19.076633179760101</v>
      </c>
      <c r="AA60">
        <v>14.5</v>
      </c>
      <c r="AB60">
        <v>3888.4</v>
      </c>
      <c r="AC60" t="s">
        <v>1</v>
      </c>
      <c r="AD60">
        <f t="shared" si="3"/>
        <v>1</v>
      </c>
      <c r="AE60">
        <f t="shared" si="4"/>
        <v>66047.775125266868</v>
      </c>
      <c r="AF60">
        <f t="shared" si="2"/>
        <v>64.788627360042383</v>
      </c>
    </row>
    <row r="61" spans="1:32" x14ac:dyDescent="0.25">
      <c r="A61" t="s">
        <v>33</v>
      </c>
      <c r="B61">
        <v>-3</v>
      </c>
      <c r="C61">
        <v>1.0524800000000001</v>
      </c>
      <c r="D61">
        <v>0.10301200000000001</v>
      </c>
      <c r="E61">
        <v>0.63381600000000005</v>
      </c>
      <c r="F61">
        <v>-3</v>
      </c>
      <c r="G61">
        <v>66.500600000000006</v>
      </c>
      <c r="H61">
        <v>36</v>
      </c>
      <c r="I61">
        <v>130.92699999999999</v>
      </c>
      <c r="J61" t="s">
        <v>3</v>
      </c>
      <c r="K61">
        <v>0</v>
      </c>
      <c r="M61">
        <v>853</v>
      </c>
      <c r="N61">
        <v>1.0524800000000001</v>
      </c>
      <c r="O61">
        <v>0.10301200000000001</v>
      </c>
      <c r="P61">
        <v>0.63381600000000005</v>
      </c>
      <c r="Q61">
        <v>66.500597211074904</v>
      </c>
      <c r="R61">
        <v>36</v>
      </c>
      <c r="S61">
        <v>130.92688761493699</v>
      </c>
      <c r="T61" t="s">
        <v>0</v>
      </c>
      <c r="U61">
        <v>1.14198</v>
      </c>
      <c r="V61">
        <v>151.506</v>
      </c>
      <c r="W61">
        <v>383.95143999999999</v>
      </c>
      <c r="X61" t="s">
        <v>1</v>
      </c>
      <c r="Y61" t="s">
        <v>0</v>
      </c>
      <c r="Z61">
        <v>18.1547898324282</v>
      </c>
      <c r="AA61">
        <v>14</v>
      </c>
      <c r="AB61">
        <v>3123.55</v>
      </c>
      <c r="AC61" t="s">
        <v>1</v>
      </c>
      <c r="AD61">
        <f t="shared" si="3"/>
        <v>1</v>
      </c>
      <c r="AE61">
        <f t="shared" si="4"/>
        <v>66059.234586666382</v>
      </c>
      <c r="AF61">
        <f t="shared" si="2"/>
        <v>80.667128144431601</v>
      </c>
    </row>
    <row r="62" spans="1:32" x14ac:dyDescent="0.25">
      <c r="A62" t="s">
        <v>33</v>
      </c>
      <c r="B62">
        <v>-3</v>
      </c>
      <c r="C62">
        <v>0.91151400000000005</v>
      </c>
      <c r="D62">
        <v>6.4492300000000002E-2</v>
      </c>
      <c r="E62">
        <v>0.55301100000000003</v>
      </c>
      <c r="F62">
        <v>-3</v>
      </c>
      <c r="G62">
        <v>34.186300000000003</v>
      </c>
      <c r="H62">
        <v>56.25</v>
      </c>
      <c r="I62">
        <v>165.346</v>
      </c>
      <c r="J62" t="s">
        <v>3</v>
      </c>
      <c r="K62">
        <v>0</v>
      </c>
      <c r="M62">
        <v>867</v>
      </c>
      <c r="N62">
        <v>0.91151400000000005</v>
      </c>
      <c r="O62">
        <v>6.4492300000000002E-2</v>
      </c>
      <c r="P62">
        <v>0.55301100000000003</v>
      </c>
      <c r="Q62">
        <v>34.186288081235702</v>
      </c>
      <c r="R62">
        <v>56.25</v>
      </c>
      <c r="S62">
        <v>165.34577816776101</v>
      </c>
      <c r="T62" t="s">
        <v>0</v>
      </c>
      <c r="U62">
        <v>1.0292110000000001</v>
      </c>
      <c r="V62">
        <v>132.24615</v>
      </c>
      <c r="W62">
        <v>336.27649000000002</v>
      </c>
      <c r="X62" t="s">
        <v>1</v>
      </c>
      <c r="Y62" t="s">
        <v>0</v>
      </c>
      <c r="Z62">
        <v>15.846904145035699</v>
      </c>
      <c r="AA62">
        <v>15.5</v>
      </c>
      <c r="AB62">
        <v>2606.58</v>
      </c>
      <c r="AC62" t="s">
        <v>1</v>
      </c>
      <c r="AD62">
        <f t="shared" si="3"/>
        <v>1</v>
      </c>
      <c r="AE62">
        <f t="shared" si="4"/>
        <v>55312.48029784971</v>
      </c>
      <c r="AF62">
        <f t="shared" si="2"/>
        <v>80.940073686972852</v>
      </c>
    </row>
    <row r="63" spans="1:32" x14ac:dyDescent="0.25">
      <c r="A63" t="s">
        <v>33</v>
      </c>
      <c r="B63">
        <v>-3</v>
      </c>
      <c r="C63">
        <v>0.82359000000000004</v>
      </c>
      <c r="D63">
        <v>7.7856900000000007E-2</v>
      </c>
      <c r="E63">
        <v>0.65947800000000001</v>
      </c>
      <c r="F63">
        <v>-3</v>
      </c>
      <c r="G63">
        <v>44.191099999999999</v>
      </c>
      <c r="H63">
        <v>56.25</v>
      </c>
      <c r="I63">
        <v>143.37100000000001</v>
      </c>
      <c r="J63" t="s">
        <v>3</v>
      </c>
      <c r="K63">
        <v>0</v>
      </c>
      <c r="M63">
        <v>868</v>
      </c>
      <c r="N63">
        <v>0.82359000000000004</v>
      </c>
      <c r="O63">
        <v>7.7856900000000007E-2</v>
      </c>
      <c r="P63">
        <v>0.65947800000000001</v>
      </c>
      <c r="Q63">
        <v>44.191070678623298</v>
      </c>
      <c r="R63">
        <v>56.25</v>
      </c>
      <c r="S63">
        <v>143.37142717132599</v>
      </c>
      <c r="T63" t="s">
        <v>0</v>
      </c>
      <c r="U63">
        <v>0.95887</v>
      </c>
      <c r="V63">
        <v>138.92845</v>
      </c>
      <c r="W63">
        <v>399.09201999999999</v>
      </c>
      <c r="X63" t="s">
        <v>1</v>
      </c>
      <c r="Y63" t="s">
        <v>0</v>
      </c>
      <c r="Z63">
        <v>16.647636473110001</v>
      </c>
      <c r="AA63">
        <v>15.5</v>
      </c>
      <c r="AB63">
        <v>2929.57</v>
      </c>
      <c r="AC63" t="s">
        <v>1</v>
      </c>
      <c r="AD63">
        <f t="shared" si="3"/>
        <v>1</v>
      </c>
      <c r="AE63">
        <f t="shared" si="4"/>
        <v>70230.270280102035</v>
      </c>
      <c r="AF63">
        <f t="shared" si="2"/>
        <v>91.439108017874744</v>
      </c>
    </row>
    <row r="64" spans="1:32" x14ac:dyDescent="0.25">
      <c r="A64" t="s">
        <v>33</v>
      </c>
      <c r="B64">
        <v>-3</v>
      </c>
      <c r="C64">
        <v>0.92065699999999995</v>
      </c>
      <c r="D64">
        <v>7.0473900000000006E-2</v>
      </c>
      <c r="E64">
        <v>0.508432</v>
      </c>
      <c r="F64">
        <v>-3</v>
      </c>
      <c r="G64">
        <v>38.505600000000001</v>
      </c>
      <c r="H64">
        <v>56.25</v>
      </c>
      <c r="I64">
        <v>148.46299999999999</v>
      </c>
      <c r="J64" t="s">
        <v>3</v>
      </c>
      <c r="K64">
        <v>0</v>
      </c>
      <c r="M64">
        <v>871</v>
      </c>
      <c r="N64">
        <v>0.92065699999999995</v>
      </c>
      <c r="O64">
        <v>7.0473900000000006E-2</v>
      </c>
      <c r="P64">
        <v>0.508432</v>
      </c>
      <c r="Q64">
        <v>38.505602529689902</v>
      </c>
      <c r="R64">
        <v>56.25</v>
      </c>
      <c r="S64">
        <v>148.462540983298</v>
      </c>
      <c r="T64" t="s">
        <v>0</v>
      </c>
      <c r="U64">
        <v>1.0365249999999999</v>
      </c>
      <c r="V64">
        <v>135.23695000000001</v>
      </c>
      <c r="W64">
        <v>309.97487999999998</v>
      </c>
      <c r="X64" t="s">
        <v>1</v>
      </c>
      <c r="Y64" t="s">
        <v>0</v>
      </c>
      <c r="Z64">
        <v>16.205288271280299</v>
      </c>
      <c r="AA64">
        <v>15.5</v>
      </c>
      <c r="AB64">
        <v>2852.65</v>
      </c>
      <c r="AC64" t="s">
        <v>1</v>
      </c>
      <c r="AD64">
        <f t="shared" si="3"/>
        <v>1</v>
      </c>
      <c r="AE64">
        <f t="shared" si="4"/>
        <v>54565.51137069898</v>
      </c>
      <c r="AF64">
        <f t="shared" si="2"/>
        <v>72.959401090185906</v>
      </c>
    </row>
    <row r="65" spans="1:32" x14ac:dyDescent="0.25">
      <c r="A65" t="s">
        <v>33</v>
      </c>
      <c r="B65">
        <v>-3</v>
      </c>
      <c r="C65">
        <v>0.94393300000000002</v>
      </c>
      <c r="D65">
        <v>4.4485299999999998E-2</v>
      </c>
      <c r="E65">
        <v>0.55251499999999998</v>
      </c>
      <c r="F65">
        <v>-3</v>
      </c>
      <c r="G65">
        <v>21.605699999999999</v>
      </c>
      <c r="H65">
        <v>56.25</v>
      </c>
      <c r="I65">
        <v>179.14099999999999</v>
      </c>
      <c r="J65" t="s">
        <v>3</v>
      </c>
      <c r="K65">
        <v>0</v>
      </c>
      <c r="M65">
        <v>873</v>
      </c>
      <c r="N65">
        <v>0.94393300000000002</v>
      </c>
      <c r="O65">
        <v>4.4485299999999998E-2</v>
      </c>
      <c r="P65">
        <v>0.55251499999999998</v>
      </c>
      <c r="Q65">
        <v>21.605728271538201</v>
      </c>
      <c r="R65">
        <v>56.25</v>
      </c>
      <c r="S65">
        <v>179.14098993507201</v>
      </c>
      <c r="T65" t="s">
        <v>0</v>
      </c>
      <c r="U65">
        <v>1.0551459999999999</v>
      </c>
      <c r="V65">
        <v>122.24265</v>
      </c>
      <c r="W65">
        <v>335.98385000000002</v>
      </c>
      <c r="X65" t="s">
        <v>1</v>
      </c>
      <c r="Y65" t="s">
        <v>0</v>
      </c>
      <c r="Z65">
        <v>14.6481962384927</v>
      </c>
      <c r="AA65">
        <v>15.5</v>
      </c>
      <c r="AB65">
        <v>2414.71</v>
      </c>
      <c r="AC65" t="s">
        <v>1</v>
      </c>
      <c r="AD65">
        <f t="shared" si="3"/>
        <v>1</v>
      </c>
      <c r="AE65">
        <f t="shared" si="4"/>
        <v>55385.902074519399</v>
      </c>
      <c r="AF65">
        <f t="shared" si="2"/>
        <v>87.487453072304803</v>
      </c>
    </row>
    <row r="66" spans="1:32" x14ac:dyDescent="0.25">
      <c r="A66" t="s">
        <v>33</v>
      </c>
      <c r="B66">
        <v>-3</v>
      </c>
      <c r="C66">
        <v>1.0343</v>
      </c>
      <c r="D66">
        <v>3.5202600000000001E-2</v>
      </c>
      <c r="E66">
        <v>0.62040099999999998</v>
      </c>
      <c r="F66">
        <v>-3</v>
      </c>
      <c r="G66">
        <v>16.744700000000002</v>
      </c>
      <c r="H66">
        <v>56.25</v>
      </c>
      <c r="I66">
        <v>205.66900000000001</v>
      </c>
      <c r="J66" t="s">
        <v>3</v>
      </c>
      <c r="K66">
        <v>0</v>
      </c>
      <c r="M66">
        <v>879</v>
      </c>
      <c r="N66">
        <v>1.0343</v>
      </c>
      <c r="O66">
        <v>3.5202600000000001E-2</v>
      </c>
      <c r="P66">
        <v>0.62040099999999998</v>
      </c>
      <c r="Q66">
        <v>16.744698087458101</v>
      </c>
      <c r="R66">
        <v>56.25</v>
      </c>
      <c r="S66">
        <v>205.66938878513699</v>
      </c>
      <c r="T66" t="s">
        <v>0</v>
      </c>
      <c r="U66">
        <v>1.1274</v>
      </c>
      <c r="V66">
        <v>117.60129999999999</v>
      </c>
      <c r="W66">
        <v>376.03658999999999</v>
      </c>
      <c r="X66" t="s">
        <v>1</v>
      </c>
      <c r="Y66" t="s">
        <v>0</v>
      </c>
      <c r="Z66">
        <v>14.0920286029618</v>
      </c>
      <c r="AA66">
        <v>15.5</v>
      </c>
      <c r="AB66">
        <v>2065.4699999999998</v>
      </c>
      <c r="AC66" t="s">
        <v>1</v>
      </c>
      <c r="AD66">
        <f t="shared" ref="AD66:AD97" si="5">IF(A66="set1",1)+IF(A66="set2",2)+IF(A66="set3",3)+IF(A66="set4",4)</f>
        <v>1</v>
      </c>
      <c r="AE66">
        <f t="shared" ref="AE66:AE97" si="6">W66*AB66/Z66</f>
        <v>55115.719491518641</v>
      </c>
      <c r="AF66">
        <f t="shared" si="2"/>
        <v>101.78132738655165</v>
      </c>
    </row>
    <row r="67" spans="1:32" x14ac:dyDescent="0.25">
      <c r="A67" t="s">
        <v>33</v>
      </c>
      <c r="B67">
        <v>-3</v>
      </c>
      <c r="C67">
        <v>0.95498400000000006</v>
      </c>
      <c r="D67">
        <v>0.11122</v>
      </c>
      <c r="E67">
        <v>0.58611599999999997</v>
      </c>
      <c r="F67">
        <v>-3</v>
      </c>
      <c r="G67">
        <v>74.763099999999994</v>
      </c>
      <c r="H67">
        <v>42.25</v>
      </c>
      <c r="I67">
        <v>108.673</v>
      </c>
      <c r="J67" t="s">
        <v>3</v>
      </c>
      <c r="K67">
        <v>0</v>
      </c>
      <c r="M67">
        <v>884</v>
      </c>
      <c r="N67">
        <v>0.95498400000000006</v>
      </c>
      <c r="O67">
        <v>0.11122</v>
      </c>
      <c r="P67">
        <v>0.58611599999999997</v>
      </c>
      <c r="Q67">
        <v>74.763128409948393</v>
      </c>
      <c r="R67">
        <v>42.25</v>
      </c>
      <c r="S67">
        <v>108.672913492963</v>
      </c>
      <c r="T67" t="s">
        <v>0</v>
      </c>
      <c r="U67">
        <v>1.063987</v>
      </c>
      <c r="V67">
        <v>155.61000000000001</v>
      </c>
      <c r="W67">
        <v>355.80844000000002</v>
      </c>
      <c r="X67" t="s">
        <v>1</v>
      </c>
      <c r="Y67" t="s">
        <v>0</v>
      </c>
      <c r="Z67">
        <v>18.646567435112502</v>
      </c>
      <c r="AA67">
        <v>14.5</v>
      </c>
      <c r="AB67">
        <v>3495.01</v>
      </c>
      <c r="AC67" t="s">
        <v>1</v>
      </c>
      <c r="AD67">
        <f t="shared" si="5"/>
        <v>1</v>
      </c>
      <c r="AE67">
        <f t="shared" si="6"/>
        <v>66690.776209176183</v>
      </c>
      <c r="AF67">
        <f t="shared" ref="AF67:AF130" si="7">W67/(PI()*1*V67/100)</f>
        <v>72.782818610392724</v>
      </c>
    </row>
    <row r="68" spans="1:32" x14ac:dyDescent="0.25">
      <c r="A68" t="s">
        <v>33</v>
      </c>
      <c r="B68">
        <v>-3</v>
      </c>
      <c r="C68">
        <v>0.87509099999999995</v>
      </c>
      <c r="D68">
        <v>-1.9753000000000001E-3</v>
      </c>
      <c r="E68">
        <v>0.70521699999999998</v>
      </c>
      <c r="F68">
        <v>-3</v>
      </c>
      <c r="G68">
        <v>3.4764900000000001</v>
      </c>
      <c r="H68">
        <v>81</v>
      </c>
      <c r="I68">
        <v>263.36200000000002</v>
      </c>
      <c r="J68" t="s">
        <v>3</v>
      </c>
      <c r="K68">
        <v>0</v>
      </c>
      <c r="M68">
        <v>891</v>
      </c>
      <c r="N68">
        <v>0.87509099999999995</v>
      </c>
      <c r="O68">
        <v>-1.9753000000000001E-3</v>
      </c>
      <c r="P68">
        <v>0.70521699999999998</v>
      </c>
      <c r="Q68">
        <v>3.4764948361621699</v>
      </c>
      <c r="R68">
        <v>81</v>
      </c>
      <c r="S68">
        <v>263.36221147982701</v>
      </c>
      <c r="T68" t="s">
        <v>0</v>
      </c>
      <c r="U68">
        <v>1.0000720000000001</v>
      </c>
      <c r="V68">
        <v>99.012349999999998</v>
      </c>
      <c r="W68">
        <v>426.07803000000001</v>
      </c>
      <c r="X68" t="s">
        <v>1</v>
      </c>
      <c r="Y68" t="s">
        <v>0</v>
      </c>
      <c r="Z68">
        <v>11.8645360914077</v>
      </c>
      <c r="AA68">
        <v>17</v>
      </c>
      <c r="AB68">
        <v>1376.62</v>
      </c>
      <c r="AC68" t="s">
        <v>1</v>
      </c>
      <c r="AD68">
        <f t="shared" si="5"/>
        <v>1</v>
      </c>
      <c r="AE68">
        <f t="shared" si="6"/>
        <v>49437.039353218192</v>
      </c>
      <c r="AF68">
        <f t="shared" si="7"/>
        <v>136.97770958341434</v>
      </c>
    </row>
    <row r="69" spans="1:32" x14ac:dyDescent="0.25">
      <c r="A69" t="s">
        <v>33</v>
      </c>
      <c r="B69">
        <v>-3</v>
      </c>
      <c r="C69">
        <v>1.0394000000000001</v>
      </c>
      <c r="D69">
        <v>7.0502899999999993E-2</v>
      </c>
      <c r="E69">
        <v>0.60957899999999998</v>
      </c>
      <c r="F69">
        <v>-3</v>
      </c>
      <c r="G69">
        <v>38.527200000000001</v>
      </c>
      <c r="H69">
        <v>49</v>
      </c>
      <c r="I69">
        <v>186.542</v>
      </c>
      <c r="J69" t="s">
        <v>3</v>
      </c>
      <c r="K69">
        <v>0</v>
      </c>
      <c r="M69">
        <v>892</v>
      </c>
      <c r="N69">
        <v>1.0394000000000001</v>
      </c>
      <c r="O69">
        <v>7.0502899999999993E-2</v>
      </c>
      <c r="P69">
        <v>0.60957899999999998</v>
      </c>
      <c r="Q69">
        <v>38.527169152926497</v>
      </c>
      <c r="R69">
        <v>49</v>
      </c>
      <c r="S69">
        <v>186.54171238431201</v>
      </c>
      <c r="T69" t="s">
        <v>0</v>
      </c>
      <c r="U69">
        <v>1.1315</v>
      </c>
      <c r="V69">
        <v>135.25145000000001</v>
      </c>
      <c r="W69">
        <v>369.65161000000001</v>
      </c>
      <c r="X69" t="s">
        <v>1</v>
      </c>
      <c r="Y69" t="s">
        <v>0</v>
      </c>
      <c r="Z69">
        <v>16.2070257896134</v>
      </c>
      <c r="AA69">
        <v>15</v>
      </c>
      <c r="AB69">
        <v>2314.8200000000002</v>
      </c>
      <c r="AC69" t="s">
        <v>1</v>
      </c>
      <c r="AD69">
        <f t="shared" si="5"/>
        <v>1</v>
      </c>
      <c r="AE69">
        <f t="shared" si="6"/>
        <v>52796.666764643385</v>
      </c>
      <c r="AF69">
        <f t="shared" si="7"/>
        <v>86.996303482702018</v>
      </c>
    </row>
    <row r="70" spans="1:32" x14ac:dyDescent="0.25">
      <c r="A70" t="s">
        <v>33</v>
      </c>
      <c r="B70">
        <v>-3</v>
      </c>
      <c r="C70">
        <v>1.02312</v>
      </c>
      <c r="D70">
        <v>-8.36658E-4</v>
      </c>
      <c r="E70">
        <v>0.66092499999999998</v>
      </c>
      <c r="F70">
        <v>-3</v>
      </c>
      <c r="G70">
        <v>3.7355499999999999</v>
      </c>
      <c r="H70">
        <v>64</v>
      </c>
      <c r="I70">
        <v>263.12200000000001</v>
      </c>
      <c r="J70" t="s">
        <v>3</v>
      </c>
      <c r="K70">
        <v>0</v>
      </c>
      <c r="M70">
        <v>896</v>
      </c>
      <c r="N70">
        <v>1.02312</v>
      </c>
      <c r="O70">
        <v>-8.36658E-4</v>
      </c>
      <c r="P70">
        <v>0.66092499999999998</v>
      </c>
      <c r="Q70">
        <v>3.7355502876008999</v>
      </c>
      <c r="R70">
        <v>64</v>
      </c>
      <c r="S70">
        <v>263.12217423456502</v>
      </c>
      <c r="T70" t="s">
        <v>0</v>
      </c>
      <c r="U70">
        <v>1.11849</v>
      </c>
      <c r="V70">
        <v>99.581671</v>
      </c>
      <c r="W70">
        <v>399.94574999999998</v>
      </c>
      <c r="X70" t="s">
        <v>1</v>
      </c>
      <c r="Y70" t="s">
        <v>0</v>
      </c>
      <c r="Z70">
        <v>11.932757172435499</v>
      </c>
      <c r="AA70">
        <v>16</v>
      </c>
      <c r="AB70">
        <v>1379.32</v>
      </c>
      <c r="AC70" t="s">
        <v>1</v>
      </c>
      <c r="AD70">
        <f t="shared" si="5"/>
        <v>1</v>
      </c>
      <c r="AE70">
        <f t="shared" si="6"/>
        <v>46230.151499630869</v>
      </c>
      <c r="AF70">
        <f t="shared" si="7"/>
        <v>127.84148416448123</v>
      </c>
    </row>
    <row r="71" spans="1:32" x14ac:dyDescent="0.25">
      <c r="A71" t="s">
        <v>33</v>
      </c>
      <c r="B71">
        <v>-3</v>
      </c>
      <c r="C71">
        <v>1.0448599999999999</v>
      </c>
      <c r="D71">
        <v>4.4613800000000002E-2</v>
      </c>
      <c r="E71">
        <v>0.57506999999999997</v>
      </c>
      <c r="F71">
        <v>-3</v>
      </c>
      <c r="G71">
        <v>21.677399999999999</v>
      </c>
      <c r="H71">
        <v>49</v>
      </c>
      <c r="I71">
        <v>191.77500000000001</v>
      </c>
      <c r="J71" t="s">
        <v>3</v>
      </c>
      <c r="K71">
        <v>0</v>
      </c>
      <c r="M71">
        <v>897</v>
      </c>
      <c r="N71">
        <v>1.0448599999999999</v>
      </c>
      <c r="O71">
        <v>4.4613800000000002E-2</v>
      </c>
      <c r="P71">
        <v>0.57506999999999997</v>
      </c>
      <c r="Q71">
        <v>21.677360505791299</v>
      </c>
      <c r="R71">
        <v>49</v>
      </c>
      <c r="S71">
        <v>191.775450830549</v>
      </c>
      <c r="T71" t="s">
        <v>0</v>
      </c>
      <c r="U71">
        <v>1.13588</v>
      </c>
      <c r="V71">
        <v>122.3069</v>
      </c>
      <c r="W71">
        <v>349.29129999999998</v>
      </c>
      <c r="X71" t="s">
        <v>1</v>
      </c>
      <c r="Y71" t="s">
        <v>0</v>
      </c>
      <c r="Z71">
        <v>14.655895242141</v>
      </c>
      <c r="AA71">
        <v>15</v>
      </c>
      <c r="AB71">
        <v>2245.37</v>
      </c>
      <c r="AC71" t="s">
        <v>1</v>
      </c>
      <c r="AD71">
        <f t="shared" si="5"/>
        <v>1</v>
      </c>
      <c r="AE71">
        <f t="shared" si="6"/>
        <v>53513.497014217712</v>
      </c>
      <c r="AF71">
        <f t="shared" si="7"/>
        <v>90.904825441564029</v>
      </c>
    </row>
    <row r="72" spans="1:32" x14ac:dyDescent="0.25">
      <c r="A72" t="s">
        <v>33</v>
      </c>
      <c r="B72">
        <v>-3</v>
      </c>
      <c r="C72">
        <v>0.98332799999999998</v>
      </c>
      <c r="D72">
        <v>6.7680199999999996E-3</v>
      </c>
      <c r="E72">
        <v>0.57731600000000005</v>
      </c>
      <c r="F72">
        <v>-3</v>
      </c>
      <c r="G72">
        <v>5.7043900000000001</v>
      </c>
      <c r="H72">
        <v>72.25</v>
      </c>
      <c r="I72">
        <v>240.023</v>
      </c>
      <c r="J72" t="s">
        <v>3</v>
      </c>
      <c r="K72">
        <v>0</v>
      </c>
      <c r="M72">
        <v>901</v>
      </c>
      <c r="N72">
        <v>0.98332799999999998</v>
      </c>
      <c r="O72">
        <v>6.7680199999999996E-3</v>
      </c>
      <c r="P72">
        <v>0.57731600000000005</v>
      </c>
      <c r="Q72">
        <v>5.7043928641264197</v>
      </c>
      <c r="R72">
        <v>72.25</v>
      </c>
      <c r="S72">
        <v>240.02328638693899</v>
      </c>
      <c r="T72" t="s">
        <v>0</v>
      </c>
      <c r="U72">
        <v>1.086662</v>
      </c>
      <c r="V72">
        <v>103.38401</v>
      </c>
      <c r="W72">
        <v>350.61644000000001</v>
      </c>
      <c r="X72" t="s">
        <v>1</v>
      </c>
      <c r="Y72" t="s">
        <v>0</v>
      </c>
      <c r="Z72">
        <v>12.388387084232001</v>
      </c>
      <c r="AA72">
        <v>16.5</v>
      </c>
      <c r="AB72">
        <v>1645.17</v>
      </c>
      <c r="AC72" t="s">
        <v>1</v>
      </c>
      <c r="AD72">
        <f t="shared" si="5"/>
        <v>1</v>
      </c>
      <c r="AE72">
        <f t="shared" si="6"/>
        <v>46561.642340751845</v>
      </c>
      <c r="AF72">
        <f t="shared" si="7"/>
        <v>107.95158662404938</v>
      </c>
    </row>
    <row r="73" spans="1:32" x14ac:dyDescent="0.25">
      <c r="A73" t="s">
        <v>33</v>
      </c>
      <c r="B73">
        <v>-3</v>
      </c>
      <c r="C73">
        <v>1.00725</v>
      </c>
      <c r="D73">
        <v>7.9275300000000007E-2</v>
      </c>
      <c r="E73">
        <v>0.53861199999999998</v>
      </c>
      <c r="F73">
        <v>-3</v>
      </c>
      <c r="G73">
        <v>45.328200000000002</v>
      </c>
      <c r="H73">
        <v>49</v>
      </c>
      <c r="I73">
        <v>158.298</v>
      </c>
      <c r="J73" t="s">
        <v>3</v>
      </c>
      <c r="K73">
        <v>0</v>
      </c>
      <c r="M73">
        <v>902</v>
      </c>
      <c r="N73">
        <v>1.00725</v>
      </c>
      <c r="O73">
        <v>7.9275300000000007E-2</v>
      </c>
      <c r="P73">
        <v>0.53861199999999998</v>
      </c>
      <c r="Q73">
        <v>45.328159863880998</v>
      </c>
      <c r="R73">
        <v>49</v>
      </c>
      <c r="S73">
        <v>158.29845101219701</v>
      </c>
      <c r="T73" t="s">
        <v>0</v>
      </c>
      <c r="U73">
        <v>1.1057999999999999</v>
      </c>
      <c r="V73">
        <v>139.63765000000001</v>
      </c>
      <c r="W73">
        <v>327.78107999999997</v>
      </c>
      <c r="X73" t="s">
        <v>1</v>
      </c>
      <c r="Y73" t="s">
        <v>0</v>
      </c>
      <c r="Z73">
        <v>16.7326190939248</v>
      </c>
      <c r="AA73">
        <v>15</v>
      </c>
      <c r="AB73">
        <v>2707.69</v>
      </c>
      <c r="AC73" t="s">
        <v>1</v>
      </c>
      <c r="AD73">
        <f t="shared" si="5"/>
        <v>1</v>
      </c>
      <c r="AE73">
        <f t="shared" si="6"/>
        <v>53041.878711470818</v>
      </c>
      <c r="AF73">
        <f t="shared" si="7"/>
        <v>74.719073450462659</v>
      </c>
    </row>
    <row r="74" spans="1:32" x14ac:dyDescent="0.25">
      <c r="A74" t="s">
        <v>33</v>
      </c>
      <c r="B74">
        <v>-3</v>
      </c>
      <c r="C74">
        <v>1.04057</v>
      </c>
      <c r="D74">
        <v>1.7361700000000001E-2</v>
      </c>
      <c r="E74">
        <v>0.59651399999999999</v>
      </c>
      <c r="F74">
        <v>-3</v>
      </c>
      <c r="G74">
        <v>9.1391399999999994</v>
      </c>
      <c r="H74">
        <v>64</v>
      </c>
      <c r="I74">
        <v>242.643</v>
      </c>
      <c r="J74" t="s">
        <v>3</v>
      </c>
      <c r="K74">
        <v>0</v>
      </c>
      <c r="M74">
        <v>910</v>
      </c>
      <c r="N74">
        <v>1.04057</v>
      </c>
      <c r="O74">
        <v>1.7361700000000001E-2</v>
      </c>
      <c r="P74">
        <v>0.59651399999999999</v>
      </c>
      <c r="Q74">
        <v>9.1391416696726004</v>
      </c>
      <c r="R74">
        <v>64</v>
      </c>
      <c r="S74">
        <v>242.64250223306399</v>
      </c>
      <c r="T74" t="s">
        <v>0</v>
      </c>
      <c r="U74">
        <v>1.13245</v>
      </c>
      <c r="V74">
        <v>108.68085000000001</v>
      </c>
      <c r="W74">
        <v>361.94326000000001</v>
      </c>
      <c r="X74" t="s">
        <v>1</v>
      </c>
      <c r="Y74" t="s">
        <v>0</v>
      </c>
      <c r="Z74">
        <v>13.0231013330142</v>
      </c>
      <c r="AA74">
        <v>16</v>
      </c>
      <c r="AB74">
        <v>1614.4</v>
      </c>
      <c r="AC74" t="s">
        <v>1</v>
      </c>
      <c r="AD74">
        <f t="shared" si="5"/>
        <v>1</v>
      </c>
      <c r="AE74">
        <f t="shared" si="6"/>
        <v>44868.052854869311</v>
      </c>
      <c r="AF74">
        <f t="shared" si="7"/>
        <v>106.00774459860237</v>
      </c>
    </row>
    <row r="75" spans="1:32" x14ac:dyDescent="0.25">
      <c r="A75" t="s">
        <v>33</v>
      </c>
      <c r="B75">
        <v>-3</v>
      </c>
      <c r="C75">
        <v>1.1651899999999999</v>
      </c>
      <c r="D75">
        <v>-2.8292100000000001E-2</v>
      </c>
      <c r="E75">
        <v>0.60011700000000001</v>
      </c>
      <c r="F75">
        <v>-3</v>
      </c>
      <c r="G75">
        <v>8.2817399999999999E-2</v>
      </c>
      <c r="H75">
        <v>72.25</v>
      </c>
      <c r="I75">
        <v>287.10700000000003</v>
      </c>
      <c r="J75" t="s">
        <v>3</v>
      </c>
      <c r="K75">
        <v>0</v>
      </c>
      <c r="M75">
        <v>913</v>
      </c>
      <c r="N75">
        <v>1.1651899999999999</v>
      </c>
      <c r="O75">
        <v>-2.8292100000000001E-2</v>
      </c>
      <c r="P75">
        <v>0.60011700000000001</v>
      </c>
      <c r="Q75">
        <v>8.2817411420987197E-2</v>
      </c>
      <c r="R75">
        <v>72.25</v>
      </c>
      <c r="S75">
        <v>287.106563554888</v>
      </c>
      <c r="T75" t="s">
        <v>0</v>
      </c>
      <c r="U75">
        <v>1.2321500000000001</v>
      </c>
      <c r="V75">
        <v>85.853949999999998</v>
      </c>
      <c r="W75">
        <v>364.06903</v>
      </c>
      <c r="X75" t="s">
        <v>1</v>
      </c>
      <c r="Y75" t="s">
        <v>0</v>
      </c>
      <c r="Z75">
        <v>10.287780144243801</v>
      </c>
      <c r="AA75">
        <v>16.5</v>
      </c>
      <c r="AB75">
        <v>1115.3599999999999</v>
      </c>
      <c r="AC75" t="s">
        <v>1</v>
      </c>
      <c r="AD75">
        <f t="shared" si="5"/>
        <v>1</v>
      </c>
      <c r="AE75">
        <f t="shared" si="6"/>
        <v>39470.908943170056</v>
      </c>
      <c r="AF75">
        <f t="shared" si="7"/>
        <v>134.98129265146574</v>
      </c>
    </row>
    <row r="76" spans="1:32" x14ac:dyDescent="0.25">
      <c r="A76" t="s">
        <v>33</v>
      </c>
      <c r="B76">
        <v>-3</v>
      </c>
      <c r="C76">
        <v>1.0889200000000001</v>
      </c>
      <c r="D76">
        <v>0.17537900000000001</v>
      </c>
      <c r="E76">
        <v>0.53934199999999999</v>
      </c>
      <c r="F76">
        <v>-3</v>
      </c>
      <c r="G76">
        <v>156.01599999999999</v>
      </c>
      <c r="H76">
        <v>36</v>
      </c>
      <c r="I76">
        <v>66.450199999999995</v>
      </c>
      <c r="J76" t="s">
        <v>3</v>
      </c>
      <c r="K76">
        <v>0</v>
      </c>
      <c r="M76">
        <v>918</v>
      </c>
      <c r="N76">
        <v>1.0889200000000001</v>
      </c>
      <c r="O76">
        <v>0.17537900000000001</v>
      </c>
      <c r="P76">
        <v>0.53934199999999999</v>
      </c>
      <c r="Q76">
        <v>156.01551420338899</v>
      </c>
      <c r="R76">
        <v>36</v>
      </c>
      <c r="S76">
        <v>66.450190556577198</v>
      </c>
      <c r="T76" t="s">
        <v>0</v>
      </c>
      <c r="U76">
        <v>1.17113</v>
      </c>
      <c r="V76">
        <v>187.68950000000001</v>
      </c>
      <c r="W76">
        <v>328.21177999999998</v>
      </c>
      <c r="X76" t="s">
        <v>1</v>
      </c>
      <c r="Y76" t="s">
        <v>0</v>
      </c>
      <c r="Z76">
        <v>22.490617046542901</v>
      </c>
      <c r="AA76">
        <v>14</v>
      </c>
      <c r="AB76">
        <v>4324.63</v>
      </c>
      <c r="AC76" t="s">
        <v>1</v>
      </c>
      <c r="AD76">
        <f t="shared" si="5"/>
        <v>1</v>
      </c>
      <c r="AE76">
        <f t="shared" si="6"/>
        <v>63110.518808979461</v>
      </c>
      <c r="AF76">
        <f t="shared" si="7"/>
        <v>55.662705871121894</v>
      </c>
    </row>
    <row r="77" spans="1:32" x14ac:dyDescent="0.25">
      <c r="A77" t="s">
        <v>33</v>
      </c>
      <c r="B77">
        <v>-3</v>
      </c>
      <c r="C77">
        <v>1.03054</v>
      </c>
      <c r="D77">
        <v>1.22057E-2</v>
      </c>
      <c r="E77">
        <v>0.62687000000000004</v>
      </c>
      <c r="F77">
        <v>-3</v>
      </c>
      <c r="G77">
        <v>7.3667899999999999</v>
      </c>
      <c r="H77">
        <v>64</v>
      </c>
      <c r="I77">
        <v>251.80500000000001</v>
      </c>
      <c r="J77" t="s">
        <v>3</v>
      </c>
      <c r="K77">
        <v>0</v>
      </c>
      <c r="M77">
        <v>921</v>
      </c>
      <c r="N77">
        <v>1.03054</v>
      </c>
      <c r="O77">
        <v>1.22057E-2</v>
      </c>
      <c r="P77">
        <v>0.62687000000000004</v>
      </c>
      <c r="Q77">
        <v>7.3667869488110798</v>
      </c>
      <c r="R77">
        <v>64</v>
      </c>
      <c r="S77">
        <v>251.80472735972899</v>
      </c>
      <c r="T77" t="s">
        <v>0</v>
      </c>
      <c r="U77">
        <v>1.12443</v>
      </c>
      <c r="V77">
        <v>106.10285</v>
      </c>
      <c r="W77">
        <v>379.85329999999999</v>
      </c>
      <c r="X77" t="s">
        <v>1</v>
      </c>
      <c r="Y77" t="s">
        <v>0</v>
      </c>
      <c r="Z77">
        <v>12.714182556279299</v>
      </c>
      <c r="AA77">
        <v>16</v>
      </c>
      <c r="AB77">
        <v>1508.05</v>
      </c>
      <c r="AC77" t="s">
        <v>1</v>
      </c>
      <c r="AD77">
        <f t="shared" si="5"/>
        <v>1</v>
      </c>
      <c r="AE77">
        <f t="shared" si="6"/>
        <v>45055.021550094549</v>
      </c>
      <c r="AF77">
        <f t="shared" si="7"/>
        <v>113.95646836021585</v>
      </c>
    </row>
    <row r="78" spans="1:32" x14ac:dyDescent="0.25">
      <c r="A78" t="s">
        <v>34</v>
      </c>
      <c r="B78">
        <v>-3</v>
      </c>
      <c r="C78">
        <v>0.89536700000000002</v>
      </c>
      <c r="D78">
        <v>0.30930099999999999</v>
      </c>
      <c r="E78">
        <v>0.56837400000000005</v>
      </c>
      <c r="F78">
        <v>-3</v>
      </c>
      <c r="G78">
        <v>420.84399999999999</v>
      </c>
      <c r="H78">
        <v>36</v>
      </c>
      <c r="I78">
        <v>0.43206299999999997</v>
      </c>
      <c r="J78" t="s">
        <v>3</v>
      </c>
      <c r="K78">
        <v>0</v>
      </c>
      <c r="M78" t="e">
        <f>MATCH(C78,script.out!B:B,0)</f>
        <v>#N/A</v>
      </c>
      <c r="N78" t="e">
        <f>INDEX(script.out!B:B,$M78)</f>
        <v>#N/A</v>
      </c>
      <c r="O78" t="e">
        <f>INDEX(script.out!C:C,$M78)</f>
        <v>#N/A</v>
      </c>
      <c r="P78" t="e">
        <f>INDEX(script.out!D:D,$M78)</f>
        <v>#N/A</v>
      </c>
      <c r="Q78" t="e">
        <f>INDEX(script.out!E:E,$M78)</f>
        <v>#N/A</v>
      </c>
      <c r="R78" t="e">
        <f>INDEX(script.out!F:F,$M78)</f>
        <v>#N/A</v>
      </c>
      <c r="S78" t="e">
        <f>INDEX(script.out!G:G,$M78)</f>
        <v>#N/A</v>
      </c>
      <c r="T78" t="e">
        <f>INDEX(script.out!H:H,$M78)</f>
        <v>#N/A</v>
      </c>
      <c r="U78" t="e">
        <f>INDEX(script.out!I:I,$M78)</f>
        <v>#N/A</v>
      </c>
      <c r="V78" t="e">
        <f>INDEX(script.out!J:J,$M78)</f>
        <v>#N/A</v>
      </c>
      <c r="W78" t="e">
        <f>INDEX(script.out!K:K,$M78)</f>
        <v>#N/A</v>
      </c>
      <c r="X78" t="e">
        <f>INDEX(script.out!L:L,$M78)</f>
        <v>#N/A</v>
      </c>
      <c r="Y78" t="e">
        <f>INDEX(script.out!M:M,$M78)</f>
        <v>#N/A</v>
      </c>
      <c r="Z78" t="e">
        <f>INDEX(script.out!N:N,$M78)</f>
        <v>#N/A</v>
      </c>
      <c r="AA78" t="e">
        <f>INDEX(script.out!O:O,$M78)</f>
        <v>#N/A</v>
      </c>
      <c r="AB78" t="e">
        <f>INDEX(script.out!P:P,$M78)</f>
        <v>#N/A</v>
      </c>
      <c r="AC78" t="e">
        <f>INDEX(script.out!Q:Q,$M78)</f>
        <v>#N/A</v>
      </c>
      <c r="AD78">
        <f t="shared" si="5"/>
        <v>2</v>
      </c>
      <c r="AE78" t="e">
        <f t="shared" si="6"/>
        <v>#N/A</v>
      </c>
      <c r="AF78" t="e">
        <f t="shared" si="7"/>
        <v>#N/A</v>
      </c>
    </row>
    <row r="79" spans="1:32" x14ac:dyDescent="0.25">
      <c r="A79" t="s">
        <v>34</v>
      </c>
      <c r="B79">
        <v>-3</v>
      </c>
      <c r="C79">
        <v>0.97817200000000004</v>
      </c>
      <c r="D79">
        <v>0.36422700000000002</v>
      </c>
      <c r="E79">
        <v>0.60778500000000002</v>
      </c>
      <c r="F79">
        <v>-3</v>
      </c>
      <c r="G79" s="2">
        <v>566.69399999999996</v>
      </c>
      <c r="H79">
        <v>30.25</v>
      </c>
      <c r="I79">
        <v>1.5978100000000001E-3</v>
      </c>
      <c r="J79" t="s">
        <v>3</v>
      </c>
      <c r="K79">
        <v>0</v>
      </c>
      <c r="M79">
        <f>MATCH(C79,script.out!B:B,0)</f>
        <v>58</v>
      </c>
      <c r="N79">
        <f>INDEX(script.out!B:B,$M79)</f>
        <v>0.97817200000000004</v>
      </c>
      <c r="O79">
        <f>INDEX(script.out!C:C,$M79)</f>
        <v>0.36422700000000002</v>
      </c>
      <c r="P79">
        <f>INDEX(script.out!D:D,$M79)</f>
        <v>0.60778500000000002</v>
      </c>
      <c r="Q79">
        <f>INDEX(script.out!E:E,$M79)</f>
        <v>566.694042616871</v>
      </c>
      <c r="R79">
        <f>INDEX(script.out!F:F,$M79)</f>
        <v>30.25</v>
      </c>
      <c r="S79">
        <f>INDEX(script.out!G:G,$M79)</f>
        <v>1.5978089697879501E-3</v>
      </c>
      <c r="T79" t="str">
        <f>INDEX(script.out!H:H,$M79)</f>
        <v>{</v>
      </c>
      <c r="U79">
        <f>INDEX(script.out!I:I,$M79)</f>
        <v>1.0825370000000001</v>
      </c>
      <c r="V79">
        <f>INDEX(script.out!J:J,$M79)</f>
        <v>282.11349999999999</v>
      </c>
      <c r="W79">
        <f>INDEX(script.out!K:K,$M79)</f>
        <v>368.59314999999998</v>
      </c>
      <c r="X79" t="str">
        <f>INDEX(script.out!L:L,$M79)</f>
        <v>}</v>
      </c>
      <c r="Y79" t="str">
        <f>INDEX(script.out!M:M,$M79)</f>
        <v>{</v>
      </c>
      <c r="Z79">
        <f>INDEX(script.out!N:N,$M79)</f>
        <v>33.805336431499299</v>
      </c>
      <c r="AA79">
        <f>INDEX(script.out!O:O,$M79)</f>
        <v>13.5</v>
      </c>
      <c r="AB79">
        <f>INDEX(script.out!P:P,$M79)</f>
        <v>7285.41</v>
      </c>
      <c r="AC79" t="str">
        <f>INDEX(script.out!Q:Q,$M79)</f>
        <v>}</v>
      </c>
      <c r="AD79">
        <f t="shared" si="5"/>
        <v>2</v>
      </c>
      <c r="AE79">
        <f t="shared" si="6"/>
        <v>79435.749038702939</v>
      </c>
      <c r="AF79">
        <f t="shared" si="7"/>
        <v>41.588525052726965</v>
      </c>
    </row>
    <row r="80" spans="1:32" x14ac:dyDescent="0.25">
      <c r="A80" t="s">
        <v>34</v>
      </c>
      <c r="B80">
        <v>-3</v>
      </c>
      <c r="C80">
        <v>0.97564399999999996</v>
      </c>
      <c r="D80">
        <v>0.30814999999999998</v>
      </c>
      <c r="E80">
        <v>0.60311199999999998</v>
      </c>
      <c r="F80">
        <v>-3</v>
      </c>
      <c r="G80">
        <v>418.01900000000001</v>
      </c>
      <c r="H80">
        <v>30.25</v>
      </c>
      <c r="I80">
        <v>3.0168400000000002</v>
      </c>
      <c r="J80" t="s">
        <v>3</v>
      </c>
      <c r="K80">
        <v>0</v>
      </c>
      <c r="M80">
        <f>MATCH(C80,script.out!B:B,0)</f>
        <v>114</v>
      </c>
      <c r="N80">
        <f>INDEX(script.out!B:B,$M80)</f>
        <v>0.97564399999999996</v>
      </c>
      <c r="O80">
        <f>INDEX(script.out!C:C,$M80)</f>
        <v>0.30814999999999998</v>
      </c>
      <c r="P80">
        <f>INDEX(script.out!D:D,$M80)</f>
        <v>0.60311199999999998</v>
      </c>
      <c r="Q80">
        <f>INDEX(script.out!E:E,$M80)</f>
        <v>418.01909200476098</v>
      </c>
      <c r="R80">
        <f>INDEX(script.out!F:F,$M80)</f>
        <v>30.25</v>
      </c>
      <c r="S80">
        <f>INDEX(script.out!G:G,$M80)</f>
        <v>3.0168358859072901</v>
      </c>
      <c r="T80" t="str">
        <f>INDEX(script.out!H:H,$M80)</f>
        <v>{</v>
      </c>
      <c r="U80">
        <f>INDEX(script.out!I:I,$M80)</f>
        <v>1.0805149999999999</v>
      </c>
      <c r="V80">
        <f>INDEX(script.out!J:J,$M80)</f>
        <v>254.07499999999999</v>
      </c>
      <c r="W80">
        <f>INDEX(script.out!K:K,$M80)</f>
        <v>365.83607999999998</v>
      </c>
      <c r="X80" t="str">
        <f>INDEX(script.out!L:L,$M80)</f>
        <v>}</v>
      </c>
      <c r="Y80" t="str">
        <f>INDEX(script.out!M:M,$M80)</f>
        <v>{</v>
      </c>
      <c r="Z80">
        <f>INDEX(script.out!N:N,$M80)</f>
        <v>30.4455152051681</v>
      </c>
      <c r="AA80">
        <f>INDEX(script.out!O:O,$M80)</f>
        <v>13.5</v>
      </c>
      <c r="AB80">
        <f>INDEX(script.out!P:P,$M80)</f>
        <v>6666.03</v>
      </c>
      <c r="AC80" t="str">
        <f>INDEX(script.out!Q:Q,$M80)</f>
        <v>}</v>
      </c>
      <c r="AD80">
        <f t="shared" si="5"/>
        <v>2</v>
      </c>
      <c r="AE80">
        <f t="shared" si="6"/>
        <v>80099.622815659794</v>
      </c>
      <c r="AF80">
        <f t="shared" si="7"/>
        <v>45.832624613489777</v>
      </c>
    </row>
    <row r="81" spans="1:32" x14ac:dyDescent="0.25">
      <c r="A81" t="s">
        <v>34</v>
      </c>
      <c r="B81">
        <v>-3</v>
      </c>
      <c r="C81">
        <v>0.88540700000000006</v>
      </c>
      <c r="D81">
        <v>0.34323300000000001</v>
      </c>
      <c r="E81">
        <v>0.57381899999999997</v>
      </c>
      <c r="F81">
        <v>-3</v>
      </c>
      <c r="G81">
        <v>508.38900000000001</v>
      </c>
      <c r="H81">
        <v>36</v>
      </c>
      <c r="I81">
        <v>9.5134200000000002E-2</v>
      </c>
      <c r="J81" t="s">
        <v>3</v>
      </c>
      <c r="K81">
        <v>0</v>
      </c>
      <c r="M81">
        <f>MATCH(C81,script.out!B:B,0)</f>
        <v>195</v>
      </c>
      <c r="N81">
        <f>INDEX(script.out!B:B,$M81)</f>
        <v>0.88540700000000006</v>
      </c>
      <c r="O81">
        <f>INDEX(script.out!C:C,$M81)</f>
        <v>0.34323300000000001</v>
      </c>
      <c r="P81">
        <f>INDEX(script.out!D:D,$M81)</f>
        <v>0.57381899999999997</v>
      </c>
      <c r="Q81">
        <f>INDEX(script.out!E:E,$M81)</f>
        <v>508.389440008137</v>
      </c>
      <c r="R81">
        <f>INDEX(script.out!F:F,$M81)</f>
        <v>36</v>
      </c>
      <c r="S81">
        <f>INDEX(script.out!G:G,$M81)</f>
        <v>9.5134219553387106E-2</v>
      </c>
      <c r="T81" t="str">
        <f>INDEX(script.out!H:H,$M81)</f>
        <v>{</v>
      </c>
      <c r="U81">
        <f>INDEX(script.out!I:I,$M81)</f>
        <v>1.0083249999999999</v>
      </c>
      <c r="V81">
        <f>INDEX(script.out!J:J,$M81)</f>
        <v>271.61649999999997</v>
      </c>
      <c r="W81">
        <f>INDEX(script.out!K:K,$M81)</f>
        <v>348.55320999999998</v>
      </c>
      <c r="X81" t="str">
        <f>INDEX(script.out!L:L,$M81)</f>
        <v>}</v>
      </c>
      <c r="Y81" t="str">
        <f>INDEX(script.out!M:M,$M81)</f>
        <v>{</v>
      </c>
      <c r="Z81">
        <f>INDEX(script.out!N:N,$M81)</f>
        <v>32.547492987206702</v>
      </c>
      <c r="AA81">
        <f>INDEX(script.out!O:O,$M81)</f>
        <v>14</v>
      </c>
      <c r="AB81">
        <f>INDEX(script.out!P:P,$M81)</f>
        <v>7412.58</v>
      </c>
      <c r="AC81" t="str">
        <f>INDEX(script.out!Q:Q,$M81)</f>
        <v>}</v>
      </c>
      <c r="AD81">
        <f t="shared" si="5"/>
        <v>2</v>
      </c>
      <c r="AE81">
        <f t="shared" si="6"/>
        <v>79381.799218678832</v>
      </c>
      <c r="AF81">
        <f t="shared" si="7"/>
        <v>40.847272755556048</v>
      </c>
    </row>
    <row r="82" spans="1:32" x14ac:dyDescent="0.25">
      <c r="A82" t="s">
        <v>34</v>
      </c>
      <c r="B82">
        <v>-3</v>
      </c>
      <c r="C82">
        <v>0.98371500000000001</v>
      </c>
      <c r="D82">
        <v>0.310859</v>
      </c>
      <c r="E82">
        <v>0.60073299999999996</v>
      </c>
      <c r="F82">
        <v>-3</v>
      </c>
      <c r="G82">
        <v>424.68200000000002</v>
      </c>
      <c r="H82">
        <v>30.25</v>
      </c>
      <c r="I82">
        <v>2.37168</v>
      </c>
      <c r="J82" t="s">
        <v>3</v>
      </c>
      <c r="K82">
        <v>0</v>
      </c>
      <c r="M82">
        <f>MATCH(C82,script.out!B:B,0)</f>
        <v>284</v>
      </c>
      <c r="N82">
        <f>INDEX(script.out!B:B,$M82)</f>
        <v>0.98371500000000001</v>
      </c>
      <c r="O82">
        <f>INDEX(script.out!C:C,$M82)</f>
        <v>0.310859</v>
      </c>
      <c r="P82">
        <f>INDEX(script.out!D:D,$M82)</f>
        <v>0.60073299999999996</v>
      </c>
      <c r="Q82">
        <f>INDEX(script.out!E:E,$M82)</f>
        <v>424.682384595104</v>
      </c>
      <c r="R82">
        <f>INDEX(script.out!F:F,$M82)</f>
        <v>30.25</v>
      </c>
      <c r="S82">
        <f>INDEX(script.out!G:G,$M82)</f>
        <v>2.3716843843122501</v>
      </c>
      <c r="T82" t="str">
        <f>INDEX(script.out!H:H,$M82)</f>
        <v>{</v>
      </c>
      <c r="U82">
        <f>INDEX(script.out!I:I,$M82)</f>
        <v>1.086972</v>
      </c>
      <c r="V82">
        <f>INDEX(script.out!J:J,$M82)</f>
        <v>255.42949999999999</v>
      </c>
      <c r="W82">
        <f>INDEX(script.out!K:K,$M82)</f>
        <v>364.43247000000002</v>
      </c>
      <c r="X82" t="str">
        <f>INDEX(script.out!L:L,$M82)</f>
        <v>}</v>
      </c>
      <c r="Y82" t="str">
        <f>INDEX(script.out!M:M,$M82)</f>
        <v>{</v>
      </c>
      <c r="Z82">
        <f>INDEX(script.out!N:N,$M82)</f>
        <v>30.607823383246998</v>
      </c>
      <c r="AA82">
        <f>INDEX(script.out!O:O,$M82)</f>
        <v>13.5</v>
      </c>
      <c r="AB82">
        <f>INDEX(script.out!P:P,$M82)</f>
        <v>6737.89</v>
      </c>
      <c r="AC82" t="str">
        <f>INDEX(script.out!Q:Q,$M82)</f>
        <v>}</v>
      </c>
      <c r="AD82">
        <f t="shared" si="5"/>
        <v>2</v>
      </c>
      <c r="AE82">
        <f t="shared" si="6"/>
        <v>80224.779937547151</v>
      </c>
      <c r="AF82">
        <f t="shared" si="7"/>
        <v>45.414667470819822</v>
      </c>
    </row>
    <row r="83" spans="1:32" x14ac:dyDescent="0.25">
      <c r="A83" t="s">
        <v>34</v>
      </c>
      <c r="B83">
        <v>-3</v>
      </c>
      <c r="C83">
        <v>0.89517199999999997</v>
      </c>
      <c r="D83">
        <v>0.30956400000000001</v>
      </c>
      <c r="E83">
        <v>0.56771400000000005</v>
      </c>
      <c r="F83">
        <v>-3</v>
      </c>
      <c r="G83">
        <v>421.49099999999999</v>
      </c>
      <c r="H83">
        <v>36</v>
      </c>
      <c r="I83">
        <v>0.38518200000000002</v>
      </c>
      <c r="J83" t="s">
        <v>3</v>
      </c>
      <c r="K83">
        <v>0</v>
      </c>
      <c r="M83">
        <f>MATCH(C83,script.out!B:B,0)</f>
        <v>339</v>
      </c>
      <c r="N83">
        <f>INDEX(script.out!B:B,$M83)</f>
        <v>0.89517199999999997</v>
      </c>
      <c r="O83">
        <f>INDEX(script.out!C:C,$M83)</f>
        <v>0.30956400000000001</v>
      </c>
      <c r="P83">
        <f>INDEX(script.out!D:D,$M83)</f>
        <v>0.56771400000000005</v>
      </c>
      <c r="Q83">
        <f>INDEX(script.out!E:E,$M83)</f>
        <v>421.49051640997902</v>
      </c>
      <c r="R83">
        <f>INDEX(script.out!F:F,$M83)</f>
        <v>36</v>
      </c>
      <c r="S83">
        <f>INDEX(script.out!G:G,$M83)</f>
        <v>0.38518176693563499</v>
      </c>
      <c r="T83" t="str">
        <f>INDEX(script.out!H:H,$M83)</f>
        <v>{</v>
      </c>
      <c r="U83">
        <f>INDEX(script.out!I:I,$M83)</f>
        <v>1.0161370000000001</v>
      </c>
      <c r="V83">
        <f>INDEX(script.out!J:J,$M83)</f>
        <v>254.78200000000001</v>
      </c>
      <c r="W83">
        <f>INDEX(script.out!K:K,$M83)</f>
        <v>344.95125999999999</v>
      </c>
      <c r="X83" t="str">
        <f>INDEX(script.out!L:L,$M83)</f>
        <v>}</v>
      </c>
      <c r="Y83" t="str">
        <f>INDEX(script.out!M:M,$M83)</f>
        <v>{</v>
      </c>
      <c r="Z83">
        <f>INDEX(script.out!N:N,$M83)</f>
        <v>30.5302342025116</v>
      </c>
      <c r="AA83">
        <f>INDEX(script.out!O:O,$M83)</f>
        <v>14</v>
      </c>
      <c r="AB83">
        <f>INDEX(script.out!P:P,$M83)</f>
        <v>7073.47</v>
      </c>
      <c r="AC83" t="str">
        <f>INDEX(script.out!Q:Q,$M83)</f>
        <v>}</v>
      </c>
      <c r="AD83">
        <f t="shared" si="5"/>
        <v>2</v>
      </c>
      <c r="AE83">
        <f t="shared" si="6"/>
        <v>79920.85396028409</v>
      </c>
      <c r="AF83">
        <f t="shared" si="7"/>
        <v>43.096214139756803</v>
      </c>
    </row>
    <row r="84" spans="1:32" x14ac:dyDescent="0.25">
      <c r="A84" t="s">
        <v>34</v>
      </c>
      <c r="B84">
        <v>-3</v>
      </c>
      <c r="C84">
        <v>0.97189800000000004</v>
      </c>
      <c r="D84">
        <v>0.33537</v>
      </c>
      <c r="E84">
        <v>0.59831800000000002</v>
      </c>
      <c r="F84">
        <v>-3</v>
      </c>
      <c r="G84">
        <v>487.36700000000002</v>
      </c>
      <c r="H84">
        <v>30.25</v>
      </c>
      <c r="I84">
        <v>0.41519499999999998</v>
      </c>
      <c r="J84" t="s">
        <v>3</v>
      </c>
      <c r="K84">
        <v>0</v>
      </c>
      <c r="M84">
        <f>MATCH(C84,script.out!B:B,0)</f>
        <v>489</v>
      </c>
      <c r="N84">
        <f>INDEX(script.out!B:B,$M84)</f>
        <v>0.97189800000000004</v>
      </c>
      <c r="O84">
        <f>INDEX(script.out!C:C,$M84)</f>
        <v>0.33537</v>
      </c>
      <c r="P84">
        <f>INDEX(script.out!D:D,$M84)</f>
        <v>0.59831800000000002</v>
      </c>
      <c r="Q84">
        <f>INDEX(script.out!E:E,$M84)</f>
        <v>487.36681269450997</v>
      </c>
      <c r="R84">
        <f>INDEX(script.out!F:F,$M84)</f>
        <v>30.25</v>
      </c>
      <c r="S84">
        <f>INDEX(script.out!G:G,$M84)</f>
        <v>0.41519486657909499</v>
      </c>
      <c r="T84" t="str">
        <f>INDEX(script.out!H:H,$M84)</f>
        <v>{</v>
      </c>
      <c r="U84">
        <f>INDEX(script.out!I:I,$M84)</f>
        <v>1.077518</v>
      </c>
      <c r="V84">
        <f>INDEX(script.out!J:J,$M84)</f>
        <v>267.685</v>
      </c>
      <c r="W84">
        <f>INDEX(script.out!K:K,$M84)</f>
        <v>363.00761999999997</v>
      </c>
      <c r="X84" t="str">
        <f>INDEX(script.out!L:L,$M84)</f>
        <v>}</v>
      </c>
      <c r="Y84" t="str">
        <f>INDEX(script.out!M:M,$M84)</f>
        <v>{</v>
      </c>
      <c r="Z84">
        <f>INDEX(script.out!N:N,$M84)</f>
        <v>32.076385861243402</v>
      </c>
      <c r="AA84">
        <f>INDEX(script.out!O:O,$M84)</f>
        <v>13.5</v>
      </c>
      <c r="AB84">
        <f>INDEX(script.out!P:P,$M84)</f>
        <v>7064.81</v>
      </c>
      <c r="AC84" t="str">
        <f>INDEX(script.out!Q:Q,$M84)</f>
        <v>}</v>
      </c>
      <c r="AD84">
        <f t="shared" si="5"/>
        <v>2</v>
      </c>
      <c r="AE84">
        <f t="shared" si="6"/>
        <v>79952.270026495666</v>
      </c>
      <c r="AF84">
        <f t="shared" si="7"/>
        <v>43.166002654630908</v>
      </c>
    </row>
    <row r="85" spans="1:32" x14ac:dyDescent="0.25">
      <c r="A85" t="s">
        <v>34</v>
      </c>
      <c r="B85">
        <v>-3</v>
      </c>
      <c r="C85">
        <v>1.09198</v>
      </c>
      <c r="D85">
        <v>0.336783</v>
      </c>
      <c r="E85">
        <v>0.58521400000000001</v>
      </c>
      <c r="F85">
        <v>-3</v>
      </c>
      <c r="G85">
        <v>491.11200000000002</v>
      </c>
      <c r="H85">
        <v>25</v>
      </c>
      <c r="I85">
        <v>0.19220400000000001</v>
      </c>
      <c r="J85" t="s">
        <v>3</v>
      </c>
      <c r="K85">
        <v>0</v>
      </c>
      <c r="M85">
        <f>MATCH(C85,script.out!B:B,0)</f>
        <v>542</v>
      </c>
      <c r="N85">
        <f>INDEX(script.out!B:B,$M85)</f>
        <v>1.09198</v>
      </c>
      <c r="O85">
        <f>INDEX(script.out!C:C,$M85)</f>
        <v>0.336783</v>
      </c>
      <c r="P85">
        <f>INDEX(script.out!D:D,$M85)</f>
        <v>0.58521400000000001</v>
      </c>
      <c r="Q85">
        <f>INDEX(script.out!E:E,$M85)</f>
        <v>491.11191301715502</v>
      </c>
      <c r="R85">
        <f>INDEX(script.out!F:F,$M85)</f>
        <v>25</v>
      </c>
      <c r="S85">
        <f>INDEX(script.out!G:G,$M85)</f>
        <v>0.19220416888722</v>
      </c>
      <c r="T85" t="str">
        <f>INDEX(script.out!H:H,$M85)</f>
        <v>{</v>
      </c>
      <c r="U85">
        <f>INDEX(script.out!I:I,$M85)</f>
        <v>1.1735800000000001</v>
      </c>
      <c r="V85">
        <f>INDEX(script.out!J:J,$M85)</f>
        <v>268.39150000000001</v>
      </c>
      <c r="W85">
        <f>INDEX(script.out!K:K,$M85)</f>
        <v>355.27625999999998</v>
      </c>
      <c r="X85" t="str">
        <f>INDEX(script.out!L:L,$M85)</f>
        <v>}</v>
      </c>
      <c r="Y85" t="str">
        <f>INDEX(script.out!M:M,$M85)</f>
        <v>{</v>
      </c>
      <c r="Z85">
        <f>INDEX(script.out!N:N,$M85)</f>
        <v>32.161044944161702</v>
      </c>
      <c r="AA85">
        <f>INDEX(script.out!O:O,$M85)</f>
        <v>13</v>
      </c>
      <c r="AB85">
        <f>INDEX(script.out!P:P,$M85)</f>
        <v>7139.98</v>
      </c>
      <c r="AC85" t="str">
        <f>INDEX(script.out!Q:Q,$M85)</f>
        <v>}</v>
      </c>
      <c r="AD85">
        <f t="shared" si="5"/>
        <v>2</v>
      </c>
      <c r="AE85">
        <f t="shared" si="6"/>
        <v>78873.848635172806</v>
      </c>
      <c r="AF85">
        <f t="shared" si="7"/>
        <v>42.135442398288632</v>
      </c>
    </row>
    <row r="86" spans="1:32" x14ac:dyDescent="0.25">
      <c r="A86" t="s">
        <v>34</v>
      </c>
      <c r="B86">
        <v>-3</v>
      </c>
      <c r="C86">
        <v>0.98132900000000001</v>
      </c>
      <c r="D86">
        <v>0.30221900000000002</v>
      </c>
      <c r="E86">
        <v>0.60231999999999997</v>
      </c>
      <c r="F86">
        <v>-3</v>
      </c>
      <c r="G86">
        <v>403.61500000000001</v>
      </c>
      <c r="H86">
        <v>30.25</v>
      </c>
      <c r="I86">
        <v>3.5229699999999999</v>
      </c>
      <c r="J86" t="s">
        <v>3</v>
      </c>
      <c r="K86">
        <v>0</v>
      </c>
      <c r="M86">
        <f>MATCH(C86,script.out!B:B,0)</f>
        <v>581</v>
      </c>
      <c r="N86">
        <f>INDEX(script.out!B:B,$M86)</f>
        <v>0.98132900000000001</v>
      </c>
      <c r="O86">
        <f>INDEX(script.out!C:C,$M86)</f>
        <v>0.30221900000000002</v>
      </c>
      <c r="P86">
        <f>INDEX(script.out!D:D,$M86)</f>
        <v>0.60231999999999997</v>
      </c>
      <c r="Q86">
        <f>INDEX(script.out!E:E,$M86)</f>
        <v>403.61463927497999</v>
      </c>
      <c r="R86">
        <f>INDEX(script.out!F:F,$M86)</f>
        <v>30.25</v>
      </c>
      <c r="S86">
        <f>INDEX(script.out!G:G,$M86)</f>
        <v>3.5229747277162602</v>
      </c>
      <c r="T86" t="str">
        <f>INDEX(script.out!H:H,$M86)</f>
        <v>{</v>
      </c>
      <c r="U86">
        <f>INDEX(script.out!I:I,$M86)</f>
        <v>1.0850630000000001</v>
      </c>
      <c r="V86">
        <f>INDEX(script.out!J:J,$M86)</f>
        <v>251.1095</v>
      </c>
      <c r="W86">
        <f>INDEX(script.out!K:K,$M86)</f>
        <v>365.36880000000002</v>
      </c>
      <c r="X86" t="str">
        <f>INDEX(script.out!L:L,$M86)</f>
        <v>}</v>
      </c>
      <c r="Y86" t="str">
        <f>INDEX(script.out!M:M,$M86)</f>
        <v>{</v>
      </c>
      <c r="Z86">
        <f>INDEX(script.out!N:N,$M86)</f>
        <v>30.090162748842499</v>
      </c>
      <c r="AA86">
        <f>INDEX(script.out!O:O,$M86)</f>
        <v>13.5</v>
      </c>
      <c r="AB86">
        <f>INDEX(script.out!P:P,$M86)</f>
        <v>6614.91</v>
      </c>
      <c r="AC86" t="str">
        <f>INDEX(script.out!Q:Q,$M86)</f>
        <v>}</v>
      </c>
      <c r="AD86">
        <f t="shared" si="5"/>
        <v>2</v>
      </c>
      <c r="AE86">
        <f t="shared" si="6"/>
        <v>80321.324579773907</v>
      </c>
      <c r="AF86">
        <f t="shared" si="7"/>
        <v>46.314656013853792</v>
      </c>
    </row>
    <row r="87" spans="1:32" x14ac:dyDescent="0.25">
      <c r="A87" t="s">
        <v>34</v>
      </c>
      <c r="B87">
        <v>-3</v>
      </c>
      <c r="C87">
        <v>0.97584599999999999</v>
      </c>
      <c r="D87">
        <v>0.32963599999999998</v>
      </c>
      <c r="E87">
        <v>0.59702299999999997</v>
      </c>
      <c r="F87">
        <v>-3</v>
      </c>
      <c r="G87">
        <v>472.31599999999997</v>
      </c>
      <c r="H87">
        <v>30.25</v>
      </c>
      <c r="I87">
        <v>0.68585600000000002</v>
      </c>
      <c r="J87" t="s">
        <v>3</v>
      </c>
      <c r="K87">
        <v>0</v>
      </c>
      <c r="M87">
        <f>MATCH(C87,script.out!B:B,0)</f>
        <v>602</v>
      </c>
      <c r="N87">
        <f>INDEX(script.out!B:B,$M87)</f>
        <v>0.97584599999999999</v>
      </c>
      <c r="O87">
        <f>INDEX(script.out!C:C,$M87)</f>
        <v>0.32963599999999998</v>
      </c>
      <c r="P87">
        <f>INDEX(script.out!D:D,$M87)</f>
        <v>0.59702299999999997</v>
      </c>
      <c r="Q87">
        <f>INDEX(script.out!E:E,$M87)</f>
        <v>472.31618436547899</v>
      </c>
      <c r="R87">
        <f>INDEX(script.out!F:F,$M87)</f>
        <v>30.25</v>
      </c>
      <c r="S87">
        <f>INDEX(script.out!G:G,$M87)</f>
        <v>0.68585624620003705</v>
      </c>
      <c r="T87" t="str">
        <f>INDEX(script.out!H:H,$M87)</f>
        <v>{</v>
      </c>
      <c r="U87">
        <f>INDEX(script.out!I:I,$M87)</f>
        <v>1.080676</v>
      </c>
      <c r="V87">
        <f>INDEX(script.out!J:J,$M87)</f>
        <v>264.81799999999998</v>
      </c>
      <c r="W87">
        <f>INDEX(script.out!K:K,$M87)</f>
        <v>362.24356999999998</v>
      </c>
      <c r="X87" t="str">
        <f>INDEX(script.out!L:L,$M87)</f>
        <v>}</v>
      </c>
      <c r="Y87" t="str">
        <f>INDEX(script.out!M:M,$M87)</f>
        <v>{</v>
      </c>
      <c r="Z87">
        <f>INDEX(script.out!N:N,$M87)</f>
        <v>31.732836546697602</v>
      </c>
      <c r="AA87">
        <f>INDEX(script.out!O:O,$M87)</f>
        <v>13.5</v>
      </c>
      <c r="AB87">
        <f>INDEX(script.out!P:P,$M87)</f>
        <v>6997.72</v>
      </c>
      <c r="AC87" t="str">
        <f>INDEX(script.out!Q:Q,$M87)</f>
        <v>}</v>
      </c>
      <c r="AD87">
        <f t="shared" si="5"/>
        <v>2</v>
      </c>
      <c r="AE87">
        <f t="shared" si="6"/>
        <v>79881.893663370021</v>
      </c>
      <c r="AF87">
        <f t="shared" si="7"/>
        <v>43.541492473136273</v>
      </c>
    </row>
    <row r="88" spans="1:32" x14ac:dyDescent="0.25">
      <c r="A88" t="s">
        <v>34</v>
      </c>
      <c r="B88">
        <v>-3</v>
      </c>
      <c r="C88">
        <v>0.90659400000000001</v>
      </c>
      <c r="D88">
        <v>0.30770199999999998</v>
      </c>
      <c r="E88">
        <v>0.57460999999999995</v>
      </c>
      <c r="F88">
        <v>-3</v>
      </c>
      <c r="G88" s="2">
        <v>416.92200000000003</v>
      </c>
      <c r="H88">
        <v>36</v>
      </c>
      <c r="I88">
        <v>0.82491199999999998</v>
      </c>
      <c r="J88" t="s">
        <v>3</v>
      </c>
      <c r="K88">
        <v>0</v>
      </c>
      <c r="M88">
        <f>MATCH(C88,script.out!B:B,0)</f>
        <v>613</v>
      </c>
      <c r="N88">
        <f>INDEX(script.out!B:B,$M88)</f>
        <v>0.90659400000000001</v>
      </c>
      <c r="O88">
        <f>INDEX(script.out!C:C,$M88)</f>
        <v>0.30770199999999998</v>
      </c>
      <c r="P88">
        <f>INDEX(script.out!D:D,$M88)</f>
        <v>0.57460999999999995</v>
      </c>
      <c r="Q88">
        <f>INDEX(script.out!E:E,$M88)</f>
        <v>416.922229241048</v>
      </c>
      <c r="R88">
        <f>INDEX(script.out!F:F,$M88)</f>
        <v>36</v>
      </c>
      <c r="S88">
        <f>INDEX(script.out!G:G,$M88)</f>
        <v>0.82491184162131703</v>
      </c>
      <c r="T88" t="str">
        <f>INDEX(script.out!H:H,$M88)</f>
        <v>{</v>
      </c>
      <c r="U88">
        <f>INDEX(script.out!I:I,$M88)</f>
        <v>1.0252749999999999</v>
      </c>
      <c r="V88">
        <f>INDEX(script.out!J:J,$M88)</f>
        <v>253.851</v>
      </c>
      <c r="W88">
        <f>INDEX(script.out!K:K,$M88)</f>
        <v>349.01990000000001</v>
      </c>
      <c r="X88" t="str">
        <f>INDEX(script.out!L:L,$M88)</f>
        <v>}</v>
      </c>
      <c r="Y88" t="str">
        <f>INDEX(script.out!M:M,$M88)</f>
        <v>{</v>
      </c>
      <c r="Z88">
        <f>INDEX(script.out!N:N,$M88)</f>
        <v>30.418673542643401</v>
      </c>
      <c r="AA88">
        <f>INDEX(script.out!O:O,$M88)</f>
        <v>14</v>
      </c>
      <c r="AB88">
        <f>INDEX(script.out!P:P,$M88)</f>
        <v>6968.49</v>
      </c>
      <c r="AC88" t="str">
        <f>INDEX(script.out!Q:Q,$M88)</f>
        <v>}</v>
      </c>
      <c r="AD88">
        <f t="shared" si="5"/>
        <v>2</v>
      </c>
      <c r="AE88">
        <f t="shared" si="6"/>
        <v>79955.547027434441</v>
      </c>
      <c r="AF88">
        <f t="shared" si="7"/>
        <v>43.764446326734195</v>
      </c>
    </row>
    <row r="89" spans="1:32" x14ac:dyDescent="0.25">
      <c r="A89" t="s">
        <v>34</v>
      </c>
      <c r="B89">
        <v>-3</v>
      </c>
      <c r="C89">
        <v>1.04348</v>
      </c>
      <c r="D89">
        <v>0.240257</v>
      </c>
      <c r="E89">
        <v>0.55623199999999995</v>
      </c>
      <c r="F89">
        <v>-3</v>
      </c>
      <c r="G89">
        <v>268.23099999999999</v>
      </c>
      <c r="H89">
        <v>36</v>
      </c>
      <c r="I89">
        <v>46.206499999999998</v>
      </c>
      <c r="J89" t="s">
        <v>3</v>
      </c>
      <c r="K89">
        <v>0</v>
      </c>
      <c r="M89">
        <f>MATCH(C89,script.out!B:B,0)</f>
        <v>628</v>
      </c>
      <c r="N89">
        <f>INDEX(script.out!B:B,$M89)</f>
        <v>1.04348</v>
      </c>
      <c r="O89">
        <f>INDEX(script.out!C:C,$M89)</f>
        <v>0.240257</v>
      </c>
      <c r="P89">
        <f>INDEX(script.out!D:D,$M89)</f>
        <v>0.55623199999999995</v>
      </c>
      <c r="Q89">
        <f>INDEX(script.out!E:E,$M89)</f>
        <v>268.23053553500102</v>
      </c>
      <c r="R89">
        <f>INDEX(script.out!F:F,$M89)</f>
        <v>36</v>
      </c>
      <c r="S89">
        <f>INDEX(script.out!G:G,$M89)</f>
        <v>46.206471833364603</v>
      </c>
      <c r="T89" t="str">
        <f>INDEX(script.out!H:H,$M89)</f>
        <v>{</v>
      </c>
      <c r="U89">
        <f>INDEX(script.out!I:I,$M89)</f>
        <v>1.1347799999999999</v>
      </c>
      <c r="V89">
        <f>INDEX(script.out!J:J,$M89)</f>
        <v>220.1285</v>
      </c>
      <c r="W89">
        <f>INDEX(script.out!K:K,$M89)</f>
        <v>338.17687999999998</v>
      </c>
      <c r="X89" t="str">
        <f>INDEX(script.out!L:L,$M89)</f>
        <v>}</v>
      </c>
      <c r="Y89" t="str">
        <f>INDEX(script.out!M:M,$M89)</f>
        <v>{</v>
      </c>
      <c r="Z89">
        <f>INDEX(script.out!N:N,$M89)</f>
        <v>26.377745129748501</v>
      </c>
      <c r="AA89">
        <f>INDEX(script.out!O:O,$M89)</f>
        <v>14</v>
      </c>
      <c r="AB89">
        <f>INDEX(script.out!P:P,$M89)</f>
        <v>4818.8999999999996</v>
      </c>
      <c r="AC89" t="str">
        <f>INDEX(script.out!Q:Q,$M89)</f>
        <v>}</v>
      </c>
      <c r="AD89">
        <f t="shared" si="5"/>
        <v>2</v>
      </c>
      <c r="AE89">
        <f t="shared" si="6"/>
        <v>61780.889875765424</v>
      </c>
      <c r="AF89">
        <f t="shared" si="7"/>
        <v>48.901002906388513</v>
      </c>
    </row>
    <row r="90" spans="1:32" x14ac:dyDescent="0.25">
      <c r="A90" t="s">
        <v>34</v>
      </c>
      <c r="B90">
        <v>-3</v>
      </c>
      <c r="C90">
        <v>1.17293</v>
      </c>
      <c r="D90">
        <v>0.297954</v>
      </c>
      <c r="E90">
        <v>0.52996100000000002</v>
      </c>
      <c r="F90">
        <v>-3</v>
      </c>
      <c r="G90">
        <v>393.41199999999998</v>
      </c>
      <c r="H90">
        <v>30.25</v>
      </c>
      <c r="I90">
        <v>25.717700000000001</v>
      </c>
      <c r="J90" t="s">
        <v>3</v>
      </c>
      <c r="K90">
        <v>0</v>
      </c>
      <c r="M90">
        <f>MATCH(C90,script.out!B:B,0)</f>
        <v>669</v>
      </c>
      <c r="N90">
        <f>INDEX(script.out!B:B,$M90)</f>
        <v>1.17293</v>
      </c>
      <c r="O90">
        <f>INDEX(script.out!C:C,$M90)</f>
        <v>0.297954</v>
      </c>
      <c r="P90">
        <f>INDEX(script.out!D:D,$M90)</f>
        <v>0.52996100000000002</v>
      </c>
      <c r="Q90">
        <f>INDEX(script.out!E:E,$M90)</f>
        <v>393.41245699055202</v>
      </c>
      <c r="R90">
        <f>INDEX(script.out!F:F,$M90)</f>
        <v>30.25</v>
      </c>
      <c r="S90">
        <f>INDEX(script.out!G:G,$M90)</f>
        <v>25.717680766372599</v>
      </c>
      <c r="T90" t="str">
        <f>INDEX(script.out!H:H,$M90)</f>
        <v>{</v>
      </c>
      <c r="U90">
        <f>INDEX(script.out!I:I,$M90)</f>
        <v>1.23834</v>
      </c>
      <c r="V90">
        <f>INDEX(script.out!J:J,$M90)</f>
        <v>248.977</v>
      </c>
      <c r="W90">
        <f>INDEX(script.out!K:K,$M90)</f>
        <v>322.67698999999999</v>
      </c>
      <c r="X90" t="str">
        <f>INDEX(script.out!L:L,$M90)</f>
        <v>}</v>
      </c>
      <c r="Y90" t="str">
        <f>INDEX(script.out!M:M,$M90)</f>
        <v>{</v>
      </c>
      <c r="Z90">
        <f>INDEX(script.out!N:N,$M90)</f>
        <v>29.834627725030501</v>
      </c>
      <c r="AA90">
        <f>INDEX(script.out!O:O,$M90)</f>
        <v>13.5</v>
      </c>
      <c r="AB90">
        <f>INDEX(script.out!P:P,$M90)</f>
        <v>5448.99</v>
      </c>
      <c r="AC90" t="str">
        <f>INDEX(script.out!Q:Q,$M90)</f>
        <v>}</v>
      </c>
      <c r="AD90">
        <f t="shared" si="5"/>
        <v>2</v>
      </c>
      <c r="AE90">
        <f t="shared" si="6"/>
        <v>58933.65615100204</v>
      </c>
      <c r="AF90">
        <f t="shared" si="7"/>
        <v>41.253318965618575</v>
      </c>
    </row>
    <row r="91" spans="1:32" x14ac:dyDescent="0.25">
      <c r="A91" t="s">
        <v>34</v>
      </c>
      <c r="B91">
        <v>-3</v>
      </c>
      <c r="C91">
        <v>0.89129000000000003</v>
      </c>
      <c r="D91">
        <v>0.316884</v>
      </c>
      <c r="E91">
        <v>0.56539700000000004</v>
      </c>
      <c r="F91">
        <v>-3</v>
      </c>
      <c r="G91">
        <v>439.69099999999997</v>
      </c>
      <c r="H91">
        <v>36</v>
      </c>
      <c r="I91">
        <v>0.105403</v>
      </c>
      <c r="J91" t="s">
        <v>3</v>
      </c>
      <c r="K91">
        <v>0</v>
      </c>
      <c r="M91">
        <f>MATCH(C91,script.out!B:B,0)</f>
        <v>726</v>
      </c>
      <c r="N91">
        <f>INDEX(script.out!B:B,$M91)</f>
        <v>0.89129000000000003</v>
      </c>
      <c r="O91">
        <f>INDEX(script.out!C:C,$M91)</f>
        <v>0.316884</v>
      </c>
      <c r="P91">
        <f>INDEX(script.out!D:D,$M91)</f>
        <v>0.56539700000000004</v>
      </c>
      <c r="Q91">
        <f>INDEX(script.out!E:E,$M91)</f>
        <v>439.69090036666802</v>
      </c>
      <c r="R91">
        <f>INDEX(script.out!F:F,$M91)</f>
        <v>36</v>
      </c>
      <c r="S91">
        <f>INDEX(script.out!G:G,$M91)</f>
        <v>0.105402514543066</v>
      </c>
      <c r="T91" t="str">
        <f>INDEX(script.out!H:H,$M91)</f>
        <v>{</v>
      </c>
      <c r="U91">
        <f>INDEX(script.out!I:I,$M91)</f>
        <v>1.0130300000000001</v>
      </c>
      <c r="V91">
        <f>INDEX(script.out!J:J,$M91)</f>
        <v>258.44200000000001</v>
      </c>
      <c r="W91">
        <f>INDEX(script.out!K:K,$M91)</f>
        <v>343.58422999999999</v>
      </c>
      <c r="X91" t="str">
        <f>INDEX(script.out!L:L,$M91)</f>
        <v>}</v>
      </c>
      <c r="Y91" t="str">
        <f>INDEX(script.out!M:M,$M91)</f>
        <v>{</v>
      </c>
      <c r="Z91">
        <f>INDEX(script.out!N:N,$M91)</f>
        <v>30.968807795548798</v>
      </c>
      <c r="AA91">
        <f>INDEX(script.out!O:O,$M91)</f>
        <v>14</v>
      </c>
      <c r="AB91">
        <f>INDEX(script.out!P:P,$M91)</f>
        <v>7181.5</v>
      </c>
      <c r="AC91" t="str">
        <f>INDEX(script.out!Q:Q,$M91)</f>
        <v>}</v>
      </c>
      <c r="AD91">
        <f t="shared" si="5"/>
        <v>2</v>
      </c>
      <c r="AE91">
        <f t="shared" si="6"/>
        <v>79675.335390200285</v>
      </c>
      <c r="AF91">
        <f t="shared" si="7"/>
        <v>42.317524684782413</v>
      </c>
    </row>
    <row r="92" spans="1:32" x14ac:dyDescent="0.25">
      <c r="A92" t="s">
        <v>34</v>
      </c>
      <c r="B92">
        <v>-3</v>
      </c>
      <c r="C92">
        <v>0.95921000000000001</v>
      </c>
      <c r="D92">
        <v>0.34667100000000001</v>
      </c>
      <c r="E92">
        <v>0.59077299999999999</v>
      </c>
      <c r="F92">
        <v>-3</v>
      </c>
      <c r="G92">
        <v>517.721</v>
      </c>
      <c r="H92">
        <v>30.25</v>
      </c>
      <c r="I92">
        <v>5.1367699999999997E-3</v>
      </c>
      <c r="J92" t="s">
        <v>3</v>
      </c>
      <c r="K92">
        <v>0</v>
      </c>
      <c r="M92">
        <f>MATCH(C92,script.out!B:B,0)</f>
        <v>737</v>
      </c>
      <c r="N92">
        <f>INDEX(script.out!B:B,$M92)</f>
        <v>0.95921000000000001</v>
      </c>
      <c r="O92">
        <f>INDEX(script.out!C:C,$M92)</f>
        <v>0.34667100000000001</v>
      </c>
      <c r="P92">
        <f>INDEX(script.out!D:D,$M92)</f>
        <v>0.59077299999999999</v>
      </c>
      <c r="Q92">
        <f>INDEX(script.out!E:E,$M92)</f>
        <v>517.72079665168496</v>
      </c>
      <c r="R92">
        <f>INDEX(script.out!F:F,$M92)</f>
        <v>30.25</v>
      </c>
      <c r="S92">
        <f>INDEX(script.out!G:G,$M92)</f>
        <v>5.1367656220679299E-3</v>
      </c>
      <c r="T92" t="str">
        <f>INDEX(script.out!H:H,$M92)</f>
        <v>{</v>
      </c>
      <c r="U92">
        <f>INDEX(script.out!I:I,$M92)</f>
        <v>1.0673600000000001</v>
      </c>
      <c r="V92">
        <f>INDEX(script.out!J:J,$M92)</f>
        <v>273.33550000000002</v>
      </c>
      <c r="W92">
        <f>INDEX(script.out!K:K,$M92)</f>
        <v>358.55606999999998</v>
      </c>
      <c r="X92" t="str">
        <f>INDEX(script.out!L:L,$M92)</f>
        <v>}</v>
      </c>
      <c r="Y92" t="str">
        <f>INDEX(script.out!M:M,$M92)</f>
        <v>{</v>
      </c>
      <c r="Z92">
        <f>INDEX(script.out!N:N,$M92)</f>
        <v>32.753478781313497</v>
      </c>
      <c r="AA92">
        <f>INDEX(script.out!O:O,$M92)</f>
        <v>13.5</v>
      </c>
      <c r="AB92">
        <f>INDEX(script.out!P:P,$M92)</f>
        <v>7273.84</v>
      </c>
      <c r="AC92" t="str">
        <f>INDEX(script.out!Q:Q,$M92)</f>
        <v>}</v>
      </c>
      <c r="AD92">
        <f t="shared" si="5"/>
        <v>2</v>
      </c>
      <c r="AE92">
        <f t="shared" si="6"/>
        <v>79627.556560396886</v>
      </c>
      <c r="AF92">
        <f t="shared" si="7"/>
        <v>41.755257488400623</v>
      </c>
    </row>
    <row r="93" spans="1:32" x14ac:dyDescent="0.25">
      <c r="A93" t="s">
        <v>34</v>
      </c>
      <c r="B93">
        <v>-3</v>
      </c>
      <c r="C93">
        <v>0.89823500000000001</v>
      </c>
      <c r="D93">
        <v>0.29504799999999998</v>
      </c>
      <c r="E93">
        <v>0.57559700000000003</v>
      </c>
      <c r="F93">
        <v>-3</v>
      </c>
      <c r="G93">
        <v>386.536</v>
      </c>
      <c r="H93">
        <v>36</v>
      </c>
      <c r="I93">
        <v>1.7406600000000001</v>
      </c>
      <c r="J93" t="s">
        <v>3</v>
      </c>
      <c r="K93">
        <v>0</v>
      </c>
      <c r="M93">
        <f>MATCH(C93,script.out!B:B,0)</f>
        <v>775</v>
      </c>
      <c r="N93">
        <f>INDEX(script.out!B:B,$M93)</f>
        <v>0.89823500000000001</v>
      </c>
      <c r="O93">
        <f>INDEX(script.out!C:C,$M93)</f>
        <v>0.29504799999999998</v>
      </c>
      <c r="P93">
        <f>INDEX(script.out!D:D,$M93)</f>
        <v>0.57559700000000003</v>
      </c>
      <c r="Q93">
        <f>INDEX(script.out!E:E,$M93)</f>
        <v>386.53590531803098</v>
      </c>
      <c r="R93">
        <f>INDEX(script.out!F:F,$M93)</f>
        <v>36</v>
      </c>
      <c r="S93">
        <f>INDEX(script.out!G:G,$M93)</f>
        <v>1.7406645419403199</v>
      </c>
      <c r="T93" t="str">
        <f>INDEX(script.out!H:H,$M93)</f>
        <v>{</v>
      </c>
      <c r="U93">
        <f>INDEX(script.out!I:I,$M93)</f>
        <v>1.018588</v>
      </c>
      <c r="V93">
        <f>INDEX(script.out!J:J,$M93)</f>
        <v>247.524</v>
      </c>
      <c r="W93">
        <f>INDEX(script.out!K:K,$M93)</f>
        <v>349.60223000000002</v>
      </c>
      <c r="X93" t="str">
        <f>INDEX(script.out!L:L,$M93)</f>
        <v>}</v>
      </c>
      <c r="Y93" t="str">
        <f>INDEX(script.out!M:M,$M93)</f>
        <v>{</v>
      </c>
      <c r="Z93">
        <f>INDEX(script.out!N:N,$M93)</f>
        <v>29.660516405171801</v>
      </c>
      <c r="AA93">
        <f>INDEX(script.out!O:O,$M93)</f>
        <v>14</v>
      </c>
      <c r="AB93">
        <f>INDEX(script.out!P:P,$M93)</f>
        <v>6818.44</v>
      </c>
      <c r="AC93" t="str">
        <f>INDEX(script.out!Q:Q,$M93)</f>
        <v>}</v>
      </c>
      <c r="AD93">
        <f t="shared" si="5"/>
        <v>2</v>
      </c>
      <c r="AE93">
        <f t="shared" si="6"/>
        <v>80367.509336605988</v>
      </c>
      <c r="AF93">
        <f t="shared" si="7"/>
        <v>44.958002472850886</v>
      </c>
    </row>
    <row r="94" spans="1:32" x14ac:dyDescent="0.25">
      <c r="A94" t="s">
        <v>34</v>
      </c>
      <c r="B94">
        <v>-3</v>
      </c>
      <c r="C94">
        <v>0.86912400000000001</v>
      </c>
      <c r="D94">
        <v>0.15381300000000001</v>
      </c>
      <c r="E94">
        <v>0.42841899999999999</v>
      </c>
      <c r="F94">
        <v>-3</v>
      </c>
      <c r="G94">
        <v>125.40600000000001</v>
      </c>
      <c r="H94">
        <v>49</v>
      </c>
      <c r="I94">
        <v>36.3675</v>
      </c>
      <c r="J94" t="s">
        <v>3</v>
      </c>
      <c r="K94">
        <v>0</v>
      </c>
      <c r="M94">
        <f>MATCH(C94,script.out!B:B,0)</f>
        <v>779</v>
      </c>
      <c r="N94">
        <f>INDEX(script.out!B:B,$M94)</f>
        <v>0.86912400000000001</v>
      </c>
      <c r="O94">
        <f>INDEX(script.out!C:C,$M94)</f>
        <v>0.15381300000000001</v>
      </c>
      <c r="P94">
        <f>INDEX(script.out!D:D,$M94)</f>
        <v>0.42841899999999999</v>
      </c>
      <c r="Q94">
        <f>INDEX(script.out!E:E,$M94)</f>
        <v>125.40645938455501</v>
      </c>
      <c r="R94">
        <f>INDEX(script.out!F:F,$M94)</f>
        <v>49</v>
      </c>
      <c r="S94">
        <f>INDEX(script.out!G:G,$M94)</f>
        <v>36.367508519422003</v>
      </c>
      <c r="T94" t="str">
        <f>INDEX(script.out!H:H,$M94)</f>
        <v>{</v>
      </c>
      <c r="U94">
        <f>INDEX(script.out!I:I,$M94)</f>
        <v>0.99529900000000004</v>
      </c>
      <c r="V94">
        <f>INDEX(script.out!J:J,$M94)</f>
        <v>176.90649999999999</v>
      </c>
      <c r="W94">
        <f>INDEX(script.out!K:K,$M94)</f>
        <v>262.76720999999998</v>
      </c>
      <c r="X94" t="str">
        <f>INDEX(script.out!L:L,$M94)</f>
        <v>}</v>
      </c>
      <c r="Y94" t="str">
        <f>INDEX(script.out!M:M,$M94)</f>
        <v>{</v>
      </c>
      <c r="Z94">
        <f>INDEX(script.out!N:N,$M94)</f>
        <v>21.198502550991101</v>
      </c>
      <c r="AA94">
        <f>INDEX(script.out!O:O,$M94)</f>
        <v>15</v>
      </c>
      <c r="AB94">
        <f>INDEX(script.out!P:P,$M94)</f>
        <v>5098.8500000000004</v>
      </c>
      <c r="AC94" t="str">
        <f>INDEX(script.out!Q:Q,$M94)</f>
        <v>}</v>
      </c>
      <c r="AD94">
        <f t="shared" si="5"/>
        <v>2</v>
      </c>
      <c r="AE94">
        <f t="shared" si="6"/>
        <v>63203.076985542044</v>
      </c>
      <c r="AF94">
        <f t="shared" si="7"/>
        <v>47.280004244011508</v>
      </c>
    </row>
    <row r="95" spans="1:32" x14ac:dyDescent="0.25">
      <c r="A95" t="s">
        <v>34</v>
      </c>
      <c r="B95">
        <v>-3</v>
      </c>
      <c r="C95">
        <v>1.17605</v>
      </c>
      <c r="D95">
        <v>0.28706300000000001</v>
      </c>
      <c r="E95">
        <v>0.54840599999999995</v>
      </c>
      <c r="F95">
        <v>-3</v>
      </c>
      <c r="G95">
        <v>367.95299999999997</v>
      </c>
      <c r="H95">
        <v>30.25</v>
      </c>
      <c r="I95">
        <v>33.3979</v>
      </c>
      <c r="J95" t="s">
        <v>3</v>
      </c>
      <c r="K95">
        <v>0</v>
      </c>
      <c r="M95">
        <f>MATCH(C95,script.out!B:B,0)</f>
        <v>791</v>
      </c>
      <c r="N95">
        <f>INDEX(script.out!B:B,$M95)</f>
        <v>1.17605</v>
      </c>
      <c r="O95">
        <f>INDEX(script.out!C:C,$M95)</f>
        <v>0.28706300000000001</v>
      </c>
      <c r="P95">
        <f>INDEX(script.out!D:D,$M95)</f>
        <v>0.54840599999999995</v>
      </c>
      <c r="Q95">
        <f>INDEX(script.out!E:E,$M95)</f>
        <v>367.95294964211399</v>
      </c>
      <c r="R95">
        <f>INDEX(script.out!F:F,$M95)</f>
        <v>30.25</v>
      </c>
      <c r="S95">
        <f>INDEX(script.out!G:G,$M95)</f>
        <v>33.397949310564798</v>
      </c>
      <c r="T95" t="str">
        <f>INDEX(script.out!H:H,$M95)</f>
        <v>{</v>
      </c>
      <c r="U95">
        <f>INDEX(script.out!I:I,$M95)</f>
        <v>1.2408399999999999</v>
      </c>
      <c r="V95">
        <f>INDEX(script.out!J:J,$M95)</f>
        <v>243.53149999999999</v>
      </c>
      <c r="W95">
        <f>INDEX(script.out!K:K,$M95)</f>
        <v>333.55954000000003</v>
      </c>
      <c r="X95" t="str">
        <f>INDEX(script.out!L:L,$M95)</f>
        <v>}</v>
      </c>
      <c r="Y95" t="str">
        <f>INDEX(script.out!M:M,$M95)</f>
        <v>{</v>
      </c>
      <c r="Z95">
        <f>INDEX(script.out!N:N,$M95)</f>
        <v>29.182099719324601</v>
      </c>
      <c r="AA95">
        <f>INDEX(script.out!O:O,$M95)</f>
        <v>13.5</v>
      </c>
      <c r="AB95">
        <f>INDEX(script.out!P:P,$M95)</f>
        <v>5190.63</v>
      </c>
      <c r="AC95" t="str">
        <f>INDEX(script.out!Q:Q,$M95)</f>
        <v>}</v>
      </c>
      <c r="AD95">
        <f t="shared" si="5"/>
        <v>2</v>
      </c>
      <c r="AE95">
        <f t="shared" si="6"/>
        <v>59330.348801586231</v>
      </c>
      <c r="AF95">
        <f t="shared" si="7"/>
        <v>43.598178967779354</v>
      </c>
    </row>
    <row r="96" spans="1:32" x14ac:dyDescent="0.25">
      <c r="A96" t="s">
        <v>34</v>
      </c>
      <c r="B96">
        <v>-3</v>
      </c>
      <c r="C96">
        <v>0.85123700000000002</v>
      </c>
      <c r="D96">
        <v>0.34456900000000001</v>
      </c>
      <c r="E96">
        <v>0.58035599999999998</v>
      </c>
      <c r="F96">
        <v>-3</v>
      </c>
      <c r="G96">
        <v>512.00599999999997</v>
      </c>
      <c r="H96">
        <v>42.25</v>
      </c>
      <c r="I96" s="2">
        <v>7.3567299999999998E-6</v>
      </c>
      <c r="J96" t="s">
        <v>3</v>
      </c>
      <c r="K96">
        <v>0</v>
      </c>
      <c r="M96">
        <f>MATCH(C96,script.out!B:B,0)</f>
        <v>795</v>
      </c>
      <c r="N96">
        <f>INDEX(script.out!B:B,$M96)</f>
        <v>0.85123700000000002</v>
      </c>
      <c r="O96">
        <f>INDEX(script.out!C:C,$M96)</f>
        <v>0.34456900000000001</v>
      </c>
      <c r="P96">
        <f>INDEX(script.out!D:D,$M96)</f>
        <v>0.58035599999999998</v>
      </c>
      <c r="Q96">
        <f>INDEX(script.out!E:E,$M96)</f>
        <v>512.00550578166997</v>
      </c>
      <c r="R96">
        <f>INDEX(script.out!F:F,$M96)</f>
        <v>42.25</v>
      </c>
      <c r="S96">
        <f>INDEX(script.out!G:G,$M96)</f>
        <v>7.3567273409645298E-6</v>
      </c>
      <c r="T96" t="str">
        <f>INDEX(script.out!H:H,$M96)</f>
        <v>{</v>
      </c>
      <c r="U96">
        <f>INDEX(script.out!I:I,$M96)</f>
        <v>0.980989</v>
      </c>
      <c r="V96">
        <f>INDEX(script.out!J:J,$M96)</f>
        <v>272.28449999999998</v>
      </c>
      <c r="W96">
        <f>INDEX(script.out!K:K,$M96)</f>
        <v>352.41003999999998</v>
      </c>
      <c r="X96" t="str">
        <f>INDEX(script.out!L:L,$M96)</f>
        <v>}</v>
      </c>
      <c r="Y96" t="str">
        <f>INDEX(script.out!M:M,$M96)</f>
        <v>{</v>
      </c>
      <c r="Z96">
        <f>INDEX(script.out!N:N,$M96)</f>
        <v>32.627538659378502</v>
      </c>
      <c r="AA96">
        <f>INDEX(script.out!O:O,$M96)</f>
        <v>14.5</v>
      </c>
      <c r="AB96">
        <f>INDEX(script.out!P:P,$M96)</f>
        <v>7299.01</v>
      </c>
      <c r="AC96" t="str">
        <f>INDEX(script.out!Q:Q,$M96)</f>
        <v>}</v>
      </c>
      <c r="AD96">
        <f t="shared" si="5"/>
        <v>2</v>
      </c>
      <c r="AE96">
        <f t="shared" si="6"/>
        <v>78836.605878054208</v>
      </c>
      <c r="AF96">
        <f t="shared" si="7"/>
        <v>41.197938084035314</v>
      </c>
    </row>
    <row r="97" spans="1:32" x14ac:dyDescent="0.25">
      <c r="A97" t="s">
        <v>34</v>
      </c>
      <c r="B97">
        <v>-3</v>
      </c>
      <c r="C97">
        <v>0.88389300000000004</v>
      </c>
      <c r="D97">
        <v>0.25754199999999999</v>
      </c>
      <c r="E97">
        <v>0.53811100000000001</v>
      </c>
      <c r="F97">
        <v>-3</v>
      </c>
      <c r="G97">
        <v>303.22500000000002</v>
      </c>
      <c r="H97">
        <v>36</v>
      </c>
      <c r="I97">
        <v>2.4809299999999999</v>
      </c>
      <c r="J97" t="s">
        <v>3</v>
      </c>
      <c r="K97">
        <v>0</v>
      </c>
      <c r="M97">
        <f>MATCH(C97,script.out!B:B,0)</f>
        <v>805</v>
      </c>
      <c r="N97">
        <f>INDEX(script.out!B:B,$M97)</f>
        <v>0.88389300000000004</v>
      </c>
      <c r="O97">
        <f>INDEX(script.out!C:C,$M97)</f>
        <v>0.25754199999999999</v>
      </c>
      <c r="P97">
        <f>INDEX(script.out!D:D,$M97)</f>
        <v>0.53811100000000001</v>
      </c>
      <c r="Q97">
        <f>INDEX(script.out!E:E,$M97)</f>
        <v>303.22531442897298</v>
      </c>
      <c r="R97">
        <f>INDEX(script.out!F:F,$M97)</f>
        <v>36</v>
      </c>
      <c r="S97">
        <f>INDEX(script.out!G:G,$M97)</f>
        <v>2.48092706398949</v>
      </c>
      <c r="T97" t="str">
        <f>INDEX(script.out!H:H,$M97)</f>
        <v>{</v>
      </c>
      <c r="U97">
        <f>INDEX(script.out!I:I,$M97)</f>
        <v>1.0071140000000001</v>
      </c>
      <c r="V97">
        <f>INDEX(script.out!J:J,$M97)</f>
        <v>228.77099999999999</v>
      </c>
      <c r="W97">
        <f>INDEX(script.out!K:K,$M97)</f>
        <v>327.48549000000003</v>
      </c>
      <c r="X97" t="str">
        <f>INDEX(script.out!L:L,$M97)</f>
        <v>}</v>
      </c>
      <c r="Y97" t="str">
        <f>INDEX(script.out!M:M,$M97)</f>
        <v>{</v>
      </c>
      <c r="Z97">
        <f>INDEX(script.out!N:N,$M97)</f>
        <v>27.413365970683898</v>
      </c>
      <c r="AA97">
        <f>INDEX(script.out!O:O,$M97)</f>
        <v>14</v>
      </c>
      <c r="AB97">
        <f>INDEX(script.out!P:P,$M97)</f>
        <v>6725.09</v>
      </c>
      <c r="AC97" t="str">
        <f>INDEX(script.out!Q:Q,$M97)</f>
        <v>}</v>
      </c>
      <c r="AD97">
        <f t="shared" si="5"/>
        <v>2</v>
      </c>
      <c r="AE97">
        <f t="shared" si="6"/>
        <v>80339.254810931787</v>
      </c>
      <c r="AF97">
        <f t="shared" si="7"/>
        <v>45.566032866378578</v>
      </c>
    </row>
    <row r="98" spans="1:32" x14ac:dyDescent="0.25">
      <c r="A98" t="s">
        <v>34</v>
      </c>
      <c r="B98">
        <v>-3</v>
      </c>
      <c r="C98">
        <v>0.88565899999999997</v>
      </c>
      <c r="D98">
        <v>0.27458300000000002</v>
      </c>
      <c r="E98">
        <v>0.55247900000000005</v>
      </c>
      <c r="F98">
        <v>-3</v>
      </c>
      <c r="G98">
        <v>339.82600000000002</v>
      </c>
      <c r="H98">
        <v>36</v>
      </c>
      <c r="I98">
        <v>1.95617</v>
      </c>
      <c r="J98" t="s">
        <v>3</v>
      </c>
      <c r="K98">
        <v>0</v>
      </c>
      <c r="M98">
        <f>MATCH(C98,script.out!B:B,0)</f>
        <v>816</v>
      </c>
      <c r="N98">
        <f>INDEX(script.out!B:B,$M98)</f>
        <v>0.88565899999999997</v>
      </c>
      <c r="O98">
        <f>INDEX(script.out!C:C,$M98)</f>
        <v>0.27458300000000002</v>
      </c>
      <c r="P98">
        <f>INDEX(script.out!D:D,$M98)</f>
        <v>0.55247900000000005</v>
      </c>
      <c r="Q98">
        <f>INDEX(script.out!E:E,$M98)</f>
        <v>339.82591219837599</v>
      </c>
      <c r="R98">
        <f>INDEX(script.out!F:F,$M98)</f>
        <v>36</v>
      </c>
      <c r="S98">
        <f>INDEX(script.out!G:G,$M98)</f>
        <v>1.9561662600863201</v>
      </c>
      <c r="T98" t="str">
        <f>INDEX(script.out!H:H,$M98)</f>
        <v>{</v>
      </c>
      <c r="U98">
        <f>INDEX(script.out!I:I,$M98)</f>
        <v>1.008527</v>
      </c>
      <c r="V98">
        <f>INDEX(script.out!J:J,$M98)</f>
        <v>237.29150000000001</v>
      </c>
      <c r="W98">
        <f>INDEX(script.out!K:K,$M98)</f>
        <v>335.96260999999998</v>
      </c>
      <c r="X98" t="str">
        <f>INDEX(script.out!L:L,$M98)</f>
        <v>}</v>
      </c>
      <c r="Y98" t="str">
        <f>INDEX(script.out!M:M,$M98)</f>
        <v>{</v>
      </c>
      <c r="Z98">
        <f>INDEX(script.out!N:N,$M98)</f>
        <v>28.434367691851399</v>
      </c>
      <c r="AA98">
        <f>INDEX(script.out!O:O,$M98)</f>
        <v>14</v>
      </c>
      <c r="AB98">
        <f>INDEX(script.out!P:P,$M98)</f>
        <v>6789.5</v>
      </c>
      <c r="AC98" t="str">
        <f>INDEX(script.out!Q:Q,$M98)</f>
        <v>}</v>
      </c>
      <c r="AD98">
        <f t="shared" ref="AD98:AD109" si="8">IF(A98="set1",1)+IF(A98="set2",2)+IF(A98="set3",3)+IF(A98="set4",4)</f>
        <v>2</v>
      </c>
      <c r="AE98">
        <f t="shared" ref="AE98:AE109" si="9">W98*AB98/Z98</f>
        <v>80220.462973357571</v>
      </c>
      <c r="AF98">
        <f t="shared" si="7"/>
        <v>45.067025220502728</v>
      </c>
    </row>
    <row r="99" spans="1:32" x14ac:dyDescent="0.25">
      <c r="A99" t="s">
        <v>34</v>
      </c>
      <c r="B99">
        <v>-3</v>
      </c>
      <c r="C99">
        <v>0.988954</v>
      </c>
      <c r="D99">
        <v>0.31143300000000002</v>
      </c>
      <c r="E99">
        <v>0.59365999999999997</v>
      </c>
      <c r="F99">
        <v>-3</v>
      </c>
      <c r="G99">
        <v>426.101</v>
      </c>
      <c r="H99">
        <v>30.25</v>
      </c>
      <c r="I99">
        <v>1.8135600000000001</v>
      </c>
      <c r="J99" t="s">
        <v>3</v>
      </c>
      <c r="K99">
        <v>0</v>
      </c>
      <c r="M99">
        <f>MATCH(C99,script.out!B:B,0)</f>
        <v>823</v>
      </c>
      <c r="N99">
        <f>INDEX(script.out!B:B,$M99)</f>
        <v>0.988954</v>
      </c>
      <c r="O99">
        <f>INDEX(script.out!C:C,$M99)</f>
        <v>0.31143300000000002</v>
      </c>
      <c r="P99">
        <f>INDEX(script.out!D:D,$M99)</f>
        <v>0.59365999999999997</v>
      </c>
      <c r="Q99">
        <f>INDEX(script.out!E:E,$M99)</f>
        <v>426.10100969433103</v>
      </c>
      <c r="R99">
        <f>INDEX(script.out!F:F,$M99)</f>
        <v>30.25</v>
      </c>
      <c r="S99">
        <f>INDEX(script.out!G:G,$M99)</f>
        <v>1.8135603047476001</v>
      </c>
      <c r="T99" t="str">
        <f>INDEX(script.out!H:H,$M99)</f>
        <v>{</v>
      </c>
      <c r="U99">
        <f>INDEX(script.out!I:I,$M99)</f>
        <v>1.0911630000000001</v>
      </c>
      <c r="V99">
        <f>INDEX(script.out!J:J,$M99)</f>
        <v>255.7165</v>
      </c>
      <c r="W99">
        <f>INDEX(script.out!K:K,$M99)</f>
        <v>360.25940000000003</v>
      </c>
      <c r="X99" t="str">
        <f>INDEX(script.out!L:L,$M99)</f>
        <v>}</v>
      </c>
      <c r="Y99" t="str">
        <f>INDEX(script.out!M:M,$M99)</f>
        <v>{</v>
      </c>
      <c r="Z99">
        <f>INDEX(script.out!N:N,$M99)</f>
        <v>30.642214263356799</v>
      </c>
      <c r="AA99">
        <f>INDEX(script.out!O:O,$M99)</f>
        <v>13.5</v>
      </c>
      <c r="AB99">
        <f>INDEX(script.out!P:P,$M99)</f>
        <v>6808.46</v>
      </c>
      <c r="AC99" t="str">
        <f>INDEX(script.out!Q:Q,$M99)</f>
        <v>}</v>
      </c>
      <c r="AD99">
        <f t="shared" si="8"/>
        <v>2</v>
      </c>
      <c r="AE99">
        <f t="shared" si="9"/>
        <v>80046.81689916816</v>
      </c>
      <c r="AF99">
        <f t="shared" si="7"/>
        <v>44.844242984180028</v>
      </c>
    </row>
    <row r="100" spans="1:32" x14ac:dyDescent="0.25">
      <c r="A100" t="s">
        <v>34</v>
      </c>
      <c r="B100">
        <v>-3</v>
      </c>
      <c r="C100">
        <v>1.08623</v>
      </c>
      <c r="D100">
        <v>0.34494399999999997</v>
      </c>
      <c r="E100">
        <v>0.58625400000000005</v>
      </c>
      <c r="F100">
        <v>-3</v>
      </c>
      <c r="G100">
        <v>513.02300000000002</v>
      </c>
      <c r="H100">
        <v>25</v>
      </c>
      <c r="I100">
        <v>2.7747299999999999E-2</v>
      </c>
      <c r="J100" t="s">
        <v>3</v>
      </c>
      <c r="K100">
        <v>0</v>
      </c>
      <c r="M100">
        <f>MATCH(C100,script.out!B:B,0)</f>
        <v>856</v>
      </c>
      <c r="N100">
        <f>INDEX(script.out!B:B,$M100)</f>
        <v>1.08623</v>
      </c>
      <c r="O100">
        <f>INDEX(script.out!C:C,$M100)</f>
        <v>0.34494399999999997</v>
      </c>
      <c r="P100">
        <f>INDEX(script.out!D:D,$M100)</f>
        <v>0.58625400000000005</v>
      </c>
      <c r="Q100">
        <f>INDEX(script.out!E:E,$M100)</f>
        <v>513.02279756930602</v>
      </c>
      <c r="R100">
        <f>INDEX(script.out!F:F,$M100)</f>
        <v>25</v>
      </c>
      <c r="S100">
        <f>INDEX(script.out!G:G,$M100)</f>
        <v>2.7747344717583E-2</v>
      </c>
      <c r="T100" t="str">
        <f>INDEX(script.out!H:H,$M100)</f>
        <v>{</v>
      </c>
      <c r="U100">
        <f>INDEX(script.out!I:I,$M100)</f>
        <v>1.1689799999999999</v>
      </c>
      <c r="V100">
        <f>INDEX(script.out!J:J,$M100)</f>
        <v>272.47199999999998</v>
      </c>
      <c r="W100">
        <f>INDEX(script.out!K:K,$M100)</f>
        <v>355.88986</v>
      </c>
      <c r="X100" t="str">
        <f>INDEX(script.out!L:L,$M100)</f>
        <v>}</v>
      </c>
      <c r="Y100" t="str">
        <f>INDEX(script.out!M:M,$M100)</f>
        <v>{</v>
      </c>
      <c r="Z100">
        <f>INDEX(script.out!N:N,$M100)</f>
        <v>32.650006568857897</v>
      </c>
      <c r="AA100">
        <f>INDEX(script.out!O:O,$M100)</f>
        <v>13</v>
      </c>
      <c r="AB100">
        <f>INDEX(script.out!P:P,$M100)</f>
        <v>7239.2</v>
      </c>
      <c r="AC100" t="str">
        <f>INDEX(script.out!Q:Q,$M100)</f>
        <v>}</v>
      </c>
      <c r="AD100">
        <f t="shared" si="8"/>
        <v>2</v>
      </c>
      <c r="AE100">
        <f t="shared" si="9"/>
        <v>78908.341689871871</v>
      </c>
      <c r="AF100">
        <f t="shared" si="7"/>
        <v>41.576110877655395</v>
      </c>
    </row>
    <row r="101" spans="1:32" x14ac:dyDescent="0.25">
      <c r="A101" t="s">
        <v>34</v>
      </c>
      <c r="B101">
        <v>-3</v>
      </c>
      <c r="C101">
        <v>0.96236600000000005</v>
      </c>
      <c r="D101">
        <v>0.37607299999999999</v>
      </c>
      <c r="E101">
        <v>0.62033099999999997</v>
      </c>
      <c r="F101">
        <v>-3</v>
      </c>
      <c r="G101">
        <v>600.98900000000003</v>
      </c>
      <c r="H101">
        <v>30.25</v>
      </c>
      <c r="I101" s="2">
        <v>3.3694899999999998E-6</v>
      </c>
      <c r="J101" t="s">
        <v>3</v>
      </c>
      <c r="K101">
        <v>0</v>
      </c>
      <c r="M101">
        <f>MATCH(C101,script.out!B:B,0)</f>
        <v>900</v>
      </c>
      <c r="N101">
        <f>INDEX(script.out!B:B,$M101)</f>
        <v>0.96236600000000005</v>
      </c>
      <c r="O101">
        <f>INDEX(script.out!C:C,$M101)</f>
        <v>0.37607299999999999</v>
      </c>
      <c r="P101">
        <f>INDEX(script.out!D:D,$M101)</f>
        <v>0.62033099999999997</v>
      </c>
      <c r="Q101">
        <f>INDEX(script.out!E:E,$M101)</f>
        <v>600.98928044220099</v>
      </c>
      <c r="R101">
        <f>INDEX(script.out!F:F,$M101)</f>
        <v>30.25</v>
      </c>
      <c r="S101">
        <f>INDEX(script.out!G:G,$M101)</f>
        <v>3.3694877087633702E-6</v>
      </c>
      <c r="T101" t="str">
        <f>INDEX(script.out!H:H,$M101)</f>
        <v>{</v>
      </c>
      <c r="U101">
        <f>INDEX(script.out!I:I,$M101)</f>
        <v>1.0698920000000001</v>
      </c>
      <c r="V101">
        <f>INDEX(script.out!J:J,$M101)</f>
        <v>288.03649999999999</v>
      </c>
      <c r="W101">
        <f>INDEX(script.out!K:K,$M101)</f>
        <v>375.99529000000001</v>
      </c>
      <c r="X101" t="str">
        <f>INDEX(script.out!L:L,$M101)</f>
        <v>}</v>
      </c>
      <c r="Y101" t="str">
        <f>INDEX(script.out!M:M,$M101)</f>
        <v>{</v>
      </c>
      <c r="Z101">
        <f>INDEX(script.out!N:N,$M101)</f>
        <v>34.515082713346096</v>
      </c>
      <c r="AA101">
        <f>INDEX(script.out!O:O,$M101)</f>
        <v>13.5</v>
      </c>
      <c r="AB101">
        <f>INDEX(script.out!P:P,$M101)</f>
        <v>7299.33</v>
      </c>
      <c r="AC101" t="str">
        <f>INDEX(script.out!Q:Q,$M101)</f>
        <v>}</v>
      </c>
      <c r="AD101">
        <f t="shared" si="8"/>
        <v>2</v>
      </c>
      <c r="AE101">
        <f t="shared" si="9"/>
        <v>79516.358774202425</v>
      </c>
      <c r="AF101">
        <f t="shared" si="7"/>
        <v>41.551337405343205</v>
      </c>
    </row>
    <row r="102" spans="1:32" x14ac:dyDescent="0.25">
      <c r="A102" t="s">
        <v>34</v>
      </c>
      <c r="B102">
        <v>-3</v>
      </c>
      <c r="C102">
        <v>0.93054300000000001</v>
      </c>
      <c r="D102">
        <v>0.16476299999999999</v>
      </c>
      <c r="E102">
        <v>0.32097799999999999</v>
      </c>
      <c r="F102">
        <v>-3</v>
      </c>
      <c r="G102">
        <v>140.53100000000001</v>
      </c>
      <c r="H102">
        <v>42.25</v>
      </c>
      <c r="I102">
        <v>3.80464</v>
      </c>
      <c r="J102" t="s">
        <v>3</v>
      </c>
      <c r="K102">
        <v>0</v>
      </c>
      <c r="M102">
        <f>MATCH(C102,script.out!B:B,0)</f>
        <v>909</v>
      </c>
      <c r="N102">
        <f>INDEX(script.out!B:B,$M102)</f>
        <v>0.93054300000000001</v>
      </c>
      <c r="O102">
        <f>INDEX(script.out!C:C,$M102)</f>
        <v>0.16476299999999999</v>
      </c>
      <c r="P102">
        <f>INDEX(script.out!D:D,$M102)</f>
        <v>0.32097799999999999</v>
      </c>
      <c r="Q102">
        <f>INDEX(script.out!E:E,$M102)</f>
        <v>140.53072337844901</v>
      </c>
      <c r="R102">
        <f>INDEX(script.out!F:F,$M102)</f>
        <v>42.25</v>
      </c>
      <c r="S102">
        <f>INDEX(script.out!G:G,$M102)</f>
        <v>3.8046372865453102</v>
      </c>
      <c r="T102" t="str">
        <f>INDEX(script.out!H:H,$M102)</f>
        <v>{</v>
      </c>
      <c r="U102">
        <f>INDEX(script.out!I:I,$M102)</f>
        <v>1.0444340000000001</v>
      </c>
      <c r="V102">
        <f>INDEX(script.out!J:J,$M102)</f>
        <v>182.38149999999999</v>
      </c>
      <c r="W102">
        <f>INDEX(script.out!K:K,$M102)</f>
        <v>199.37701999999999</v>
      </c>
      <c r="X102" t="str">
        <f>INDEX(script.out!L:L,$M102)</f>
        <v>}</v>
      </c>
      <c r="Y102" t="str">
        <f>INDEX(script.out!M:M,$M102)</f>
        <v>{</v>
      </c>
      <c r="Z102">
        <f>INDEX(script.out!N:N,$M102)</f>
        <v>21.8545655077885</v>
      </c>
      <c r="AA102">
        <f>INDEX(script.out!O:O,$M102)</f>
        <v>14.5</v>
      </c>
      <c r="AB102">
        <f>INDEX(script.out!P:P,$M102)</f>
        <v>6588.05</v>
      </c>
      <c r="AC102" t="str">
        <f>INDEX(script.out!Q:Q,$M102)</f>
        <v>}</v>
      </c>
      <c r="AD102">
        <f t="shared" si="8"/>
        <v>2</v>
      </c>
      <c r="AE102">
        <f t="shared" si="9"/>
        <v>60102.122649974197</v>
      </c>
      <c r="AF102">
        <f t="shared" si="7"/>
        <v>34.7972116381669</v>
      </c>
    </row>
    <row r="103" spans="1:32" x14ac:dyDescent="0.25">
      <c r="A103" t="s">
        <v>34</v>
      </c>
      <c r="B103">
        <v>-3</v>
      </c>
      <c r="C103">
        <v>1.0889200000000001</v>
      </c>
      <c r="D103">
        <v>0.17537900000000001</v>
      </c>
      <c r="E103">
        <v>0.53934199999999999</v>
      </c>
      <c r="F103">
        <v>-3</v>
      </c>
      <c r="G103">
        <v>156.01599999999999</v>
      </c>
      <c r="H103">
        <v>36</v>
      </c>
      <c r="I103">
        <v>66.450199999999995</v>
      </c>
      <c r="J103" t="s">
        <v>3</v>
      </c>
      <c r="K103">
        <v>0</v>
      </c>
      <c r="M103">
        <f>MATCH(C103,script.out!B:B,0)</f>
        <v>918</v>
      </c>
      <c r="N103">
        <f>INDEX(script.out!B:B,$M103)</f>
        <v>1.0889200000000001</v>
      </c>
      <c r="O103">
        <f>INDEX(script.out!C:C,$M103)</f>
        <v>0.17537900000000001</v>
      </c>
      <c r="P103">
        <f>INDEX(script.out!D:D,$M103)</f>
        <v>0.53934199999999999</v>
      </c>
      <c r="Q103">
        <f>INDEX(script.out!E:E,$M103)</f>
        <v>156.01551420338899</v>
      </c>
      <c r="R103">
        <f>INDEX(script.out!F:F,$M103)</f>
        <v>36</v>
      </c>
      <c r="S103">
        <f>INDEX(script.out!G:G,$M103)</f>
        <v>66.450190556577198</v>
      </c>
      <c r="T103" t="str">
        <f>INDEX(script.out!H:H,$M103)</f>
        <v>{</v>
      </c>
      <c r="U103">
        <f>INDEX(script.out!I:I,$M103)</f>
        <v>1.17113</v>
      </c>
      <c r="V103">
        <f>INDEX(script.out!J:J,$M103)</f>
        <v>187.68950000000001</v>
      </c>
      <c r="W103">
        <f>INDEX(script.out!K:K,$M103)</f>
        <v>328.21177999999998</v>
      </c>
      <c r="X103" t="str">
        <f>INDEX(script.out!L:L,$M103)</f>
        <v>}</v>
      </c>
      <c r="Y103" t="str">
        <f>INDEX(script.out!M:M,$M103)</f>
        <v>{</v>
      </c>
      <c r="Z103">
        <f>INDEX(script.out!N:N,$M103)</f>
        <v>22.490617046542901</v>
      </c>
      <c r="AA103">
        <f>INDEX(script.out!O:O,$M103)</f>
        <v>14</v>
      </c>
      <c r="AB103">
        <f>INDEX(script.out!P:P,$M103)</f>
        <v>4324.63</v>
      </c>
      <c r="AC103" t="str">
        <f>INDEX(script.out!Q:Q,$M103)</f>
        <v>}</v>
      </c>
      <c r="AD103">
        <f t="shared" si="8"/>
        <v>2</v>
      </c>
      <c r="AE103">
        <f t="shared" si="9"/>
        <v>63110.518808979461</v>
      </c>
      <c r="AF103">
        <f t="shared" si="7"/>
        <v>55.662705871121894</v>
      </c>
    </row>
    <row r="104" spans="1:32" x14ac:dyDescent="0.25">
      <c r="A104" t="s">
        <v>34</v>
      </c>
      <c r="B104">
        <v>-3</v>
      </c>
      <c r="C104">
        <v>1.15981</v>
      </c>
      <c r="D104">
        <v>0.24931400000000001</v>
      </c>
      <c r="E104">
        <v>0.50706200000000001</v>
      </c>
      <c r="F104">
        <v>-3</v>
      </c>
      <c r="G104">
        <v>286.3</v>
      </c>
      <c r="H104">
        <v>30.25</v>
      </c>
      <c r="I104">
        <v>33.745899999999999</v>
      </c>
      <c r="J104" t="s">
        <v>3</v>
      </c>
      <c r="K104">
        <v>0</v>
      </c>
      <c r="M104">
        <f>MATCH(C104,script.out!B:B,0)</f>
        <v>923</v>
      </c>
      <c r="N104">
        <f>INDEX(script.out!B:B,$M104)</f>
        <v>1.15981</v>
      </c>
      <c r="O104">
        <f>INDEX(script.out!C:C,$M104)</f>
        <v>0.24931400000000001</v>
      </c>
      <c r="P104">
        <f>INDEX(script.out!D:D,$M104)</f>
        <v>0.50706200000000001</v>
      </c>
      <c r="Q104">
        <f>INDEX(script.out!E:E,$M104)</f>
        <v>286.299600442241</v>
      </c>
      <c r="R104">
        <f>INDEX(script.out!F:F,$M104)</f>
        <v>30.25</v>
      </c>
      <c r="S104">
        <f>INDEX(script.out!G:G,$M104)</f>
        <v>33.745913371364203</v>
      </c>
      <c r="T104" t="str">
        <f>INDEX(script.out!H:H,$M104)</f>
        <v>{</v>
      </c>
      <c r="U104">
        <f>INDEX(script.out!I:I,$M104)</f>
        <v>1.22784</v>
      </c>
      <c r="V104">
        <f>INDEX(script.out!J:J,$M104)</f>
        <v>224.65700000000001</v>
      </c>
      <c r="W104">
        <f>INDEX(script.out!K:K,$M104)</f>
        <v>309.16658000000001</v>
      </c>
      <c r="X104" t="str">
        <f>INDEX(script.out!L:L,$M104)</f>
        <v>}</v>
      </c>
      <c r="Y104" t="str">
        <f>INDEX(script.out!M:M,$M104)</f>
        <v>{</v>
      </c>
      <c r="Z104">
        <f>INDEX(script.out!N:N,$M104)</f>
        <v>26.920390079493998</v>
      </c>
      <c r="AA104">
        <f>INDEX(script.out!O:O,$M104)</f>
        <v>13.5</v>
      </c>
      <c r="AB104">
        <f>INDEX(script.out!P:P,$M104)</f>
        <v>5179.67</v>
      </c>
      <c r="AC104" t="str">
        <f>INDEX(script.out!Q:Q,$M104)</f>
        <v>}</v>
      </c>
      <c r="AD104">
        <f t="shared" si="8"/>
        <v>2</v>
      </c>
      <c r="AE104">
        <f t="shared" si="9"/>
        <v>59485.796999963088</v>
      </c>
      <c r="AF104">
        <f t="shared" si="7"/>
        <v>43.804902091469131</v>
      </c>
    </row>
    <row r="105" spans="1:32" x14ac:dyDescent="0.25">
      <c r="A105" t="s">
        <v>34</v>
      </c>
      <c r="B105">
        <v>-3</v>
      </c>
      <c r="C105">
        <v>0.80062599999999995</v>
      </c>
      <c r="D105">
        <v>0.204704</v>
      </c>
      <c r="E105">
        <v>0.44295600000000002</v>
      </c>
      <c r="F105">
        <v>-3</v>
      </c>
      <c r="G105">
        <v>202.994</v>
      </c>
      <c r="H105">
        <v>42.25</v>
      </c>
      <c r="I105">
        <v>0.201048</v>
      </c>
      <c r="J105" t="s">
        <v>3</v>
      </c>
      <c r="K105">
        <v>0</v>
      </c>
      <c r="M105" t="e">
        <f>MATCH(C105,script.out!B:B,0)</f>
        <v>#N/A</v>
      </c>
      <c r="N105" t="e">
        <f>INDEX(script.out!B:B,$M105)</f>
        <v>#N/A</v>
      </c>
      <c r="O105" t="e">
        <f>INDEX(script.out!C:C,$M105)</f>
        <v>#N/A</v>
      </c>
      <c r="P105" t="e">
        <f>INDEX(script.out!D:D,$M105)</f>
        <v>#N/A</v>
      </c>
      <c r="Q105" t="e">
        <f>INDEX(script.out!E:E,$M105)</f>
        <v>#N/A</v>
      </c>
      <c r="R105" t="e">
        <f>INDEX(script.out!F:F,$M105)</f>
        <v>#N/A</v>
      </c>
      <c r="S105" t="e">
        <f>INDEX(script.out!G:G,$M105)</f>
        <v>#N/A</v>
      </c>
      <c r="T105" t="e">
        <f>INDEX(script.out!H:H,$M105)</f>
        <v>#N/A</v>
      </c>
      <c r="U105" t="e">
        <f>INDEX(script.out!I:I,$M105)</f>
        <v>#N/A</v>
      </c>
      <c r="V105" t="e">
        <f>INDEX(script.out!J:J,$M105)</f>
        <v>#N/A</v>
      </c>
      <c r="W105" t="e">
        <f>INDEX(script.out!K:K,$M105)</f>
        <v>#N/A</v>
      </c>
      <c r="X105" t="e">
        <f>INDEX(script.out!L:L,$M105)</f>
        <v>#N/A</v>
      </c>
      <c r="Y105" t="e">
        <f>INDEX(script.out!M:M,$M105)</f>
        <v>#N/A</v>
      </c>
      <c r="Z105" t="e">
        <f>INDEX(script.out!N:N,$M105)</f>
        <v>#N/A</v>
      </c>
      <c r="AA105" t="e">
        <f>INDEX(script.out!O:O,$M105)</f>
        <v>#N/A</v>
      </c>
      <c r="AB105" t="e">
        <f>INDEX(script.out!P:P,$M105)</f>
        <v>#N/A</v>
      </c>
      <c r="AC105" t="e">
        <f>INDEX(script.out!Q:Q,$M105)</f>
        <v>#N/A</v>
      </c>
      <c r="AD105">
        <f t="shared" si="8"/>
        <v>2</v>
      </c>
      <c r="AE105" t="e">
        <f t="shared" si="9"/>
        <v>#N/A</v>
      </c>
      <c r="AF105" t="e">
        <f t="shared" si="7"/>
        <v>#N/A</v>
      </c>
    </row>
    <row r="106" spans="1:32" x14ac:dyDescent="0.25">
      <c r="A106" t="s">
        <v>34</v>
      </c>
      <c r="B106">
        <v>-3</v>
      </c>
      <c r="C106">
        <v>0.81675799999999998</v>
      </c>
      <c r="D106">
        <v>0.215696</v>
      </c>
      <c r="E106">
        <v>0.444135</v>
      </c>
      <c r="F106">
        <v>-3</v>
      </c>
      <c r="G106">
        <v>222.19399999999999</v>
      </c>
      <c r="H106">
        <v>42.25</v>
      </c>
      <c r="I106">
        <v>2.5082300000000002E-3</v>
      </c>
      <c r="J106" t="s">
        <v>3</v>
      </c>
      <c r="K106">
        <v>0</v>
      </c>
      <c r="M106">
        <f>MATCH(C106,script.out!B:B,0)</f>
        <v>83</v>
      </c>
      <c r="N106">
        <f>INDEX(script.out!B:B,$M106)</f>
        <v>0.81675799999999998</v>
      </c>
      <c r="O106">
        <f>INDEX(script.out!C:C,$M106)</f>
        <v>0.215696</v>
      </c>
      <c r="P106">
        <f>INDEX(script.out!D:D,$M106)</f>
        <v>0.444135</v>
      </c>
      <c r="Q106">
        <f>INDEX(script.out!E:E,$M106)</f>
        <v>222.19440880665701</v>
      </c>
      <c r="R106">
        <f>INDEX(script.out!F:F,$M106)</f>
        <v>42.25</v>
      </c>
      <c r="S106">
        <f>INDEX(script.out!G:G,$M106)</f>
        <v>2.5082259335710202E-3</v>
      </c>
      <c r="T106" t="str">
        <f>INDEX(script.out!H:H,$M106)</f>
        <v>{</v>
      </c>
      <c r="U106">
        <f>INDEX(script.out!I:I,$M106)</f>
        <v>0.95340599999999998</v>
      </c>
      <c r="V106">
        <f>INDEX(script.out!J:J,$M106)</f>
        <v>207.84800000000001</v>
      </c>
      <c r="W106">
        <f>INDEX(script.out!K:K,$M106)</f>
        <v>272.03964999999999</v>
      </c>
      <c r="X106" t="str">
        <f>INDEX(script.out!L:L,$M106)</f>
        <v>}</v>
      </c>
      <c r="Y106" t="str">
        <f>INDEX(script.out!M:M,$M106)</f>
        <v>{</v>
      </c>
      <c r="Z106">
        <f>INDEX(script.out!N:N,$M106)</f>
        <v>24.906186930488101</v>
      </c>
      <c r="AA106">
        <f>INDEX(script.out!O:O,$M106)</f>
        <v>14.5</v>
      </c>
      <c r="AB106">
        <f>INDEX(script.out!P:P,$M106)</f>
        <v>7281.72</v>
      </c>
      <c r="AC106" t="str">
        <f>INDEX(script.out!Q:Q,$M106)</f>
        <v>}</v>
      </c>
      <c r="AD106">
        <f t="shared" si="8"/>
        <v>2</v>
      </c>
      <c r="AE106">
        <f t="shared" si="9"/>
        <v>79535.119756654734</v>
      </c>
      <c r="AF106">
        <f t="shared" si="7"/>
        <v>41.661651797938035</v>
      </c>
    </row>
    <row r="107" spans="1:32" x14ac:dyDescent="0.25">
      <c r="A107" t="s">
        <v>34</v>
      </c>
      <c r="B107">
        <v>-3</v>
      </c>
      <c r="C107">
        <v>0.80974699999999999</v>
      </c>
      <c r="D107">
        <v>0.196353</v>
      </c>
      <c r="E107">
        <v>0.45133000000000001</v>
      </c>
      <c r="F107">
        <v>-3</v>
      </c>
      <c r="G107">
        <v>188.98699999999999</v>
      </c>
      <c r="H107">
        <v>42.25</v>
      </c>
      <c r="I107">
        <v>1.1035900000000001</v>
      </c>
      <c r="J107" t="s">
        <v>3</v>
      </c>
      <c r="K107">
        <v>0</v>
      </c>
      <c r="M107">
        <f>MATCH(C107,script.out!B:B,0)</f>
        <v>683</v>
      </c>
      <c r="N107">
        <f>INDEX(script.out!B:B,$M107)</f>
        <v>0.80974699999999999</v>
      </c>
      <c r="O107">
        <f>INDEX(script.out!C:C,$M107)</f>
        <v>0.196353</v>
      </c>
      <c r="P107">
        <f>INDEX(script.out!D:D,$M107)</f>
        <v>0.45133000000000001</v>
      </c>
      <c r="Q107">
        <f>INDEX(script.out!E:E,$M107)</f>
        <v>188.98721805961199</v>
      </c>
      <c r="R107">
        <f>INDEX(script.out!F:F,$M107)</f>
        <v>42.25</v>
      </c>
      <c r="S107">
        <f>INDEX(script.out!G:G,$M107)</f>
        <v>1.10359342165509</v>
      </c>
      <c r="T107" t="str">
        <f>INDEX(script.out!H:H,$M107)</f>
        <v>{</v>
      </c>
      <c r="U107">
        <f>INDEX(script.out!I:I,$M107)</f>
        <v>0.947797</v>
      </c>
      <c r="V107">
        <f>INDEX(script.out!J:J,$M107)</f>
        <v>198.1765</v>
      </c>
      <c r="W107">
        <f>INDEX(script.out!K:K,$M107)</f>
        <v>276.28469999999999</v>
      </c>
      <c r="X107" t="str">
        <f>INDEX(script.out!L:L,$M107)</f>
        <v>}</v>
      </c>
      <c r="Y107" t="str">
        <f>INDEX(script.out!M:M,$M107)</f>
        <v>{</v>
      </c>
      <c r="Z107">
        <f>INDEX(script.out!N:N,$M107)</f>
        <v>23.747262202329999</v>
      </c>
      <c r="AA107">
        <f>INDEX(script.out!O:O,$M107)</f>
        <v>14.5</v>
      </c>
      <c r="AB107">
        <f>INDEX(script.out!P:P,$M107)</f>
        <v>6916.56</v>
      </c>
      <c r="AC107" t="str">
        <f>INDEX(script.out!Q:Q,$M107)</f>
        <v>}</v>
      </c>
      <c r="AD107">
        <f t="shared" si="8"/>
        <v>2</v>
      </c>
      <c r="AE107">
        <f t="shared" si="9"/>
        <v>80469.895365222575</v>
      </c>
      <c r="AF107">
        <f t="shared" si="7"/>
        <v>44.376680086348657</v>
      </c>
    </row>
    <row r="108" spans="1:32" x14ac:dyDescent="0.25">
      <c r="A108" t="s">
        <v>34</v>
      </c>
      <c r="B108">
        <v>-3</v>
      </c>
      <c r="C108">
        <v>0.81798599999999999</v>
      </c>
      <c r="D108">
        <v>0.21520900000000001</v>
      </c>
      <c r="E108">
        <v>0.445463</v>
      </c>
      <c r="F108">
        <v>-3</v>
      </c>
      <c r="G108">
        <v>221.32499999999999</v>
      </c>
      <c r="H108">
        <v>42.25</v>
      </c>
      <c r="I108">
        <v>1.9676800000000001E-2</v>
      </c>
      <c r="J108" t="s">
        <v>3</v>
      </c>
      <c r="K108">
        <v>0</v>
      </c>
      <c r="M108">
        <f>MATCH(C108,script.out!B:B,0)</f>
        <v>810</v>
      </c>
      <c r="N108">
        <f>INDEX(script.out!B:B,$M108)</f>
        <v>0.81798599999999999</v>
      </c>
      <c r="O108">
        <f>INDEX(script.out!C:C,$M108)</f>
        <v>0.21520900000000001</v>
      </c>
      <c r="P108">
        <f>INDEX(script.out!D:D,$M108)</f>
        <v>0.445463</v>
      </c>
      <c r="Q108">
        <f>INDEX(script.out!E:E,$M108)</f>
        <v>221.32538504448101</v>
      </c>
      <c r="R108">
        <f>INDEX(script.out!F:F,$M108)</f>
        <v>42.25</v>
      </c>
      <c r="S108">
        <f>INDEX(script.out!G:G,$M108)</f>
        <v>1.9676787389754102E-2</v>
      </c>
      <c r="T108" t="str">
        <f>INDEX(script.out!H:H,$M108)</f>
        <v>{</v>
      </c>
      <c r="U108">
        <f>INDEX(script.out!I:I,$M108)</f>
        <v>0.95438800000000001</v>
      </c>
      <c r="V108">
        <f>INDEX(script.out!J:J,$M108)</f>
        <v>207.6045</v>
      </c>
      <c r="W108">
        <f>INDEX(script.out!K:K,$M108)</f>
        <v>272.82317</v>
      </c>
      <c r="X108" t="str">
        <f>INDEX(script.out!L:L,$M108)</f>
        <v>}</v>
      </c>
      <c r="Y108" t="str">
        <f>INDEX(script.out!M:M,$M108)</f>
        <v>{</v>
      </c>
      <c r="Z108">
        <f>INDEX(script.out!N:N,$M108)</f>
        <v>24.877008605377601</v>
      </c>
      <c r="AA108">
        <f>INDEX(script.out!O:O,$M108)</f>
        <v>14.5</v>
      </c>
      <c r="AB108">
        <f>INDEX(script.out!P:P,$M108)</f>
        <v>7248.8</v>
      </c>
      <c r="AC108" t="str">
        <f>INDEX(script.out!Q:Q,$M108)</f>
        <v>}</v>
      </c>
      <c r="AD108">
        <f t="shared" si="8"/>
        <v>2</v>
      </c>
      <c r="AE108">
        <f t="shared" si="9"/>
        <v>79496.720287683565</v>
      </c>
      <c r="AF108">
        <f t="shared" si="7"/>
        <v>41.830650198334325</v>
      </c>
    </row>
    <row r="109" spans="1:32" x14ac:dyDescent="0.25">
      <c r="A109" t="s">
        <v>34</v>
      </c>
      <c r="B109">
        <v>-3</v>
      </c>
      <c r="C109">
        <v>0.80746099999999998</v>
      </c>
      <c r="D109">
        <v>0.19195100000000001</v>
      </c>
      <c r="E109">
        <v>0.45455699999999999</v>
      </c>
      <c r="F109">
        <v>-3</v>
      </c>
      <c r="G109">
        <v>181.80500000000001</v>
      </c>
      <c r="H109">
        <v>42.25</v>
      </c>
      <c r="I109">
        <v>1.9673700000000001</v>
      </c>
      <c r="J109" t="s">
        <v>3</v>
      </c>
      <c r="K109">
        <v>0</v>
      </c>
      <c r="M109">
        <f>MATCH(C109,script.out!B:B,0)</f>
        <v>889</v>
      </c>
      <c r="N109">
        <f>INDEX(script.out!B:B,$M109)</f>
        <v>0.80746099999999998</v>
      </c>
      <c r="O109">
        <f>INDEX(script.out!C:C,$M109)</f>
        <v>0.19195100000000001</v>
      </c>
      <c r="P109">
        <f>INDEX(script.out!D:D,$M109)</f>
        <v>0.45455699999999999</v>
      </c>
      <c r="Q109">
        <f>INDEX(script.out!E:E,$M109)</f>
        <v>181.805281987466</v>
      </c>
      <c r="R109">
        <f>INDEX(script.out!F:F,$M109)</f>
        <v>42.25</v>
      </c>
      <c r="S109">
        <f>INDEX(script.out!G:G,$M109)</f>
        <v>1.96737130118221</v>
      </c>
      <c r="T109" t="str">
        <f>INDEX(script.out!H:H,$M109)</f>
        <v>{</v>
      </c>
      <c r="U109">
        <f>INDEX(script.out!I:I,$M109)</f>
        <v>0.94596800000000003</v>
      </c>
      <c r="V109">
        <f>INDEX(script.out!J:J,$M109)</f>
        <v>195.97550000000001</v>
      </c>
      <c r="W109">
        <f>INDEX(script.out!K:K,$M109)</f>
        <v>278.18862999999999</v>
      </c>
      <c r="X109" t="str">
        <f>INDEX(script.out!L:L,$M109)</f>
        <v>}</v>
      </c>
      <c r="Y109" t="str">
        <f>INDEX(script.out!M:M,$M109)</f>
        <v>{</v>
      </c>
      <c r="Z109">
        <f>INDEX(script.out!N:N,$M109)</f>
        <v>23.4835189022549</v>
      </c>
      <c r="AA109">
        <f>INDEX(script.out!O:O,$M109)</f>
        <v>14.5</v>
      </c>
      <c r="AB109">
        <f>INDEX(script.out!P:P,$M109)</f>
        <v>6788.04</v>
      </c>
      <c r="AC109" t="str">
        <f>INDEX(script.out!Q:Q,$M109)</f>
        <v>}</v>
      </c>
      <c r="AD109">
        <f t="shared" si="8"/>
        <v>2</v>
      </c>
      <c r="AE109">
        <f t="shared" si="9"/>
        <v>80411.950008219545</v>
      </c>
      <c r="AF109">
        <f t="shared" si="7"/>
        <v>45.184316995198195</v>
      </c>
    </row>
    <row r="110" spans="1:32" x14ac:dyDescent="0.25">
      <c r="A110" t="s">
        <v>35</v>
      </c>
      <c r="B110">
        <v>-3</v>
      </c>
      <c r="C110">
        <v>0.52426700000000004</v>
      </c>
      <c r="D110">
        <v>7.5487100000000001E-2</v>
      </c>
      <c r="E110">
        <v>0.233462</v>
      </c>
      <c r="F110">
        <v>-3</v>
      </c>
      <c r="G110">
        <v>42.323500000000003</v>
      </c>
      <c r="H110">
        <v>81</v>
      </c>
      <c r="I110">
        <v>2.1263999999999998</v>
      </c>
      <c r="J110" t="s">
        <v>3</v>
      </c>
      <c r="K110">
        <v>0</v>
      </c>
      <c r="M110" t="e">
        <v>#N/A</v>
      </c>
      <c r="N110" t="e">
        <f>INDEX(script.out!B:B,$M110)</f>
        <v>#N/A</v>
      </c>
      <c r="O110" t="e">
        <f>INDEX(script.out!C:C,$M110)</f>
        <v>#N/A</v>
      </c>
      <c r="P110" t="e">
        <f>INDEX(script.out!D:D,$M110)</f>
        <v>#N/A</v>
      </c>
      <c r="Q110" t="e">
        <f>INDEX(script.out!E:E,$M110)</f>
        <v>#N/A</v>
      </c>
      <c r="R110" t="e">
        <f>INDEX(script.out!F:F,$M110)</f>
        <v>#N/A</v>
      </c>
      <c r="S110" t="e">
        <f>INDEX(script.out!G:G,$M110)</f>
        <v>#N/A</v>
      </c>
      <c r="T110" t="e">
        <f>INDEX(script.out!H:H,$M110)</f>
        <v>#N/A</v>
      </c>
      <c r="U110" t="e">
        <f>INDEX(script.out!I:I,$M110)</f>
        <v>#N/A</v>
      </c>
      <c r="V110" t="e">
        <f>INDEX(script.out!J:J,$M110)</f>
        <v>#N/A</v>
      </c>
      <c r="W110" t="e">
        <f>INDEX(script.out!K:K,$M110)</f>
        <v>#N/A</v>
      </c>
      <c r="X110" t="e">
        <f>INDEX(script.out!L:L,$M110)</f>
        <v>#N/A</v>
      </c>
      <c r="Y110" t="e">
        <f>INDEX(script.out!M:M,$M110)</f>
        <v>#N/A</v>
      </c>
      <c r="Z110" t="e">
        <f>INDEX(script.out!N:N,$M110)</f>
        <v>#N/A</v>
      </c>
      <c r="AA110" t="e">
        <f>INDEX(script.out!O:O,$M110)</f>
        <v>#N/A</v>
      </c>
      <c r="AB110" t="e">
        <f>INDEX(script.out!P:P,$M110)</f>
        <v>#N/A</v>
      </c>
      <c r="AC110" t="e">
        <f>INDEX(script.out!Q:Q,$M110)</f>
        <v>#N/A</v>
      </c>
      <c r="AD110">
        <f t="shared" ref="AD110:AD129" si="10">IF(A110="set1",1)+IF(A110="set2",2)+IF(A110="set3",3)+IF(A110="set4",4)</f>
        <v>3</v>
      </c>
      <c r="AE110" t="e">
        <f t="shared" ref="AE110:AE129" si="11">W110*AB110/Z110</f>
        <v>#N/A</v>
      </c>
      <c r="AF110" t="e">
        <f t="shared" si="7"/>
        <v>#N/A</v>
      </c>
    </row>
    <row r="111" spans="1:32" x14ac:dyDescent="0.25">
      <c r="A111" t="s">
        <v>35</v>
      </c>
      <c r="B111">
        <v>-3</v>
      </c>
      <c r="C111">
        <v>0.55693199999999998</v>
      </c>
      <c r="D111">
        <v>4.9422099999999997E-2</v>
      </c>
      <c r="E111">
        <v>0.25722699999999998</v>
      </c>
      <c r="F111">
        <v>-3</v>
      </c>
      <c r="G111" s="2">
        <v>24.443000000000001</v>
      </c>
      <c r="H111">
        <v>90.25</v>
      </c>
      <c r="I111">
        <v>17.435099999999998</v>
      </c>
      <c r="J111" t="s">
        <v>3</v>
      </c>
      <c r="K111">
        <v>0</v>
      </c>
      <c r="M111">
        <v>169</v>
      </c>
      <c r="N111">
        <f>INDEX(script.out!B:B,$M111)</f>
        <v>0.55693199999999998</v>
      </c>
      <c r="O111">
        <f>INDEX(script.out!C:C,$M111)</f>
        <v>4.9422099999999997E-2</v>
      </c>
      <c r="P111">
        <f>INDEX(script.out!D:D,$M111)</f>
        <v>0.25722699999999998</v>
      </c>
      <c r="Q111">
        <f>INDEX(script.out!E:E,$M111)</f>
        <v>24.442955773799699</v>
      </c>
      <c r="R111">
        <f>INDEX(script.out!F:F,$M111)</f>
        <v>90.25</v>
      </c>
      <c r="S111">
        <f>INDEX(script.out!G:G,$M111)</f>
        <v>17.4350862443235</v>
      </c>
      <c r="T111" t="str">
        <f>INDEX(script.out!H:H,$M111)</f>
        <v>{</v>
      </c>
      <c r="U111">
        <f>INDEX(script.out!I:I,$M111)</f>
        <v>0.74554500000000001</v>
      </c>
      <c r="V111">
        <f>INDEX(script.out!J:J,$M111)</f>
        <v>124.71105</v>
      </c>
      <c r="W111">
        <f>INDEX(script.out!K:K,$M111)</f>
        <v>161.76392999999999</v>
      </c>
      <c r="X111" t="str">
        <f>INDEX(script.out!L:L,$M111)</f>
        <v>}</v>
      </c>
      <c r="Y111" t="str">
        <f>INDEX(script.out!M:M,$M111)</f>
        <v>{</v>
      </c>
      <c r="Z111">
        <f>INDEX(script.out!N:N,$M111)</f>
        <v>14.9439817732066</v>
      </c>
      <c r="AA111">
        <f>INDEX(script.out!O:O,$M111)</f>
        <v>17.5</v>
      </c>
      <c r="AB111">
        <f>INDEX(script.out!P:P,$M111)</f>
        <v>5775.93</v>
      </c>
      <c r="AC111" t="str">
        <f>INDEX(script.out!Q:Q,$M111)</f>
        <v>}</v>
      </c>
      <c r="AD111">
        <f t="shared" si="10"/>
        <v>3</v>
      </c>
      <c r="AE111">
        <f t="shared" si="11"/>
        <v>62522.636228056297</v>
      </c>
      <c r="AF111">
        <f t="shared" si="7"/>
        <v>41.288288525309248</v>
      </c>
    </row>
    <row r="112" spans="1:32" x14ac:dyDescent="0.25">
      <c r="A112" t="s">
        <v>35</v>
      </c>
      <c r="B112">
        <v>-3</v>
      </c>
      <c r="C112">
        <v>0.526084</v>
      </c>
      <c r="D112">
        <v>7.9363400000000001E-2</v>
      </c>
      <c r="E112">
        <v>0.23890800000000001</v>
      </c>
      <c r="F112">
        <v>-3</v>
      </c>
      <c r="G112">
        <v>45.399299999999997</v>
      </c>
      <c r="H112">
        <v>81</v>
      </c>
      <c r="I112">
        <v>1.67266</v>
      </c>
      <c r="J112" t="s">
        <v>3</v>
      </c>
      <c r="K112">
        <v>0</v>
      </c>
      <c r="M112">
        <v>205</v>
      </c>
      <c r="N112">
        <f>INDEX(script.out!B:B,$M112)</f>
        <v>0.526084</v>
      </c>
      <c r="O112">
        <f>INDEX(script.out!C:C,$M112)</f>
        <v>7.9363400000000001E-2</v>
      </c>
      <c r="P112">
        <f>INDEX(script.out!D:D,$M112)</f>
        <v>0.23890800000000001</v>
      </c>
      <c r="Q112">
        <f>INDEX(script.out!E:E,$M112)</f>
        <v>45.399263458869697</v>
      </c>
      <c r="R112">
        <f>INDEX(script.out!F:F,$M112)</f>
        <v>81</v>
      </c>
      <c r="S112">
        <f>INDEX(script.out!G:G,$M112)</f>
        <v>1.6726638663914399</v>
      </c>
      <c r="T112" t="str">
        <f>INDEX(script.out!H:H,$M112)</f>
        <v>{</v>
      </c>
      <c r="U112">
        <f>INDEX(script.out!I:I,$M112)</f>
        <v>0.72086700000000004</v>
      </c>
      <c r="V112">
        <f>INDEX(script.out!J:J,$M112)</f>
        <v>139.68170000000001</v>
      </c>
      <c r="W112">
        <f>INDEX(script.out!K:K,$M112)</f>
        <v>150.95572000000001</v>
      </c>
      <c r="X112" t="str">
        <f>INDEX(script.out!L:L,$M112)</f>
        <v>}</v>
      </c>
      <c r="Y112" t="str">
        <f>INDEX(script.out!M:M,$M112)</f>
        <v>{</v>
      </c>
      <c r="Z112">
        <f>INDEX(script.out!N:N,$M112)</f>
        <v>16.7378975547918</v>
      </c>
      <c r="AA112">
        <f>INDEX(script.out!O:O,$M112)</f>
        <v>17</v>
      </c>
      <c r="AB112">
        <f>INDEX(script.out!P:P,$M112)</f>
        <v>7772.06</v>
      </c>
      <c r="AC112" t="str">
        <f>INDEX(script.out!Q:Q,$M112)</f>
        <v>}</v>
      </c>
      <c r="AD112">
        <f t="shared" si="10"/>
        <v>3</v>
      </c>
      <c r="AE112">
        <f t="shared" si="11"/>
        <v>70094.640580908599</v>
      </c>
      <c r="AF112">
        <f t="shared" si="7"/>
        <v>34.400138351689719</v>
      </c>
    </row>
    <row r="113" spans="1:32" x14ac:dyDescent="0.25">
      <c r="A113" t="s">
        <v>35</v>
      </c>
      <c r="B113">
        <v>-3</v>
      </c>
      <c r="C113">
        <v>0.45910299999999998</v>
      </c>
      <c r="D113">
        <v>4.5348699999999999E-2</v>
      </c>
      <c r="E113">
        <v>0.179395</v>
      </c>
      <c r="F113">
        <v>-3</v>
      </c>
      <c r="G113">
        <v>22.089300000000001</v>
      </c>
      <c r="H113">
        <v>110.25</v>
      </c>
      <c r="I113">
        <v>1.8310199999999999E-2</v>
      </c>
      <c r="J113" t="s">
        <v>3</v>
      </c>
      <c r="K113">
        <v>0</v>
      </c>
      <c r="M113">
        <v>218</v>
      </c>
      <c r="N113">
        <f>INDEX(script.out!B:B,$M113)</f>
        <v>0.45910299999999998</v>
      </c>
      <c r="O113">
        <f>INDEX(script.out!C:C,$M113)</f>
        <v>4.5348699999999999E-2</v>
      </c>
      <c r="P113">
        <f>INDEX(script.out!D:D,$M113)</f>
        <v>0.179395</v>
      </c>
      <c r="Q113">
        <f>INDEX(script.out!E:E,$M113)</f>
        <v>22.089307726237401</v>
      </c>
      <c r="R113">
        <f>INDEX(script.out!F:F,$M113)</f>
        <v>110.25</v>
      </c>
      <c r="S113">
        <f>INDEX(script.out!G:G,$M113)</f>
        <v>1.8310167761306E-2</v>
      </c>
      <c r="T113" t="str">
        <f>INDEX(script.out!H:H,$M113)</f>
        <v>{</v>
      </c>
      <c r="U113">
        <f>INDEX(script.out!I:I,$M113)</f>
        <v>0.66728200000000004</v>
      </c>
      <c r="V113">
        <f>INDEX(script.out!J:J,$M113)</f>
        <v>122.67435</v>
      </c>
      <c r="W113">
        <f>INDEX(script.out!K:K,$M113)</f>
        <v>115.84305000000001</v>
      </c>
      <c r="X113" t="str">
        <f>INDEX(script.out!L:L,$M113)</f>
        <v>}</v>
      </c>
      <c r="Y113" t="str">
        <f>INDEX(script.out!M:M,$M113)</f>
        <v>{</v>
      </c>
      <c r="Z113">
        <f>INDEX(script.out!N:N,$M113)</f>
        <v>14.699926353278</v>
      </c>
      <c r="AA113">
        <f>INDEX(script.out!O:O,$M113)</f>
        <v>18.5</v>
      </c>
      <c r="AB113">
        <f>INDEX(script.out!P:P,$M113)</f>
        <v>7250.61</v>
      </c>
      <c r="AC113" t="str">
        <f>INDEX(script.out!Q:Q,$M113)</f>
        <v>}</v>
      </c>
      <c r="AD113">
        <f t="shared" si="10"/>
        <v>3</v>
      </c>
      <c r="AE113">
        <f t="shared" si="11"/>
        <v>57138.570396524454</v>
      </c>
      <c r="AF113">
        <f t="shared" si="7"/>
        <v>30.05843361769039</v>
      </c>
    </row>
    <row r="114" spans="1:32" x14ac:dyDescent="0.25">
      <c r="A114" t="s">
        <v>35</v>
      </c>
      <c r="B114">
        <v>-3</v>
      </c>
      <c r="C114">
        <v>0.49803900000000001</v>
      </c>
      <c r="D114">
        <v>8.3862800000000001E-2</v>
      </c>
      <c r="E114">
        <v>0.26502399999999998</v>
      </c>
      <c r="F114">
        <v>-3</v>
      </c>
      <c r="G114">
        <v>49.104700000000001</v>
      </c>
      <c r="H114">
        <v>81</v>
      </c>
      <c r="I114">
        <v>4.97229E-2</v>
      </c>
      <c r="J114" t="s">
        <v>3</v>
      </c>
      <c r="K114">
        <v>0</v>
      </c>
      <c r="M114">
        <v>437</v>
      </c>
      <c r="N114">
        <f>INDEX(script.out!B:B,$M114)</f>
        <v>0.49803900000000001</v>
      </c>
      <c r="O114">
        <f>INDEX(script.out!C:C,$M114)</f>
        <v>8.3862800000000001E-2</v>
      </c>
      <c r="P114">
        <f>INDEX(script.out!D:D,$M114)</f>
        <v>0.26502399999999998</v>
      </c>
      <c r="Q114">
        <f>INDEX(script.out!E:E,$M114)</f>
        <v>49.104727176795798</v>
      </c>
      <c r="R114">
        <f>INDEX(script.out!F:F,$M114)</f>
        <v>81</v>
      </c>
      <c r="S114">
        <f>INDEX(script.out!G:G,$M114)</f>
        <v>4.9722890598611298E-2</v>
      </c>
      <c r="T114" t="str">
        <f>INDEX(script.out!H:H,$M114)</f>
        <v>{</v>
      </c>
      <c r="U114">
        <f>INDEX(script.out!I:I,$M114)</f>
        <v>0.69843100000000002</v>
      </c>
      <c r="V114">
        <f>INDEX(script.out!J:J,$M114)</f>
        <v>141.9314</v>
      </c>
      <c r="W114">
        <f>INDEX(script.out!K:K,$M114)</f>
        <v>166.36416</v>
      </c>
      <c r="X114" t="str">
        <f>INDEX(script.out!L:L,$M114)</f>
        <v>}</v>
      </c>
      <c r="Y114" t="str">
        <f>INDEX(script.out!M:M,$M114)</f>
        <v>{</v>
      </c>
      <c r="Z114">
        <f>INDEX(script.out!N:N,$M114)</f>
        <v>17.007476519889</v>
      </c>
      <c r="AA114">
        <f>INDEX(script.out!O:O,$M114)</f>
        <v>17</v>
      </c>
      <c r="AB114">
        <f>INDEX(script.out!P:P,$M114)</f>
        <v>7218.61</v>
      </c>
      <c r="AC114" t="str">
        <f>INDEX(script.out!Q:Q,$M114)</f>
        <v>}</v>
      </c>
      <c r="AD114">
        <f t="shared" si="10"/>
        <v>3</v>
      </c>
      <c r="AE114">
        <f t="shared" si="11"/>
        <v>70611.180183798235</v>
      </c>
      <c r="AF114">
        <f t="shared" si="7"/>
        <v>37.310529477382694</v>
      </c>
    </row>
    <row r="115" spans="1:32" x14ac:dyDescent="0.25">
      <c r="A115" t="s">
        <v>35</v>
      </c>
      <c r="B115">
        <v>-3</v>
      </c>
      <c r="C115">
        <v>0.48423100000000002</v>
      </c>
      <c r="D115">
        <v>5.8242099999999998E-2</v>
      </c>
      <c r="E115">
        <v>0.18962100000000001</v>
      </c>
      <c r="F115">
        <v>-3</v>
      </c>
      <c r="G115">
        <v>29.947500000000002</v>
      </c>
      <c r="H115">
        <v>90.25</v>
      </c>
      <c r="I115">
        <v>8.3795199999999994</v>
      </c>
      <c r="J115" t="s">
        <v>3</v>
      </c>
      <c r="K115">
        <v>0</v>
      </c>
      <c r="M115">
        <v>438</v>
      </c>
      <c r="N115">
        <f>INDEX(script.out!B:B,$M115)</f>
        <v>0.48423100000000002</v>
      </c>
      <c r="O115">
        <f>INDEX(script.out!C:C,$M115)</f>
        <v>5.8242099999999998E-2</v>
      </c>
      <c r="P115">
        <f>INDEX(script.out!D:D,$M115)</f>
        <v>0.18962100000000001</v>
      </c>
      <c r="Q115">
        <f>INDEX(script.out!E:E,$M115)</f>
        <v>29.9474573158735</v>
      </c>
      <c r="R115">
        <f>INDEX(script.out!F:F,$M115)</f>
        <v>90.25</v>
      </c>
      <c r="S115">
        <f>INDEX(script.out!G:G,$M115)</f>
        <v>8.3795180814411694</v>
      </c>
      <c r="T115" t="str">
        <f>INDEX(script.out!H:H,$M115)</f>
        <v>{</v>
      </c>
      <c r="U115">
        <f>INDEX(script.out!I:I,$M115)</f>
        <v>0.687384</v>
      </c>
      <c r="V115">
        <f>INDEX(script.out!J:J,$M115)</f>
        <v>129.12105</v>
      </c>
      <c r="W115">
        <f>INDEX(script.out!K:K,$M115)</f>
        <v>121.87639</v>
      </c>
      <c r="X115" t="str">
        <f>INDEX(script.out!L:L,$M115)</f>
        <v>}</v>
      </c>
      <c r="Y115" t="str">
        <f>INDEX(script.out!M:M,$M115)</f>
        <v>{</v>
      </c>
      <c r="Z115">
        <f>INDEX(script.out!N:N,$M115)</f>
        <v>15.472427004161201</v>
      </c>
      <c r="AA115">
        <f>INDEX(script.out!O:O,$M115)</f>
        <v>17.5</v>
      </c>
      <c r="AB115">
        <f>INDEX(script.out!P:P,$M115)</f>
        <v>8356.58</v>
      </c>
      <c r="AC115" t="str">
        <f>INDEX(script.out!Q:Q,$M115)</f>
        <v>}</v>
      </c>
      <c r="AD115">
        <f t="shared" si="10"/>
        <v>3</v>
      </c>
      <c r="AE115">
        <f t="shared" si="11"/>
        <v>65824.825211473915</v>
      </c>
      <c r="AF115">
        <f t="shared" si="7"/>
        <v>30.04503125508295</v>
      </c>
    </row>
    <row r="116" spans="1:32" x14ac:dyDescent="0.25">
      <c r="A116" t="s">
        <v>35</v>
      </c>
      <c r="B116">
        <v>-3</v>
      </c>
      <c r="C116">
        <v>0.54724600000000001</v>
      </c>
      <c r="D116">
        <v>2.8610500000000001E-2</v>
      </c>
      <c r="E116">
        <v>0.16910900000000001</v>
      </c>
      <c r="F116">
        <v>-3</v>
      </c>
      <c r="G116">
        <v>13.6683</v>
      </c>
      <c r="H116">
        <v>100</v>
      </c>
      <c r="I116">
        <v>0.345808</v>
      </c>
      <c r="J116" t="s">
        <v>3</v>
      </c>
      <c r="K116">
        <v>0</v>
      </c>
      <c r="M116">
        <v>496</v>
      </c>
      <c r="N116">
        <f>INDEX(script.out!B:B,$M116)</f>
        <v>0.54724600000000001</v>
      </c>
      <c r="O116">
        <f>INDEX(script.out!C:C,$M116)</f>
        <v>2.8610500000000001E-2</v>
      </c>
      <c r="P116">
        <f>INDEX(script.out!D:D,$M116)</f>
        <v>0.16910900000000001</v>
      </c>
      <c r="Q116">
        <f>INDEX(script.out!E:E,$M116)</f>
        <v>13.6683023327585</v>
      </c>
      <c r="R116">
        <f>INDEX(script.out!F:F,$M116)</f>
        <v>100</v>
      </c>
      <c r="S116">
        <f>INDEX(script.out!G:G,$M116)</f>
        <v>0.345808441358603</v>
      </c>
      <c r="T116" t="str">
        <f>INDEX(script.out!H:H,$M116)</f>
        <v>{</v>
      </c>
      <c r="U116">
        <f>INDEX(script.out!I:I,$M116)</f>
        <v>0.73779600000000001</v>
      </c>
      <c r="V116">
        <f>INDEX(script.out!J:J,$M116)</f>
        <v>114.30525</v>
      </c>
      <c r="W116">
        <f>INDEX(script.out!K:K,$M116)</f>
        <v>109.77431</v>
      </c>
      <c r="X116" t="str">
        <f>INDEX(script.out!L:L,$M116)</f>
        <v>}</v>
      </c>
      <c r="Y116" t="str">
        <f>INDEX(script.out!M:M,$M116)</f>
        <v>{</v>
      </c>
      <c r="Z116">
        <f>INDEX(script.out!N:N,$M116)</f>
        <v>13.6970667200848</v>
      </c>
      <c r="AA116">
        <f>INDEX(script.out!O:O,$M116)</f>
        <v>18</v>
      </c>
      <c r="AB116">
        <f>INDEX(script.out!P:P,$M116)</f>
        <v>7514.64</v>
      </c>
      <c r="AC116" t="str">
        <f>INDEX(script.out!Q:Q,$M116)</f>
        <v>}</v>
      </c>
      <c r="AD116">
        <f t="shared" si="10"/>
        <v>3</v>
      </c>
      <c r="AE116">
        <f t="shared" si="11"/>
        <v>60225.62624220705</v>
      </c>
      <c r="AF116">
        <f t="shared" si="7"/>
        <v>30.569241677004474</v>
      </c>
    </row>
    <row r="117" spans="1:32" x14ac:dyDescent="0.25">
      <c r="A117" t="s">
        <v>35</v>
      </c>
      <c r="B117">
        <v>-3</v>
      </c>
      <c r="C117">
        <v>0.58903499999999998</v>
      </c>
      <c r="D117">
        <v>-2.26424E-2</v>
      </c>
      <c r="E117">
        <v>0.14132400000000001</v>
      </c>
      <c r="F117">
        <v>-3</v>
      </c>
      <c r="G117">
        <v>0.39222499999999999</v>
      </c>
      <c r="H117">
        <v>132.25</v>
      </c>
      <c r="I117">
        <v>23.522500000000001</v>
      </c>
      <c r="J117" t="s">
        <v>3</v>
      </c>
      <c r="K117">
        <v>0</v>
      </c>
      <c r="M117">
        <v>503</v>
      </c>
      <c r="N117">
        <f>INDEX(script.out!B:B,$M117)</f>
        <v>0.58903499999999998</v>
      </c>
      <c r="O117">
        <f>INDEX(script.out!C:C,$M117)</f>
        <v>-2.26424E-2</v>
      </c>
      <c r="P117">
        <f>INDEX(script.out!D:D,$M117)</f>
        <v>0.14132400000000001</v>
      </c>
      <c r="Q117">
        <f>INDEX(script.out!E:E,$M117)</f>
        <v>0.39222497592724698</v>
      </c>
      <c r="R117">
        <f>INDEX(script.out!F:F,$M117)</f>
        <v>132.25</v>
      </c>
      <c r="S117">
        <f>INDEX(script.out!G:G,$M117)</f>
        <v>23.522500000000001</v>
      </c>
      <c r="T117" t="str">
        <f>INDEX(script.out!H:H,$M117)</f>
        <v>{</v>
      </c>
      <c r="U117">
        <f>INDEX(script.out!I:I,$M117)</f>
        <v>0.77122800000000002</v>
      </c>
      <c r="V117">
        <f>INDEX(script.out!J:J,$M117)</f>
        <v>88.678799999999995</v>
      </c>
      <c r="W117">
        <f>INDEX(script.out!K:K,$M117)</f>
        <v>93.381159999999994</v>
      </c>
      <c r="X117" t="str">
        <f>INDEX(script.out!L:L,$M117)</f>
        <v>}</v>
      </c>
      <c r="Y117" t="str">
        <f>INDEX(script.out!M:M,$M117)</f>
        <v>{</v>
      </c>
      <c r="Z117">
        <f>INDEX(script.out!N:N,$M117)</f>
        <v>10.6262786727386</v>
      </c>
      <c r="AA117">
        <f>INDEX(script.out!O:O,$M117)</f>
        <v>19.5</v>
      </c>
      <c r="AB117">
        <f>INDEX(script.out!P:P,$M117)</f>
        <v>5529.75</v>
      </c>
      <c r="AC117" t="str">
        <f>INDEX(script.out!Q:Q,$M117)</f>
        <v>}</v>
      </c>
      <c r="AD117">
        <f t="shared" si="10"/>
        <v>3</v>
      </c>
      <c r="AE117">
        <f t="shared" si="11"/>
        <v>48594.101981791915</v>
      </c>
      <c r="AF117">
        <f t="shared" si="7"/>
        <v>33.518886601206091</v>
      </c>
    </row>
    <row r="118" spans="1:32" x14ac:dyDescent="0.25">
      <c r="A118" t="s">
        <v>35</v>
      </c>
      <c r="B118">
        <v>-3</v>
      </c>
      <c r="C118">
        <v>0.48207100000000003</v>
      </c>
      <c r="D118">
        <v>-3.8701399999999997E-2</v>
      </c>
      <c r="E118">
        <v>0.14272000000000001</v>
      </c>
      <c r="F118">
        <v>-3</v>
      </c>
      <c r="G118">
        <v>0.11282</v>
      </c>
      <c r="H118">
        <v>144</v>
      </c>
      <c r="I118">
        <v>21.435099999999998</v>
      </c>
      <c r="J118" t="s">
        <v>3</v>
      </c>
      <c r="K118">
        <v>0</v>
      </c>
      <c r="M118">
        <v>538</v>
      </c>
      <c r="N118">
        <f>INDEX(script.out!B:B,$M118)</f>
        <v>0.48207100000000003</v>
      </c>
      <c r="O118">
        <f>INDEX(script.out!C:C,$M118)</f>
        <v>-3.8701399999999997E-2</v>
      </c>
      <c r="P118">
        <f>INDEX(script.out!D:D,$M118)</f>
        <v>0.14272000000000001</v>
      </c>
      <c r="Q118">
        <f>INDEX(script.out!E:E,$M118)</f>
        <v>0.112820132395655</v>
      </c>
      <c r="R118">
        <f>INDEX(script.out!F:F,$M118)</f>
        <v>144</v>
      </c>
      <c r="S118">
        <f>INDEX(script.out!G:G,$M118)</f>
        <v>21.435124146368899</v>
      </c>
      <c r="T118" t="str">
        <f>INDEX(script.out!H:H,$M118)</f>
        <v>{</v>
      </c>
      <c r="U118">
        <f>INDEX(script.out!I:I,$M118)</f>
        <v>0.68565600000000004</v>
      </c>
      <c r="V118">
        <f>INDEX(script.out!J:J,$M118)</f>
        <v>80.649299999999997</v>
      </c>
      <c r="W118">
        <f>INDEX(script.out!K:K,$M118)</f>
        <v>94.204800000000006</v>
      </c>
      <c r="X118" t="str">
        <f>INDEX(script.out!L:L,$M118)</f>
        <v>}</v>
      </c>
      <c r="Y118" t="str">
        <f>INDEX(script.out!M:M,$M118)</f>
        <v>{</v>
      </c>
      <c r="Z118">
        <f>INDEX(script.out!N:N,$M118)</f>
        <v>9.6641129171943998</v>
      </c>
      <c r="AA118">
        <f>INDEX(script.out!O:O,$M118)</f>
        <v>20</v>
      </c>
      <c r="AB118">
        <f>INDEX(script.out!P:P,$M118)</f>
        <v>5610.12</v>
      </c>
      <c r="AC118" t="str">
        <f>INDEX(script.out!Q:Q,$M118)</f>
        <v>}</v>
      </c>
      <c r="AD118">
        <f t="shared" si="10"/>
        <v>3</v>
      </c>
      <c r="AE118">
        <f t="shared" si="11"/>
        <v>54686.885087579212</v>
      </c>
      <c r="AF118">
        <f t="shared" si="7"/>
        <v>37.181127630328803</v>
      </c>
    </row>
    <row r="119" spans="1:32" x14ac:dyDescent="0.25">
      <c r="A119" t="s">
        <v>35</v>
      </c>
      <c r="B119">
        <v>-3</v>
      </c>
      <c r="C119">
        <v>0.56523000000000001</v>
      </c>
      <c r="D119">
        <v>9.6899600000000002E-2</v>
      </c>
      <c r="E119">
        <v>0.30128700000000003</v>
      </c>
      <c r="F119">
        <v>-3</v>
      </c>
      <c r="G119">
        <v>60.661799999999999</v>
      </c>
      <c r="H119">
        <v>72.25</v>
      </c>
      <c r="I119">
        <v>0.56192500000000001</v>
      </c>
      <c r="J119" t="s">
        <v>3</v>
      </c>
      <c r="K119">
        <v>0</v>
      </c>
      <c r="M119">
        <v>575</v>
      </c>
      <c r="N119">
        <f>INDEX(script.out!B:B,$M119)</f>
        <v>0.56523000000000001</v>
      </c>
      <c r="O119">
        <f>INDEX(script.out!C:C,$M119)</f>
        <v>9.6899600000000002E-2</v>
      </c>
      <c r="P119">
        <f>INDEX(script.out!D:D,$M119)</f>
        <v>0.30128700000000003</v>
      </c>
      <c r="Q119">
        <f>INDEX(script.out!E:E,$M119)</f>
        <v>60.661805500033502</v>
      </c>
      <c r="R119">
        <f>INDEX(script.out!F:F,$M119)</f>
        <v>72.25</v>
      </c>
      <c r="S119">
        <f>INDEX(script.out!G:G,$M119)</f>
        <v>0.56192480465378103</v>
      </c>
      <c r="T119" t="str">
        <f>INDEX(script.out!H:H,$M119)</f>
        <v>{</v>
      </c>
      <c r="U119">
        <f>INDEX(script.out!I:I,$M119)</f>
        <v>0.75217999999999996</v>
      </c>
      <c r="V119">
        <f>INDEX(script.out!J:J,$M119)</f>
        <v>148.44980000000001</v>
      </c>
      <c r="W119">
        <f>INDEX(script.out!K:K,$M119)</f>
        <v>187.75933000000001</v>
      </c>
      <c r="X119" t="str">
        <f>INDEX(script.out!L:L,$M119)</f>
        <v>}</v>
      </c>
      <c r="Y119" t="str">
        <f>INDEX(script.out!M:M,$M119)</f>
        <v>{</v>
      </c>
      <c r="Z119">
        <f>INDEX(script.out!N:N,$M119)</f>
        <v>17.788568899357099</v>
      </c>
      <c r="AA119">
        <f>INDEX(script.out!O:O,$M119)</f>
        <v>16.5</v>
      </c>
      <c r="AB119">
        <f>INDEX(script.out!P:P,$M119)</f>
        <v>7026.39</v>
      </c>
      <c r="AC119" t="str">
        <f>INDEX(script.out!Q:Q,$M119)</f>
        <v>}</v>
      </c>
      <c r="AD119">
        <f t="shared" si="10"/>
        <v>3</v>
      </c>
      <c r="AE119">
        <f t="shared" si="11"/>
        <v>74163.935625331855</v>
      </c>
      <c r="AF119">
        <f t="shared" si="7"/>
        <v>40.259839327668203</v>
      </c>
    </row>
    <row r="120" spans="1:32" x14ac:dyDescent="0.25">
      <c r="A120" t="s">
        <v>35</v>
      </c>
      <c r="B120">
        <v>-3</v>
      </c>
      <c r="C120">
        <v>0.54321600000000003</v>
      </c>
      <c r="D120">
        <v>5.3594799999999998E-2</v>
      </c>
      <c r="E120">
        <v>0.25451499999999999</v>
      </c>
      <c r="F120">
        <v>-3</v>
      </c>
      <c r="G120" s="2">
        <v>26.977499999999999</v>
      </c>
      <c r="H120">
        <v>90.25</v>
      </c>
      <c r="I120">
        <v>13.946</v>
      </c>
      <c r="J120" t="s">
        <v>3</v>
      </c>
      <c r="K120">
        <v>0</v>
      </c>
      <c r="M120">
        <v>590</v>
      </c>
      <c r="N120">
        <f>INDEX(script.out!B:B,$M120)</f>
        <v>0.54321600000000003</v>
      </c>
      <c r="O120">
        <f>INDEX(script.out!C:C,$M120)</f>
        <v>5.3594799999999998E-2</v>
      </c>
      <c r="P120">
        <f>INDEX(script.out!D:D,$M120)</f>
        <v>0.25451499999999999</v>
      </c>
      <c r="Q120">
        <f>INDEX(script.out!E:E,$M120)</f>
        <v>26.9774977937107</v>
      </c>
      <c r="R120">
        <f>INDEX(script.out!F:F,$M120)</f>
        <v>90.25</v>
      </c>
      <c r="S120">
        <f>INDEX(script.out!G:G,$M120)</f>
        <v>13.9460298359917</v>
      </c>
      <c r="T120" t="str">
        <f>INDEX(script.out!H:H,$M120)</f>
        <v>{</v>
      </c>
      <c r="U120">
        <f>INDEX(script.out!I:I,$M120)</f>
        <v>0.734572</v>
      </c>
      <c r="V120">
        <f>INDEX(script.out!J:J,$M120)</f>
        <v>126.7974</v>
      </c>
      <c r="W120">
        <f>INDEX(script.out!K:K,$M120)</f>
        <v>160.16385</v>
      </c>
      <c r="X120" t="str">
        <f>INDEX(script.out!L:L,$M120)</f>
        <v>}</v>
      </c>
      <c r="Y120" t="str">
        <f>INDEX(script.out!M:M,$M120)</f>
        <v>{</v>
      </c>
      <c r="Z120">
        <f>INDEX(script.out!N:N,$M120)</f>
        <v>15.1939866955654</v>
      </c>
      <c r="AA120">
        <f>INDEX(script.out!O:O,$M120)</f>
        <v>17.5</v>
      </c>
      <c r="AB120">
        <f>INDEX(script.out!P:P,$M120)</f>
        <v>5936.93</v>
      </c>
      <c r="AC120" t="str">
        <f>INDEX(script.out!Q:Q,$M120)</f>
        <v>}</v>
      </c>
      <c r="AD120">
        <f t="shared" si="10"/>
        <v>3</v>
      </c>
      <c r="AE120">
        <f t="shared" si="11"/>
        <v>62582.756259621419</v>
      </c>
      <c r="AF120">
        <f t="shared" si="7"/>
        <v>40.207241524083081</v>
      </c>
    </row>
    <row r="121" spans="1:32" x14ac:dyDescent="0.25">
      <c r="A121" t="s">
        <v>35</v>
      </c>
      <c r="B121">
        <v>-3</v>
      </c>
      <c r="C121">
        <v>0.44580399999999998</v>
      </c>
      <c r="D121">
        <v>3.7364399999999999E-2</v>
      </c>
      <c r="E121">
        <v>0.17447599999999999</v>
      </c>
      <c r="F121">
        <v>-3</v>
      </c>
      <c r="G121">
        <v>17.8215</v>
      </c>
      <c r="H121">
        <v>110.25</v>
      </c>
      <c r="I121">
        <v>2.88255E-2</v>
      </c>
      <c r="J121" t="s">
        <v>3</v>
      </c>
      <c r="K121">
        <v>0</v>
      </c>
      <c r="M121">
        <v>592</v>
      </c>
      <c r="N121">
        <f>INDEX(script.out!B:B,$M121)</f>
        <v>0.44580399999999998</v>
      </c>
      <c r="O121">
        <f>INDEX(script.out!C:C,$M121)</f>
        <v>3.7364399999999999E-2</v>
      </c>
      <c r="P121">
        <f>INDEX(script.out!D:D,$M121)</f>
        <v>0.17447599999999999</v>
      </c>
      <c r="Q121">
        <f>INDEX(script.out!E:E,$M121)</f>
        <v>17.821497975026499</v>
      </c>
      <c r="R121">
        <f>INDEX(script.out!F:F,$M121)</f>
        <v>110.25</v>
      </c>
      <c r="S121">
        <f>INDEX(script.out!G:G,$M121)</f>
        <v>2.8825527491086501E-2</v>
      </c>
      <c r="T121" t="str">
        <f>INDEX(script.out!H:H,$M121)</f>
        <v>{</v>
      </c>
      <c r="U121">
        <f>INDEX(script.out!I:I,$M121)</f>
        <v>0.65664299999999998</v>
      </c>
      <c r="V121">
        <f>INDEX(script.out!J:J,$M121)</f>
        <v>118.68219999999999</v>
      </c>
      <c r="W121">
        <f>INDEX(script.out!K:K,$M121)</f>
        <v>112.94083999999999</v>
      </c>
      <c r="X121" t="str">
        <f>INDEX(script.out!L:L,$M121)</f>
        <v>}</v>
      </c>
      <c r="Y121" t="str">
        <f>INDEX(script.out!M:M,$M121)</f>
        <v>{</v>
      </c>
      <c r="Z121">
        <f>INDEX(script.out!N:N,$M121)</f>
        <v>14.2215516075285</v>
      </c>
      <c r="AA121">
        <f>INDEX(script.out!O:O,$M121)</f>
        <v>18.5</v>
      </c>
      <c r="AB121">
        <f>INDEX(script.out!P:P,$M121)</f>
        <v>7238.03</v>
      </c>
      <c r="AC121" t="str">
        <f>INDEX(script.out!Q:Q,$M121)</f>
        <v>}</v>
      </c>
      <c r="AD121">
        <f t="shared" si="10"/>
        <v>3</v>
      </c>
      <c r="AE121">
        <f t="shared" si="11"/>
        <v>57481.012670407501</v>
      </c>
      <c r="AF121">
        <f t="shared" si="7"/>
        <v>30.291135423763389</v>
      </c>
    </row>
    <row r="122" spans="1:32" x14ac:dyDescent="0.25">
      <c r="A122" t="s">
        <v>35</v>
      </c>
      <c r="B122">
        <v>-3</v>
      </c>
      <c r="C122">
        <v>0.54935699999999998</v>
      </c>
      <c r="D122">
        <v>3.6383400000000003E-2</v>
      </c>
      <c r="E122">
        <v>0.17711099999999999</v>
      </c>
      <c r="F122">
        <v>-3</v>
      </c>
      <c r="G122">
        <v>17.328700000000001</v>
      </c>
      <c r="H122">
        <v>100</v>
      </c>
      <c r="I122">
        <v>7.92461E-2</v>
      </c>
      <c r="J122" t="s">
        <v>3</v>
      </c>
      <c r="K122">
        <v>0</v>
      </c>
      <c r="M122">
        <v>650</v>
      </c>
      <c r="N122">
        <f>INDEX(script.out!B:B,$M122)</f>
        <v>0.54935699999999998</v>
      </c>
      <c r="O122">
        <f>INDEX(script.out!C:C,$M122)</f>
        <v>3.6383400000000003E-2</v>
      </c>
      <c r="P122">
        <f>INDEX(script.out!D:D,$M122)</f>
        <v>0.17711099999999999</v>
      </c>
      <c r="Q122">
        <f>INDEX(script.out!E:E,$M122)</f>
        <v>17.328700332382699</v>
      </c>
      <c r="R122">
        <f>INDEX(script.out!F:F,$M122)</f>
        <v>100</v>
      </c>
      <c r="S122">
        <f>INDEX(script.out!G:G,$M122)</f>
        <v>7.9246106211296602E-2</v>
      </c>
      <c r="T122" t="str">
        <f>INDEX(script.out!H:H,$M122)</f>
        <v>{</v>
      </c>
      <c r="U122">
        <f>INDEX(script.out!I:I,$M122)</f>
        <v>0.73948499999999995</v>
      </c>
      <c r="V122">
        <f>INDEX(script.out!J:J,$M122)</f>
        <v>118.1917</v>
      </c>
      <c r="W122">
        <f>INDEX(script.out!K:K,$M122)</f>
        <v>114.49549</v>
      </c>
      <c r="X122" t="str">
        <f>INDEX(script.out!L:L,$M122)</f>
        <v>}</v>
      </c>
      <c r="Y122" t="str">
        <f>INDEX(script.out!M:M,$M122)</f>
        <v>{</v>
      </c>
      <c r="Z122">
        <f>INDEX(script.out!N:N,$M122)</f>
        <v>14.1627755563305</v>
      </c>
      <c r="AA122">
        <f>INDEX(script.out!O:O,$M122)</f>
        <v>18</v>
      </c>
      <c r="AB122">
        <f>INDEX(script.out!P:P,$M122)</f>
        <v>7402.75</v>
      </c>
      <c r="AC122" t="str">
        <f>INDEX(script.out!Q:Q,$M122)</f>
        <v>}</v>
      </c>
      <c r="AD122">
        <f t="shared" si="10"/>
        <v>3</v>
      </c>
      <c r="AE122">
        <f t="shared" si="11"/>
        <v>59845.71916898356</v>
      </c>
      <c r="AF122">
        <f t="shared" si="7"/>
        <v>30.835537851183584</v>
      </c>
    </row>
    <row r="123" spans="1:32" x14ac:dyDescent="0.25">
      <c r="A123" t="s">
        <v>35</v>
      </c>
      <c r="B123">
        <v>-3</v>
      </c>
      <c r="C123">
        <v>0.55617000000000005</v>
      </c>
      <c r="D123">
        <v>6.4415700000000006E-2</v>
      </c>
      <c r="E123">
        <v>0.207145</v>
      </c>
      <c r="F123">
        <v>-3</v>
      </c>
      <c r="G123">
        <v>34.132599999999996</v>
      </c>
      <c r="H123">
        <v>90.25</v>
      </c>
      <c r="I123">
        <v>2.1404099999999999E-2</v>
      </c>
      <c r="J123" t="s">
        <v>3</v>
      </c>
      <c r="K123">
        <v>0</v>
      </c>
      <c r="M123">
        <v>697</v>
      </c>
      <c r="N123">
        <f>INDEX(script.out!B:B,$M123)</f>
        <v>0.55617000000000005</v>
      </c>
      <c r="O123">
        <f>INDEX(script.out!C:C,$M123)</f>
        <v>6.4415700000000006E-2</v>
      </c>
      <c r="P123">
        <f>INDEX(script.out!D:D,$M123)</f>
        <v>0.207145</v>
      </c>
      <c r="Q123">
        <f>INDEX(script.out!E:E,$M123)</f>
        <v>34.132641054529998</v>
      </c>
      <c r="R123">
        <f>INDEX(script.out!F:F,$M123)</f>
        <v>90.25</v>
      </c>
      <c r="S123">
        <f>INDEX(script.out!G:G,$M123)</f>
        <v>2.1404090823794301E-2</v>
      </c>
      <c r="T123" t="str">
        <f>INDEX(script.out!H:H,$M123)</f>
        <v>{</v>
      </c>
      <c r="U123">
        <f>INDEX(script.out!I:I,$M123)</f>
        <v>0.74492999999999998</v>
      </c>
      <c r="V123">
        <f>INDEX(script.out!J:J,$M123)</f>
        <v>132.20785000000001</v>
      </c>
      <c r="W123">
        <f>INDEX(script.out!K:K,$M123)</f>
        <v>132.21555000000001</v>
      </c>
      <c r="X123" t="str">
        <f>INDEX(script.out!L:L,$M123)</f>
        <v>}</v>
      </c>
      <c r="Y123" t="str">
        <f>INDEX(script.out!M:M,$M123)</f>
        <v>{</v>
      </c>
      <c r="Z123">
        <f>INDEX(script.out!N:N,$M123)</f>
        <v>15.842314700059299</v>
      </c>
      <c r="AA123">
        <f>INDEX(script.out!O:O,$M123)</f>
        <v>17.5</v>
      </c>
      <c r="AB123">
        <f>INDEX(script.out!P:P,$M123)</f>
        <v>7246.6</v>
      </c>
      <c r="AC123" t="str">
        <f>INDEX(script.out!Q:Q,$M123)</f>
        <v>}</v>
      </c>
      <c r="AD123">
        <f t="shared" si="10"/>
        <v>3</v>
      </c>
      <c r="AE123">
        <f t="shared" si="11"/>
        <v>60478.107067675766</v>
      </c>
      <c r="AF123">
        <f t="shared" si="7"/>
        <v>31.832842506876322</v>
      </c>
    </row>
    <row r="124" spans="1:32" x14ac:dyDescent="0.25">
      <c r="A124" t="s">
        <v>35</v>
      </c>
      <c r="B124">
        <v>-3</v>
      </c>
      <c r="C124">
        <v>0.50305299999999997</v>
      </c>
      <c r="D124">
        <v>-2.0377300000000001E-2</v>
      </c>
      <c r="E124">
        <v>0.13814499999999999</v>
      </c>
      <c r="F124">
        <v>-3</v>
      </c>
      <c r="G124">
        <v>0.58062999999999998</v>
      </c>
      <c r="H124">
        <v>132.25</v>
      </c>
      <c r="I124">
        <v>6.5738200000000004</v>
      </c>
      <c r="J124" t="s">
        <v>3</v>
      </c>
      <c r="K124">
        <v>0</v>
      </c>
      <c r="M124">
        <v>749</v>
      </c>
      <c r="N124">
        <f>INDEX(script.out!B:B,$M124)</f>
        <v>0.50305299999999997</v>
      </c>
      <c r="O124">
        <f>INDEX(script.out!C:C,$M124)</f>
        <v>-2.0377300000000001E-2</v>
      </c>
      <c r="P124">
        <f>INDEX(script.out!D:D,$M124)</f>
        <v>0.13814499999999999</v>
      </c>
      <c r="Q124">
        <f>INDEX(script.out!E:E,$M124)</f>
        <v>0.58063003633717403</v>
      </c>
      <c r="R124">
        <f>INDEX(script.out!F:F,$M124)</f>
        <v>132.25</v>
      </c>
      <c r="S124">
        <f>INDEX(script.out!G:G,$M124)</f>
        <v>6.5738150167010598</v>
      </c>
      <c r="T124" t="str">
        <f>INDEX(script.out!H:H,$M124)</f>
        <v>{</v>
      </c>
      <c r="U124">
        <f>INDEX(script.out!I:I,$M124)</f>
        <v>0.70244200000000001</v>
      </c>
      <c r="V124">
        <f>INDEX(script.out!J:J,$M124)</f>
        <v>89.811350000000004</v>
      </c>
      <c r="W124">
        <f>INDEX(script.out!K:K,$M124)</f>
        <v>91.505549999999999</v>
      </c>
      <c r="X124" t="str">
        <f>INDEX(script.out!L:L,$M124)</f>
        <v>}</v>
      </c>
      <c r="Y124" t="str">
        <f>INDEX(script.out!M:M,$M124)</f>
        <v>{</v>
      </c>
      <c r="Z124">
        <f>INDEX(script.out!N:N,$M124)</f>
        <v>10.7619908374364</v>
      </c>
      <c r="AA124">
        <f>INDEX(script.out!O:O,$M124)</f>
        <v>19.5</v>
      </c>
      <c r="AB124">
        <f>INDEX(script.out!P:P,$M124)</f>
        <v>6364.16</v>
      </c>
      <c r="AC124" t="str">
        <f>INDEX(script.out!Q:Q,$M124)</f>
        <v>}</v>
      </c>
      <c r="AD124">
        <f t="shared" si="10"/>
        <v>3</v>
      </c>
      <c r="AE124">
        <f t="shared" si="11"/>
        <v>54112.289248772693</v>
      </c>
      <c r="AF124">
        <f t="shared" si="7"/>
        <v>32.43144792466115</v>
      </c>
    </row>
    <row r="125" spans="1:32" x14ac:dyDescent="0.25">
      <c r="A125" t="s">
        <v>35</v>
      </c>
      <c r="B125">
        <v>-3</v>
      </c>
      <c r="C125">
        <v>0.60672899999999996</v>
      </c>
      <c r="D125">
        <v>-2.5474299999999998E-2</v>
      </c>
      <c r="E125">
        <v>0.170762</v>
      </c>
      <c r="F125">
        <v>-3</v>
      </c>
      <c r="G125">
        <v>0.20849000000000001</v>
      </c>
      <c r="H125">
        <v>132.25</v>
      </c>
      <c r="I125">
        <v>47.471699999999998</v>
      </c>
      <c r="J125" t="s">
        <v>3</v>
      </c>
      <c r="K125">
        <v>0</v>
      </c>
      <c r="M125">
        <v>784</v>
      </c>
      <c r="N125">
        <f>INDEX(script.out!B:B,$M125)</f>
        <v>0.60672899999999996</v>
      </c>
      <c r="O125">
        <f>INDEX(script.out!C:C,$M125)</f>
        <v>-2.5474299999999998E-2</v>
      </c>
      <c r="P125">
        <f>INDEX(script.out!D:D,$M125)</f>
        <v>0.170762</v>
      </c>
      <c r="Q125">
        <f>INDEX(script.out!E:E,$M125)</f>
        <v>0.208489963218534</v>
      </c>
      <c r="R125">
        <f>INDEX(script.out!F:F,$M125)</f>
        <v>132.25</v>
      </c>
      <c r="S125">
        <f>INDEX(script.out!G:G,$M125)</f>
        <v>47.471722466503998</v>
      </c>
      <c r="T125" t="str">
        <f>INDEX(script.out!H:H,$M125)</f>
        <v>{</v>
      </c>
      <c r="U125">
        <f>INDEX(script.out!I:I,$M125)</f>
        <v>0.78538300000000005</v>
      </c>
      <c r="V125">
        <f>INDEX(script.out!J:J,$M125)</f>
        <v>87.26285</v>
      </c>
      <c r="W125">
        <f>INDEX(script.out!K:K,$M125)</f>
        <v>110.74957999999999</v>
      </c>
      <c r="X125" t="str">
        <f>INDEX(script.out!L:L,$M125)</f>
        <v>}</v>
      </c>
      <c r="Y125" t="str">
        <f>INDEX(script.out!M:M,$M125)</f>
        <v>{</v>
      </c>
      <c r="Z125">
        <f>INDEX(script.out!N:N,$M125)</f>
        <v>10.456607011793</v>
      </c>
      <c r="AA125">
        <f>INDEX(script.out!O:O,$M125)</f>
        <v>19.5</v>
      </c>
      <c r="AB125">
        <f>INDEX(script.out!P:P,$M125)</f>
        <v>4785.16</v>
      </c>
      <c r="AC125" t="str">
        <f>INDEX(script.out!Q:Q,$M125)</f>
        <v>}</v>
      </c>
      <c r="AD125">
        <f t="shared" si="10"/>
        <v>3</v>
      </c>
      <c r="AE125">
        <f t="shared" si="11"/>
        <v>50681.302226918866</v>
      </c>
      <c r="AF125">
        <f t="shared" si="7"/>
        <v>40.398275101836141</v>
      </c>
    </row>
    <row r="126" spans="1:32" x14ac:dyDescent="0.25">
      <c r="A126" t="s">
        <v>35</v>
      </c>
      <c r="B126">
        <v>-3</v>
      </c>
      <c r="C126">
        <v>0.56772999999999996</v>
      </c>
      <c r="D126">
        <v>1.31012E-2</v>
      </c>
      <c r="E126">
        <v>0.15041099999999999</v>
      </c>
      <c r="F126">
        <v>-3</v>
      </c>
      <c r="G126">
        <v>7.66092</v>
      </c>
      <c r="H126">
        <v>110.25</v>
      </c>
      <c r="I126">
        <v>1.44665</v>
      </c>
      <c r="J126" t="s">
        <v>3</v>
      </c>
      <c r="K126">
        <v>0</v>
      </c>
      <c r="M126">
        <v>847</v>
      </c>
      <c r="N126">
        <f>INDEX(script.out!B:B,$M126)</f>
        <v>0.56772999999999996</v>
      </c>
      <c r="O126">
        <f>INDEX(script.out!C:C,$M126)</f>
        <v>1.31012E-2</v>
      </c>
      <c r="P126">
        <f>INDEX(script.out!D:D,$M126)</f>
        <v>0.15041099999999999</v>
      </c>
      <c r="Q126">
        <f>INDEX(script.out!E:E,$M126)</f>
        <v>7.6609157028274204</v>
      </c>
      <c r="R126">
        <f>INDEX(script.out!F:F,$M126)</f>
        <v>110.25</v>
      </c>
      <c r="S126">
        <f>INDEX(script.out!G:G,$M126)</f>
        <v>1.4466487528617</v>
      </c>
      <c r="T126" t="str">
        <f>INDEX(script.out!H:H,$M126)</f>
        <v>{</v>
      </c>
      <c r="U126">
        <f>INDEX(script.out!I:I,$M126)</f>
        <v>0.75417999999999996</v>
      </c>
      <c r="V126">
        <f>INDEX(script.out!J:J,$M126)</f>
        <v>106.5506</v>
      </c>
      <c r="W126">
        <f>INDEX(script.out!K:K,$M126)</f>
        <v>98.742490000000004</v>
      </c>
      <c r="X126" t="str">
        <f>INDEX(script.out!L:L,$M126)</f>
        <v>}</v>
      </c>
      <c r="Y126" t="str">
        <f>INDEX(script.out!M:M,$M126)</f>
        <v>{</v>
      </c>
      <c r="Z126">
        <f>INDEX(script.out!N:N,$M126)</f>
        <v>12.767835924116</v>
      </c>
      <c r="AA126">
        <f>INDEX(script.out!O:O,$M126)</f>
        <v>18.5</v>
      </c>
      <c r="AB126">
        <f>INDEX(script.out!P:P,$M126)</f>
        <v>6860.99</v>
      </c>
      <c r="AC126" t="str">
        <f>INDEX(script.out!Q:Q,$M126)</f>
        <v>}</v>
      </c>
      <c r="AD126">
        <f t="shared" si="10"/>
        <v>3</v>
      </c>
      <c r="AE126">
        <f t="shared" si="11"/>
        <v>53060.772435639337</v>
      </c>
      <c r="AF126">
        <f t="shared" si="7"/>
        <v>29.498389266136549</v>
      </c>
    </row>
    <row r="127" spans="1:32" x14ac:dyDescent="0.25">
      <c r="A127" t="s">
        <v>35</v>
      </c>
      <c r="B127">
        <v>-3</v>
      </c>
      <c r="C127">
        <v>0.54430599999999996</v>
      </c>
      <c r="D127">
        <v>-2.3185000000000001E-2</v>
      </c>
      <c r="E127">
        <v>8.7140400000000007E-2</v>
      </c>
      <c r="F127">
        <v>-3</v>
      </c>
      <c r="G127">
        <v>0.35256199999999999</v>
      </c>
      <c r="H127">
        <v>144</v>
      </c>
      <c r="I127">
        <v>4.4353499999999997</v>
      </c>
      <c r="J127" t="s">
        <v>3</v>
      </c>
      <c r="K127">
        <v>0</v>
      </c>
      <c r="M127">
        <v>905</v>
      </c>
      <c r="N127">
        <f>INDEX(script.out!B:B,$M127)</f>
        <v>0.54430599999999996</v>
      </c>
      <c r="O127">
        <f>INDEX(script.out!C:C,$M127)</f>
        <v>-2.3185000000000001E-2</v>
      </c>
      <c r="P127">
        <f>INDEX(script.out!D:D,$M127)</f>
        <v>8.7140400000000007E-2</v>
      </c>
      <c r="Q127">
        <f>INDEX(script.out!E:E,$M127)</f>
        <v>0.35256175074437801</v>
      </c>
      <c r="R127">
        <f>INDEX(script.out!F:F,$M127)</f>
        <v>144</v>
      </c>
      <c r="S127">
        <f>INDEX(script.out!G:G,$M127)</f>
        <v>4.4353513980108801</v>
      </c>
      <c r="T127" t="str">
        <f>INDEX(script.out!H:H,$M127)</f>
        <v>{</v>
      </c>
      <c r="U127">
        <f>INDEX(script.out!I:I,$M127)</f>
        <v>0.73544399999999999</v>
      </c>
      <c r="V127">
        <f>INDEX(script.out!J:J,$M127)</f>
        <v>88.407499999999999</v>
      </c>
      <c r="W127">
        <f>INDEX(script.out!K:K,$M127)</f>
        <v>61.412835999999999</v>
      </c>
      <c r="X127" t="str">
        <f>INDEX(script.out!L:L,$M127)</f>
        <v>}</v>
      </c>
      <c r="Y127" t="str">
        <f>INDEX(script.out!M:M,$M127)</f>
        <v>{</v>
      </c>
      <c r="Z127">
        <f>INDEX(script.out!N:N,$M127)</f>
        <v>10.5937691055826</v>
      </c>
      <c r="AA127">
        <f>INDEX(script.out!O:O,$M127)</f>
        <v>20</v>
      </c>
      <c r="AB127">
        <f>INDEX(script.out!P:P,$M127)</f>
        <v>8068.7</v>
      </c>
      <c r="AC127" t="str">
        <f>INDEX(script.out!Q:Q,$M127)</f>
        <v>}</v>
      </c>
      <c r="AD127">
        <f t="shared" si="10"/>
        <v>3</v>
      </c>
      <c r="AE127">
        <f t="shared" si="11"/>
        <v>46774.830081210166</v>
      </c>
      <c r="AF127">
        <f t="shared" si="7"/>
        <v>22.111600076219556</v>
      </c>
    </row>
    <row r="128" spans="1:32" x14ac:dyDescent="0.25">
      <c r="A128" t="s">
        <v>36</v>
      </c>
      <c r="B128">
        <v>-3</v>
      </c>
      <c r="C128">
        <v>0.29924800000000001</v>
      </c>
      <c r="D128">
        <v>-3.3107200000000003E-2</v>
      </c>
      <c r="E128">
        <v>0.48025099999999998</v>
      </c>
      <c r="F128">
        <v>-3</v>
      </c>
      <c r="G128">
        <v>5.09517E-7</v>
      </c>
      <c r="H128">
        <v>144</v>
      </c>
      <c r="I128">
        <v>214.59399999999999</v>
      </c>
      <c r="J128" t="s">
        <v>3</v>
      </c>
      <c r="K128">
        <v>0</v>
      </c>
      <c r="M128" t="e">
        <v>#N/A</v>
      </c>
      <c r="N128" t="e">
        <f>INDEX(script.out!B:B,$M128)</f>
        <v>#N/A</v>
      </c>
      <c r="O128" t="e">
        <f>INDEX(script.out!C:C,$M128)</f>
        <v>#N/A</v>
      </c>
      <c r="P128" t="e">
        <f>INDEX(script.out!D:D,$M128)</f>
        <v>#N/A</v>
      </c>
      <c r="Q128" t="e">
        <f>INDEX(script.out!E:E,$M128)</f>
        <v>#N/A</v>
      </c>
      <c r="R128" t="e">
        <f>INDEX(script.out!F:F,$M128)</f>
        <v>#N/A</v>
      </c>
      <c r="S128" t="e">
        <f>INDEX(script.out!G:G,$M128)</f>
        <v>#N/A</v>
      </c>
      <c r="T128" t="e">
        <f>INDEX(script.out!H:H,$M128)</f>
        <v>#N/A</v>
      </c>
      <c r="U128" t="e">
        <f>INDEX(script.out!I:I,$M128)</f>
        <v>#N/A</v>
      </c>
      <c r="V128" t="e">
        <f>INDEX(script.out!J:J,$M128)</f>
        <v>#N/A</v>
      </c>
      <c r="W128" t="e">
        <f>INDEX(script.out!K:K,$M128)</f>
        <v>#N/A</v>
      </c>
      <c r="X128" t="e">
        <f>INDEX(script.out!L:L,$M128)</f>
        <v>#N/A</v>
      </c>
      <c r="Y128" t="e">
        <f>INDEX(script.out!M:M,$M128)</f>
        <v>#N/A</v>
      </c>
      <c r="Z128" t="e">
        <f>INDEX(script.out!N:N,$M128)</f>
        <v>#N/A</v>
      </c>
      <c r="AA128" t="e">
        <f>INDEX(script.out!O:O,$M128)</f>
        <v>#N/A</v>
      </c>
      <c r="AB128" t="e">
        <f>INDEX(script.out!P:P,$M128)</f>
        <v>#N/A</v>
      </c>
      <c r="AC128" t="e">
        <f>INDEX(script.out!Q:Q,$M128)</f>
        <v>#N/A</v>
      </c>
      <c r="AD128">
        <f t="shared" si="10"/>
        <v>4</v>
      </c>
      <c r="AE128" t="e">
        <f t="shared" si="11"/>
        <v>#N/A</v>
      </c>
      <c r="AF128" t="e">
        <f t="shared" si="7"/>
        <v>#N/A</v>
      </c>
    </row>
    <row r="129" spans="1:32" x14ac:dyDescent="0.25">
      <c r="A129" t="s">
        <v>36</v>
      </c>
      <c r="B129">
        <v>-3</v>
      </c>
      <c r="C129">
        <v>0.21041199999999999</v>
      </c>
      <c r="D129">
        <v>9.7856200000000004E-2</v>
      </c>
      <c r="E129">
        <v>0.18779199999999999</v>
      </c>
      <c r="F129">
        <v>-3</v>
      </c>
      <c r="G129">
        <v>61.557899999999997</v>
      </c>
      <c r="H129">
        <v>90.25</v>
      </c>
      <c r="I129">
        <v>1.4730599999999999E-4</v>
      </c>
      <c r="J129" t="s">
        <v>3</v>
      </c>
      <c r="K129">
        <v>0</v>
      </c>
      <c r="M129" t="e">
        <v>#N/A</v>
      </c>
      <c r="N129" t="e">
        <f>INDEX(script.out!B:B,$M129)</f>
        <v>#N/A</v>
      </c>
      <c r="O129" t="e">
        <f>INDEX(script.out!C:C,$M129)</f>
        <v>#N/A</v>
      </c>
      <c r="P129" t="e">
        <f>INDEX(script.out!D:D,$M129)</f>
        <v>#N/A</v>
      </c>
      <c r="Q129" t="e">
        <f>INDEX(script.out!E:E,$M129)</f>
        <v>#N/A</v>
      </c>
      <c r="R129" t="e">
        <f>INDEX(script.out!F:F,$M129)</f>
        <v>#N/A</v>
      </c>
      <c r="S129" t="e">
        <f>INDEX(script.out!G:G,$M129)</f>
        <v>#N/A</v>
      </c>
      <c r="T129" t="e">
        <f>INDEX(script.out!H:H,$M129)</f>
        <v>#N/A</v>
      </c>
      <c r="U129" t="e">
        <f>INDEX(script.out!I:I,$M129)</f>
        <v>#N/A</v>
      </c>
      <c r="V129" t="e">
        <f>INDEX(script.out!J:J,$M129)</f>
        <v>#N/A</v>
      </c>
      <c r="W129" t="e">
        <f>INDEX(script.out!K:K,$M129)</f>
        <v>#N/A</v>
      </c>
      <c r="X129" t="e">
        <f>INDEX(script.out!L:L,$M129)</f>
        <v>#N/A</v>
      </c>
      <c r="Y129" t="e">
        <f>INDEX(script.out!M:M,$M129)</f>
        <v>#N/A</v>
      </c>
      <c r="Z129" t="e">
        <f>INDEX(script.out!N:N,$M129)</f>
        <v>#N/A</v>
      </c>
      <c r="AA129" t="e">
        <f>INDEX(script.out!O:O,$M129)</f>
        <v>#N/A</v>
      </c>
      <c r="AB129" t="e">
        <f>INDEX(script.out!P:P,$M129)</f>
        <v>#N/A</v>
      </c>
      <c r="AC129" t="e">
        <f>INDEX(script.out!Q:Q,$M129)</f>
        <v>#N/A</v>
      </c>
      <c r="AD129">
        <f t="shared" si="10"/>
        <v>4</v>
      </c>
      <c r="AE129" t="e">
        <f t="shared" si="11"/>
        <v>#N/A</v>
      </c>
      <c r="AF129" t="e">
        <f t="shared" si="7"/>
        <v>#N/A</v>
      </c>
    </row>
    <row r="130" spans="1:32" x14ac:dyDescent="0.25">
      <c r="A130" t="s">
        <v>36</v>
      </c>
      <c r="B130">
        <v>-3</v>
      </c>
      <c r="C130">
        <v>0.27617000000000003</v>
      </c>
      <c r="D130">
        <v>-3.1364999999999997E-2</v>
      </c>
      <c r="E130">
        <v>0.428589</v>
      </c>
      <c r="F130">
        <v>-3</v>
      </c>
      <c r="G130">
        <v>1.07473E-2</v>
      </c>
      <c r="H130">
        <v>132.25</v>
      </c>
      <c r="I130">
        <v>202.4</v>
      </c>
      <c r="J130" t="s">
        <v>3</v>
      </c>
      <c r="K130">
        <v>0</v>
      </c>
      <c r="M130" t="e">
        <v>#N/A</v>
      </c>
      <c r="N130" t="e">
        <f>INDEX(script.out!B:B,$M130)</f>
        <v>#N/A</v>
      </c>
      <c r="O130" t="e">
        <f>INDEX(script.out!C:C,$M130)</f>
        <v>#N/A</v>
      </c>
      <c r="P130" t="e">
        <f>INDEX(script.out!D:D,$M130)</f>
        <v>#N/A</v>
      </c>
      <c r="Q130" t="e">
        <f>INDEX(script.out!E:E,$M130)</f>
        <v>#N/A</v>
      </c>
      <c r="R130" t="e">
        <f>INDEX(script.out!F:F,$M130)</f>
        <v>#N/A</v>
      </c>
      <c r="S130" t="e">
        <f>INDEX(script.out!G:G,$M130)</f>
        <v>#N/A</v>
      </c>
      <c r="T130" t="e">
        <f>INDEX(script.out!H:H,$M130)</f>
        <v>#N/A</v>
      </c>
      <c r="U130" t="e">
        <f>INDEX(script.out!I:I,$M130)</f>
        <v>#N/A</v>
      </c>
      <c r="V130" t="e">
        <f>INDEX(script.out!J:J,$M130)</f>
        <v>#N/A</v>
      </c>
      <c r="W130" t="e">
        <f>INDEX(script.out!K:K,$M130)</f>
        <v>#N/A</v>
      </c>
      <c r="X130" t="e">
        <f>INDEX(script.out!L:L,$M130)</f>
        <v>#N/A</v>
      </c>
      <c r="Y130" t="e">
        <f>INDEX(script.out!M:M,$M130)</f>
        <v>#N/A</v>
      </c>
      <c r="Z130" t="e">
        <f>INDEX(script.out!N:N,$M130)</f>
        <v>#N/A</v>
      </c>
      <c r="AA130" t="e">
        <f>INDEX(script.out!O:O,$M130)</f>
        <v>#N/A</v>
      </c>
      <c r="AB130" t="e">
        <f>INDEX(script.out!P:P,$M130)</f>
        <v>#N/A</v>
      </c>
      <c r="AC130" t="e">
        <f>INDEX(script.out!Q:Q,$M130)</f>
        <v>#N/A</v>
      </c>
      <c r="AD130">
        <f t="shared" ref="AD130:AD145" si="12">IF(A130="set1",1)+IF(A130="set2",2)+IF(A130="set3",3)+IF(A130="set4",4)</f>
        <v>4</v>
      </c>
      <c r="AE130" t="e">
        <f t="shared" ref="AE130:AE145" si="13">W130*AB130/Z130</f>
        <v>#N/A</v>
      </c>
      <c r="AF130" t="e">
        <f t="shared" si="7"/>
        <v>#N/A</v>
      </c>
    </row>
    <row r="131" spans="1:32" x14ac:dyDescent="0.25">
      <c r="A131" t="s">
        <v>36</v>
      </c>
      <c r="B131">
        <v>-3</v>
      </c>
      <c r="C131">
        <v>0.163518</v>
      </c>
      <c r="D131">
        <v>-3.15538E-2</v>
      </c>
      <c r="E131">
        <v>0.166688</v>
      </c>
      <c r="F131">
        <v>-3</v>
      </c>
      <c r="G131">
        <v>8.5298600000000002E-3</v>
      </c>
      <c r="H131">
        <v>144</v>
      </c>
      <c r="I131">
        <v>85.587299999999999</v>
      </c>
      <c r="J131" t="s">
        <v>3</v>
      </c>
      <c r="K131">
        <v>0</v>
      </c>
      <c r="M131" t="e">
        <v>#N/A</v>
      </c>
      <c r="N131" t="e">
        <f>INDEX(script.out!B:B,$M131)</f>
        <v>#N/A</v>
      </c>
      <c r="O131" t="e">
        <f>INDEX(script.out!C:C,$M131)</f>
        <v>#N/A</v>
      </c>
      <c r="P131" t="e">
        <f>INDEX(script.out!D:D,$M131)</f>
        <v>#N/A</v>
      </c>
      <c r="Q131" t="e">
        <f>INDEX(script.out!E:E,$M131)</f>
        <v>#N/A</v>
      </c>
      <c r="R131" t="e">
        <f>INDEX(script.out!F:F,$M131)</f>
        <v>#N/A</v>
      </c>
      <c r="S131" t="e">
        <f>INDEX(script.out!G:G,$M131)</f>
        <v>#N/A</v>
      </c>
      <c r="T131" t="e">
        <f>INDEX(script.out!H:H,$M131)</f>
        <v>#N/A</v>
      </c>
      <c r="U131" t="e">
        <f>INDEX(script.out!I:I,$M131)</f>
        <v>#N/A</v>
      </c>
      <c r="V131" t="e">
        <f>INDEX(script.out!J:J,$M131)</f>
        <v>#N/A</v>
      </c>
      <c r="W131" t="e">
        <f>INDEX(script.out!K:K,$M131)</f>
        <v>#N/A</v>
      </c>
      <c r="X131" t="e">
        <f>INDEX(script.out!L:L,$M131)</f>
        <v>#N/A</v>
      </c>
      <c r="Y131" t="e">
        <f>INDEX(script.out!M:M,$M131)</f>
        <v>#N/A</v>
      </c>
      <c r="Z131" t="e">
        <f>INDEX(script.out!N:N,$M131)</f>
        <v>#N/A</v>
      </c>
      <c r="AA131" t="e">
        <f>INDEX(script.out!O:O,$M131)</f>
        <v>#N/A</v>
      </c>
      <c r="AB131" t="e">
        <f>INDEX(script.out!P:P,$M131)</f>
        <v>#N/A</v>
      </c>
      <c r="AC131" t="e">
        <f>INDEX(script.out!Q:Q,$M131)</f>
        <v>#N/A</v>
      </c>
      <c r="AD131">
        <f t="shared" si="12"/>
        <v>4</v>
      </c>
      <c r="AE131" t="e">
        <f t="shared" si="13"/>
        <v>#N/A</v>
      </c>
      <c r="AF131" t="e">
        <f t="shared" ref="AF131:AF145" si="14">W131/(PI()*1*V131/100)</f>
        <v>#N/A</v>
      </c>
    </row>
    <row r="132" spans="1:32" x14ac:dyDescent="0.25">
      <c r="A132" t="s">
        <v>36</v>
      </c>
      <c r="B132">
        <v>-3</v>
      </c>
      <c r="C132">
        <v>0.27349400000000001</v>
      </c>
      <c r="D132">
        <v>-2.9712100000000002E-2</v>
      </c>
      <c r="E132">
        <v>0.42296099999999998</v>
      </c>
      <c r="F132">
        <v>-3</v>
      </c>
      <c r="G132">
        <v>4.1088E-2</v>
      </c>
      <c r="H132">
        <v>132.25</v>
      </c>
      <c r="I132">
        <v>198.87200000000001</v>
      </c>
      <c r="J132" t="s">
        <v>3</v>
      </c>
      <c r="K132">
        <v>0</v>
      </c>
      <c r="M132" t="e">
        <v>#N/A</v>
      </c>
      <c r="N132" t="e">
        <f>INDEX(script.out!B:B,$M132)</f>
        <v>#N/A</v>
      </c>
      <c r="O132" t="e">
        <f>INDEX(script.out!C:C,$M132)</f>
        <v>#N/A</v>
      </c>
      <c r="P132" t="e">
        <f>INDEX(script.out!D:D,$M132)</f>
        <v>#N/A</v>
      </c>
      <c r="Q132" t="e">
        <f>INDEX(script.out!E:E,$M132)</f>
        <v>#N/A</v>
      </c>
      <c r="R132" t="e">
        <f>INDEX(script.out!F:F,$M132)</f>
        <v>#N/A</v>
      </c>
      <c r="S132" t="e">
        <f>INDEX(script.out!G:G,$M132)</f>
        <v>#N/A</v>
      </c>
      <c r="T132" t="e">
        <f>INDEX(script.out!H:H,$M132)</f>
        <v>#N/A</v>
      </c>
      <c r="U132" t="e">
        <f>INDEX(script.out!I:I,$M132)</f>
        <v>#N/A</v>
      </c>
      <c r="V132" t="e">
        <f>INDEX(script.out!J:J,$M132)</f>
        <v>#N/A</v>
      </c>
      <c r="W132" t="e">
        <f>INDEX(script.out!K:K,$M132)</f>
        <v>#N/A</v>
      </c>
      <c r="X132" t="e">
        <f>INDEX(script.out!L:L,$M132)</f>
        <v>#N/A</v>
      </c>
      <c r="Y132" t="e">
        <f>INDEX(script.out!M:M,$M132)</f>
        <v>#N/A</v>
      </c>
      <c r="Z132" t="e">
        <f>INDEX(script.out!N:N,$M132)</f>
        <v>#N/A</v>
      </c>
      <c r="AA132" t="e">
        <f>INDEX(script.out!O:O,$M132)</f>
        <v>#N/A</v>
      </c>
      <c r="AB132" t="e">
        <f>INDEX(script.out!P:P,$M132)</f>
        <v>#N/A</v>
      </c>
      <c r="AC132" t="e">
        <f>INDEX(script.out!Q:Q,$M132)</f>
        <v>#N/A</v>
      </c>
      <c r="AD132">
        <f t="shared" si="12"/>
        <v>4</v>
      </c>
      <c r="AE132" t="e">
        <f t="shared" si="13"/>
        <v>#N/A</v>
      </c>
      <c r="AF132" t="e">
        <f t="shared" si="14"/>
        <v>#N/A</v>
      </c>
    </row>
    <row r="133" spans="1:32" x14ac:dyDescent="0.25">
      <c r="A133" t="s">
        <v>36</v>
      </c>
      <c r="B133">
        <v>-3</v>
      </c>
      <c r="C133">
        <v>0.15789</v>
      </c>
      <c r="D133">
        <v>6.3966999999999996E-2</v>
      </c>
      <c r="E133">
        <v>0.136075</v>
      </c>
      <c r="F133">
        <v>-3</v>
      </c>
      <c r="G133">
        <v>33.819200000000002</v>
      </c>
      <c r="H133">
        <v>90.25</v>
      </c>
      <c r="I133">
        <v>0.11262</v>
      </c>
      <c r="J133" t="s">
        <v>3</v>
      </c>
      <c r="K133">
        <v>0</v>
      </c>
      <c r="M133">
        <v>163</v>
      </c>
      <c r="N133">
        <f>INDEX(script.out!B:B,$M133)</f>
        <v>0.15789</v>
      </c>
      <c r="O133">
        <f>INDEX(script.out!C:C,$M133)</f>
        <v>6.3966999999999996E-2</v>
      </c>
      <c r="P133">
        <f>INDEX(script.out!D:D,$M133)</f>
        <v>0.136075</v>
      </c>
      <c r="Q133">
        <f>INDEX(script.out!E:E,$M133)</f>
        <v>33.819238849037397</v>
      </c>
      <c r="R133">
        <f>INDEX(script.out!F:F,$M133)</f>
        <v>90.25</v>
      </c>
      <c r="S133">
        <f>INDEX(script.out!G:G,$M133)</f>
        <v>0.112620004503659</v>
      </c>
      <c r="T133" t="str">
        <f>INDEX(script.out!H:H,$M133)</f>
        <v>{</v>
      </c>
      <c r="U133">
        <f>INDEX(script.out!I:I,$M133)</f>
        <v>0.42631000000000002</v>
      </c>
      <c r="V133">
        <f>INDEX(script.out!J:J,$M133)</f>
        <v>131.98349999999999</v>
      </c>
      <c r="W133">
        <f>INDEX(script.out!K:K,$M133)</f>
        <v>90.28425</v>
      </c>
      <c r="X133" t="str">
        <f>INDEX(script.out!L:L,$M133)</f>
        <v>}</v>
      </c>
      <c r="Y133" t="str">
        <f>INDEX(script.out!M:M,$M133)</f>
        <v>{</v>
      </c>
      <c r="Z133">
        <f>INDEX(script.out!N:N,$M133)</f>
        <v>15.815431097436999</v>
      </c>
      <c r="AA133">
        <f>INDEX(script.out!O:O,$M133)</f>
        <v>17.5</v>
      </c>
      <c r="AB133">
        <f>INDEX(script.out!P:P,$M133)</f>
        <v>7177.51</v>
      </c>
      <c r="AC133" t="str">
        <f>INDEX(script.out!Q:Q,$M133)</f>
        <v>}</v>
      </c>
      <c r="AD133">
        <f t="shared" si="12"/>
        <v>4</v>
      </c>
      <c r="AE133">
        <f t="shared" si="13"/>
        <v>40973.66067514375</v>
      </c>
      <c r="AF133">
        <f t="shared" si="14"/>
        <v>21.774213702234675</v>
      </c>
    </row>
    <row r="134" spans="1:32" x14ac:dyDescent="0.25">
      <c r="A134" t="s">
        <v>36</v>
      </c>
      <c r="B134">
        <v>-3</v>
      </c>
      <c r="C134">
        <v>9.0392100000000003E-2</v>
      </c>
      <c r="D134">
        <v>4.2994900000000003E-2</v>
      </c>
      <c r="E134">
        <v>0.19017999999999999</v>
      </c>
      <c r="F134">
        <v>-3</v>
      </c>
      <c r="G134">
        <v>20.7836</v>
      </c>
      <c r="H134">
        <v>90.25</v>
      </c>
      <c r="I134">
        <v>56.951999999999998</v>
      </c>
      <c r="J134" t="s">
        <v>3</v>
      </c>
      <c r="K134">
        <v>0</v>
      </c>
      <c r="M134">
        <v>272</v>
      </c>
      <c r="N134">
        <f>INDEX(script.out!B:B,$M134)</f>
        <v>9.0392100000000003E-2</v>
      </c>
      <c r="O134">
        <f>INDEX(script.out!C:C,$M134)</f>
        <v>4.2994900000000003E-2</v>
      </c>
      <c r="P134">
        <f>INDEX(script.out!D:D,$M134)</f>
        <v>0.19017999999999999</v>
      </c>
      <c r="Q134">
        <f>INDEX(script.out!E:E,$M134)</f>
        <v>20.7835671954949</v>
      </c>
      <c r="R134">
        <f>INDEX(script.out!F:F,$M134)</f>
        <v>90.25</v>
      </c>
      <c r="S134">
        <f>INDEX(script.out!G:G,$M134)</f>
        <v>56.952039939200603</v>
      </c>
      <c r="T134" t="str">
        <f>INDEX(script.out!H:H,$M134)</f>
        <v>{</v>
      </c>
      <c r="U134">
        <f>INDEX(script.out!I:I,$M134)</f>
        <v>0.37231360000000002</v>
      </c>
      <c r="V134">
        <f>INDEX(script.out!J:J,$M134)</f>
        <v>121.49745</v>
      </c>
      <c r="W134">
        <f>INDEX(script.out!K:K,$M134)</f>
        <v>122.2062</v>
      </c>
      <c r="X134" t="str">
        <f>INDEX(script.out!L:L,$M134)</f>
        <v>}</v>
      </c>
      <c r="Y134" t="str">
        <f>INDEX(script.out!M:M,$M134)</f>
        <v>{</v>
      </c>
      <c r="Z134">
        <f>INDEX(script.out!N:N,$M134)</f>
        <v>14.558899779057899</v>
      </c>
      <c r="AA134">
        <f>INDEX(script.out!O:O,$M134)</f>
        <v>17.5</v>
      </c>
      <c r="AB134">
        <f>INDEX(script.out!P:P,$M134)</f>
        <v>4545.47</v>
      </c>
      <c r="AC134" t="str">
        <f>INDEX(script.out!Q:Q,$M134)</f>
        <v>}</v>
      </c>
      <c r="AD134">
        <f t="shared" si="12"/>
        <v>4</v>
      </c>
      <c r="AE134">
        <f t="shared" si="13"/>
        <v>38154.299043464198</v>
      </c>
      <c r="AF134">
        <f t="shared" si="14"/>
        <v>32.016673282405151</v>
      </c>
    </row>
    <row r="135" spans="1:32" x14ac:dyDescent="0.25">
      <c r="A135" t="s">
        <v>36</v>
      </c>
      <c r="B135">
        <v>-3</v>
      </c>
      <c r="C135">
        <v>0.162244</v>
      </c>
      <c r="D135">
        <v>-3.34326E-2</v>
      </c>
      <c r="E135">
        <v>0.18544099999999999</v>
      </c>
      <c r="F135">
        <v>-3</v>
      </c>
      <c r="G135">
        <v>4.0844200000000002E-4</v>
      </c>
      <c r="H135">
        <v>144</v>
      </c>
      <c r="I135">
        <v>103.658</v>
      </c>
      <c r="J135" t="s">
        <v>3</v>
      </c>
      <c r="K135">
        <v>0</v>
      </c>
      <c r="M135">
        <v>300</v>
      </c>
      <c r="N135">
        <f>INDEX(script.out!B:B,$M135)</f>
        <v>0.162244</v>
      </c>
      <c r="O135">
        <f>INDEX(script.out!C:C,$M135)</f>
        <v>-3.34326E-2</v>
      </c>
      <c r="P135">
        <f>INDEX(script.out!D:D,$M135)</f>
        <v>0.18544099999999999</v>
      </c>
      <c r="Q135">
        <f>INDEX(script.out!E:E,$M135)</f>
        <v>4.0844243871109498E-4</v>
      </c>
      <c r="R135">
        <f>INDEX(script.out!F:F,$M135)</f>
        <v>144</v>
      </c>
      <c r="S135">
        <f>INDEX(script.out!G:G,$M135)</f>
        <v>103.657502889848</v>
      </c>
      <c r="T135" t="str">
        <f>INDEX(script.out!H:H,$M135)</f>
        <v>{</v>
      </c>
      <c r="U135">
        <f>INDEX(script.out!I:I,$M135)</f>
        <v>0.42979499999999998</v>
      </c>
      <c r="V135">
        <f>INDEX(script.out!J:J,$M135)</f>
        <v>83.283699999999996</v>
      </c>
      <c r="W135">
        <f>INDEX(script.out!K:K,$M135)</f>
        <v>119.41019</v>
      </c>
      <c r="X135" t="str">
        <f>INDEX(script.out!L:L,$M135)</f>
        <v>}</v>
      </c>
      <c r="Y135" t="str">
        <f>INDEX(script.out!M:M,$M135)</f>
        <v>{</v>
      </c>
      <c r="Z135">
        <f>INDEX(script.out!N:N,$M135)</f>
        <v>9.9797900411006992</v>
      </c>
      <c r="AA135">
        <f>INDEX(script.out!O:O,$M135)</f>
        <v>20</v>
      </c>
      <c r="AB135">
        <f>INDEX(script.out!P:P,$M135)</f>
        <v>3583.85</v>
      </c>
      <c r="AC135" t="str">
        <f>INDEX(script.out!Q:Q,$M135)</f>
        <v>}</v>
      </c>
      <c r="AD135">
        <f t="shared" si="12"/>
        <v>4</v>
      </c>
      <c r="AE135">
        <f t="shared" si="13"/>
        <v>42881.484246566411</v>
      </c>
      <c r="AF135">
        <f t="shared" si="14"/>
        <v>45.638515085286585</v>
      </c>
    </row>
    <row r="136" spans="1:32" x14ac:dyDescent="0.25">
      <c r="A136" t="s">
        <v>36</v>
      </c>
      <c r="B136">
        <v>-3</v>
      </c>
      <c r="C136">
        <v>7.9056799999999997E-2</v>
      </c>
      <c r="D136">
        <v>8.1458799999999994E-3</v>
      </c>
      <c r="E136">
        <v>5.9854200000000003E-2</v>
      </c>
      <c r="F136">
        <v>-3</v>
      </c>
      <c r="G136">
        <v>6.10555</v>
      </c>
      <c r="H136">
        <v>121</v>
      </c>
      <c r="I136">
        <v>4.7760800000000003</v>
      </c>
      <c r="J136" t="s">
        <v>3</v>
      </c>
      <c r="K136">
        <v>0</v>
      </c>
      <c r="M136">
        <v>523</v>
      </c>
      <c r="N136">
        <f>INDEX(script.out!B:B,$M136)</f>
        <v>7.9056799999999997E-2</v>
      </c>
      <c r="O136">
        <f>INDEX(script.out!C:C,$M136)</f>
        <v>8.1458799999999994E-3</v>
      </c>
      <c r="P136">
        <f>INDEX(script.out!D:D,$M136)</f>
        <v>5.9854200000000003E-2</v>
      </c>
      <c r="Q136">
        <f>INDEX(script.out!E:E,$M136)</f>
        <v>6.1055483098314101</v>
      </c>
      <c r="R136">
        <f>INDEX(script.out!F:F,$M136)</f>
        <v>121</v>
      </c>
      <c r="S136">
        <f>INDEX(script.out!G:G,$M136)</f>
        <v>4.7760809337586698</v>
      </c>
      <c r="T136" t="str">
        <f>INDEX(script.out!H:H,$M136)</f>
        <v>{</v>
      </c>
      <c r="U136">
        <f>INDEX(script.out!I:I,$M136)</f>
        <v>0.3632454</v>
      </c>
      <c r="V136">
        <f>INDEX(script.out!J:J,$M136)</f>
        <v>104.07294</v>
      </c>
      <c r="W136">
        <f>INDEX(script.out!K:K,$M136)</f>
        <v>45.313977999999999</v>
      </c>
      <c r="X136" t="str">
        <f>INDEX(script.out!L:L,$M136)</f>
        <v>}</v>
      </c>
      <c r="Y136" t="str">
        <f>INDEX(script.out!M:M,$M136)</f>
        <v>{</v>
      </c>
      <c r="Z136">
        <f>INDEX(script.out!N:N,$M136)</f>
        <v>12.4709407742459</v>
      </c>
      <c r="AA136">
        <f>INDEX(script.out!O:O,$M136)</f>
        <v>19</v>
      </c>
      <c r="AB136">
        <f>INDEX(script.out!P:P,$M136)</f>
        <v>8097.68</v>
      </c>
      <c r="AC136" t="str">
        <f>INDEX(script.out!Q:Q,$M136)</f>
        <v>}</v>
      </c>
      <c r="AD136">
        <f t="shared" si="12"/>
        <v>4</v>
      </c>
      <c r="AE136">
        <f t="shared" si="13"/>
        <v>29423.449282095418</v>
      </c>
      <c r="AF136">
        <f t="shared" si="14"/>
        <v>13.859402049865022</v>
      </c>
    </row>
    <row r="137" spans="1:32" x14ac:dyDescent="0.25">
      <c r="A137" t="s">
        <v>36</v>
      </c>
      <c r="B137">
        <v>-3</v>
      </c>
      <c r="C137">
        <v>0.121097</v>
      </c>
      <c r="D137">
        <v>-2.8728400000000001E-2</v>
      </c>
      <c r="E137">
        <v>0.222551</v>
      </c>
      <c r="F137">
        <v>-3</v>
      </c>
      <c r="G137">
        <v>6.8455199999999994E-2</v>
      </c>
      <c r="H137">
        <v>132.25</v>
      </c>
      <c r="I137">
        <v>137.191</v>
      </c>
      <c r="J137" t="s">
        <v>3</v>
      </c>
      <c r="K137">
        <v>0</v>
      </c>
      <c r="M137">
        <v>545</v>
      </c>
      <c r="N137">
        <f>INDEX(script.out!B:B,$M137)</f>
        <v>0.121097</v>
      </c>
      <c r="O137">
        <f>INDEX(script.out!C:C,$M137)</f>
        <v>-2.8728400000000001E-2</v>
      </c>
      <c r="P137">
        <f>INDEX(script.out!D:D,$M137)</f>
        <v>0.222551</v>
      </c>
      <c r="Q137">
        <f>INDEX(script.out!E:E,$M137)</f>
        <v>6.8455217753633904E-2</v>
      </c>
      <c r="R137">
        <f>INDEX(script.out!F:F,$M137)</f>
        <v>132.25</v>
      </c>
      <c r="S137">
        <f>INDEX(script.out!G:G,$M137)</f>
        <v>137.19083907749999</v>
      </c>
      <c r="T137" t="str">
        <f>INDEX(script.out!H:H,$M137)</f>
        <v>{</v>
      </c>
      <c r="U137">
        <f>INDEX(script.out!I:I,$M137)</f>
        <v>0.39687699999999998</v>
      </c>
      <c r="V137">
        <f>INDEX(script.out!J:J,$M137)</f>
        <v>85.635800000000003</v>
      </c>
      <c r="W137">
        <f>INDEX(script.out!K:K,$M137)</f>
        <v>141.30509000000001</v>
      </c>
      <c r="X137" t="str">
        <f>INDEX(script.out!L:L,$M137)</f>
        <v>}</v>
      </c>
      <c r="Y137" t="str">
        <f>INDEX(script.out!M:M,$M137)</f>
        <v>{</v>
      </c>
      <c r="Z137">
        <f>INDEX(script.out!N:N,$M137)</f>
        <v>10.2616394804948</v>
      </c>
      <c r="AA137">
        <f>INDEX(script.out!O:O,$M137)</f>
        <v>19.5</v>
      </c>
      <c r="AB137">
        <f>INDEX(script.out!P:P,$M137)</f>
        <v>3024.81</v>
      </c>
      <c r="AC137" t="str">
        <f>INDEX(script.out!Q:Q,$M137)</f>
        <v>}</v>
      </c>
      <c r="AD137">
        <f t="shared" si="12"/>
        <v>4</v>
      </c>
      <c r="AE137">
        <f t="shared" si="13"/>
        <v>41652.315898968845</v>
      </c>
      <c r="AF137">
        <f t="shared" si="14"/>
        <v>52.523368865696703</v>
      </c>
    </row>
    <row r="138" spans="1:32" x14ac:dyDescent="0.25">
      <c r="A138" t="s">
        <v>36</v>
      </c>
      <c r="B138">
        <v>-3</v>
      </c>
      <c r="C138">
        <v>0.190052</v>
      </c>
      <c r="D138">
        <v>5.5054199999999998E-2</v>
      </c>
      <c r="E138">
        <v>0.14002999999999999</v>
      </c>
      <c r="F138">
        <v>-3</v>
      </c>
      <c r="G138">
        <v>27.8935</v>
      </c>
      <c r="H138">
        <v>100</v>
      </c>
      <c r="I138">
        <v>1.07989E-2</v>
      </c>
      <c r="J138" t="s">
        <v>3</v>
      </c>
      <c r="K138">
        <v>0</v>
      </c>
      <c r="M138">
        <v>609</v>
      </c>
      <c r="N138">
        <f>INDEX(script.out!B:B,$M138)</f>
        <v>0.190052</v>
      </c>
      <c r="O138">
        <f>INDEX(script.out!C:C,$M138)</f>
        <v>5.5054199999999998E-2</v>
      </c>
      <c r="P138">
        <f>INDEX(script.out!D:D,$M138)</f>
        <v>0.14002999999999999</v>
      </c>
      <c r="Q138">
        <f>INDEX(script.out!E:E,$M138)</f>
        <v>27.893458563471</v>
      </c>
      <c r="R138">
        <f>INDEX(script.out!F:F,$M138)</f>
        <v>100</v>
      </c>
      <c r="S138">
        <f>INDEX(script.out!G:G,$M138)</f>
        <v>1.0798910865077799E-2</v>
      </c>
      <c r="T138" t="str">
        <f>INDEX(script.out!H:H,$M138)</f>
        <v>{</v>
      </c>
      <c r="U138">
        <f>INDEX(script.out!I:I,$M138)</f>
        <v>0.45204100000000003</v>
      </c>
      <c r="V138">
        <f>INDEX(script.out!J:J,$M138)</f>
        <v>127.5271</v>
      </c>
      <c r="W138">
        <f>INDEX(script.out!K:K,$M138)</f>
        <v>92.617699999999999</v>
      </c>
      <c r="X138" t="str">
        <f>INDEX(script.out!L:L,$M138)</f>
        <v>}</v>
      </c>
      <c r="Y138" t="str">
        <f>INDEX(script.out!M:M,$M138)</f>
        <v>{</v>
      </c>
      <c r="Z138">
        <f>INDEX(script.out!N:N,$M138)</f>
        <v>15.2814258078165</v>
      </c>
      <c r="AA138">
        <f>INDEX(script.out!O:O,$M138)</f>
        <v>18</v>
      </c>
      <c r="AB138">
        <f>INDEX(script.out!P:P,$M138)</f>
        <v>7262.07</v>
      </c>
      <c r="AC138" t="str">
        <f>INDEX(script.out!Q:Q,$M138)</f>
        <v>}</v>
      </c>
      <c r="AD138">
        <f t="shared" si="12"/>
        <v>4</v>
      </c>
      <c r="AE138">
        <f t="shared" si="13"/>
        <v>44013.970234044835</v>
      </c>
      <c r="AF138">
        <f t="shared" si="14"/>
        <v>23.117540934910675</v>
      </c>
    </row>
    <row r="139" spans="1:32" x14ac:dyDescent="0.25">
      <c r="A139" t="s">
        <v>36</v>
      </c>
      <c r="B139">
        <v>-3</v>
      </c>
      <c r="C139">
        <v>0.141454</v>
      </c>
      <c r="D139">
        <v>-2.71501E-2</v>
      </c>
      <c r="E139">
        <v>0.16461100000000001</v>
      </c>
      <c r="F139">
        <v>-3</v>
      </c>
      <c r="G139">
        <v>0.12687999999999999</v>
      </c>
      <c r="H139">
        <v>132.25</v>
      </c>
      <c r="I139">
        <v>90.090800000000002</v>
      </c>
      <c r="J139" t="s">
        <v>3</v>
      </c>
      <c r="K139">
        <v>0</v>
      </c>
      <c r="M139">
        <v>660</v>
      </c>
      <c r="N139">
        <f>INDEX(script.out!B:B,$M139)</f>
        <v>0.141454</v>
      </c>
      <c r="O139">
        <f>INDEX(script.out!C:C,$M139)</f>
        <v>-2.71501E-2</v>
      </c>
      <c r="P139">
        <f>INDEX(script.out!D:D,$M139)</f>
        <v>0.16461100000000001</v>
      </c>
      <c r="Q139">
        <f>INDEX(script.out!E:E,$M139)</f>
        <v>0.126880162526089</v>
      </c>
      <c r="R139">
        <f>INDEX(script.out!F:F,$M139)</f>
        <v>132.25</v>
      </c>
      <c r="S139">
        <f>INDEX(script.out!G:G,$M139)</f>
        <v>90.0907826128729</v>
      </c>
      <c r="T139" t="str">
        <f>INDEX(script.out!H:H,$M139)</f>
        <v>{</v>
      </c>
      <c r="U139">
        <f>INDEX(script.out!I:I,$M139)</f>
        <v>0.413163</v>
      </c>
      <c r="V139">
        <f>INDEX(script.out!J:J,$M139)</f>
        <v>86.424949999999995</v>
      </c>
      <c r="W139">
        <f>INDEX(script.out!K:K,$M139)</f>
        <v>107.12049</v>
      </c>
      <c r="X139" t="str">
        <f>INDEX(script.out!L:L,$M139)</f>
        <v>}</v>
      </c>
      <c r="Y139" t="str">
        <f>INDEX(script.out!M:M,$M139)</f>
        <v>{</v>
      </c>
      <c r="Z139">
        <f>INDEX(script.out!N:N,$M139)</f>
        <v>10.3562024179116</v>
      </c>
      <c r="AA139">
        <f>INDEX(script.out!O:O,$M139)</f>
        <v>19.5</v>
      </c>
      <c r="AB139">
        <f>INDEX(script.out!P:P,$M139)</f>
        <v>3835.56</v>
      </c>
      <c r="AC139" t="str">
        <f>INDEX(script.out!Q:Q,$M139)</f>
        <v>}</v>
      </c>
      <c r="AD139">
        <f t="shared" si="12"/>
        <v>4</v>
      </c>
      <c r="AE139">
        <f t="shared" si="13"/>
        <v>39673.526071080232</v>
      </c>
      <c r="AF139">
        <f t="shared" si="14"/>
        <v>39.453318723183401</v>
      </c>
    </row>
    <row r="140" spans="1:32" x14ac:dyDescent="0.25">
      <c r="A140" t="s">
        <v>36</v>
      </c>
      <c r="B140">
        <v>-3</v>
      </c>
      <c r="C140">
        <v>3.8540499999999998E-2</v>
      </c>
      <c r="D140">
        <v>4.3412499999999996E-3</v>
      </c>
      <c r="E140">
        <v>8.6211499999999996E-2</v>
      </c>
      <c r="F140">
        <v>-3</v>
      </c>
      <c r="G140">
        <v>5.0309999999999997</v>
      </c>
      <c r="H140">
        <v>110.25</v>
      </c>
      <c r="I140">
        <v>23.547499999999999</v>
      </c>
      <c r="J140" t="s">
        <v>3</v>
      </c>
      <c r="K140">
        <v>0</v>
      </c>
      <c r="M140">
        <v>745</v>
      </c>
      <c r="N140">
        <f>INDEX(script.out!B:B,$M140)</f>
        <v>3.8540499999999998E-2</v>
      </c>
      <c r="O140">
        <f>INDEX(script.out!C:C,$M140)</f>
        <v>4.3412499999999996E-3</v>
      </c>
      <c r="P140">
        <f>INDEX(script.out!D:D,$M140)</f>
        <v>8.6211499999999996E-2</v>
      </c>
      <c r="Q140">
        <f>INDEX(script.out!E:E,$M140)</f>
        <v>5.0309976551667903</v>
      </c>
      <c r="R140">
        <f>INDEX(script.out!F:F,$M140)</f>
        <v>110.25</v>
      </c>
      <c r="S140">
        <f>INDEX(script.out!G:G,$M140)</f>
        <v>23.547487454306602</v>
      </c>
      <c r="T140" t="str">
        <f>INDEX(script.out!H:H,$M140)</f>
        <v>{</v>
      </c>
      <c r="U140">
        <f>INDEX(script.out!I:I,$M140)</f>
        <v>0.33083240000000003</v>
      </c>
      <c r="V140">
        <f>INDEX(script.out!J:J,$M140)</f>
        <v>102.170625</v>
      </c>
      <c r="W140">
        <f>INDEX(script.out!K:K,$M140)</f>
        <v>60.864784999999998</v>
      </c>
      <c r="X140" t="str">
        <f>INDEX(script.out!L:L,$M140)</f>
        <v>}</v>
      </c>
      <c r="Y140" t="str">
        <f>INDEX(script.out!M:M,$M140)</f>
        <v>{</v>
      </c>
      <c r="Z140">
        <f>INDEX(script.out!N:N,$M140)</f>
        <v>12.2429885543994</v>
      </c>
      <c r="AA140">
        <f>INDEX(script.out!O:O,$M140)</f>
        <v>18.5</v>
      </c>
      <c r="AB140">
        <f>INDEX(script.out!P:P,$M140)</f>
        <v>5528.81</v>
      </c>
      <c r="AC140" t="str">
        <f>INDEX(script.out!Q:Q,$M140)</f>
        <v>}</v>
      </c>
      <c r="AD140">
        <f t="shared" si="12"/>
        <v>4</v>
      </c>
      <c r="AE140">
        <f t="shared" si="13"/>
        <v>27485.922286101333</v>
      </c>
      <c r="AF140">
        <f t="shared" si="14"/>
        <v>18.962263161207918</v>
      </c>
    </row>
    <row r="141" spans="1:32" x14ac:dyDescent="0.25">
      <c r="A141" t="s">
        <v>36</v>
      </c>
      <c r="B141">
        <v>-3</v>
      </c>
      <c r="C141">
        <v>0.137846</v>
      </c>
      <c r="D141">
        <v>-2.7607199999999998E-2</v>
      </c>
      <c r="E141">
        <v>0.208874</v>
      </c>
      <c r="F141">
        <v>-3</v>
      </c>
      <c r="G141">
        <v>0.10811999999999999</v>
      </c>
      <c r="H141">
        <v>132.25</v>
      </c>
      <c r="I141">
        <v>126.051</v>
      </c>
      <c r="J141" t="s">
        <v>3</v>
      </c>
      <c r="K141">
        <v>0</v>
      </c>
      <c r="M141">
        <v>754</v>
      </c>
      <c r="N141">
        <f>INDEX(script.out!B:B,$M141)</f>
        <v>0.137846</v>
      </c>
      <c r="O141">
        <f>INDEX(script.out!C:C,$M141)</f>
        <v>-2.7607199999999998E-2</v>
      </c>
      <c r="P141">
        <f>INDEX(script.out!D:D,$M141)</f>
        <v>0.208874</v>
      </c>
      <c r="Q141">
        <f>INDEX(script.out!E:E,$M141)</f>
        <v>0.108119655476592</v>
      </c>
      <c r="R141">
        <f>INDEX(script.out!F:F,$M141)</f>
        <v>132.25</v>
      </c>
      <c r="S141">
        <f>INDEX(script.out!G:G,$M141)</f>
        <v>126.051373259523</v>
      </c>
      <c r="T141" t="str">
        <f>INDEX(script.out!H:H,$M141)</f>
        <v>{</v>
      </c>
      <c r="U141">
        <f>INDEX(script.out!I:I,$M141)</f>
        <v>0.41027599999999997</v>
      </c>
      <c r="V141">
        <f>INDEX(script.out!J:J,$M141)</f>
        <v>86.196399999999997</v>
      </c>
      <c r="W141">
        <f>INDEX(script.out!K:K,$M141)</f>
        <v>133.23566</v>
      </c>
      <c r="X141" t="str">
        <f>INDEX(script.out!L:L,$M141)</f>
        <v>}</v>
      </c>
      <c r="Y141" t="str">
        <f>INDEX(script.out!M:M,$M141)</f>
        <v>{</v>
      </c>
      <c r="Z141">
        <f>INDEX(script.out!N:N,$M141)</f>
        <v>10.328815534116901</v>
      </c>
      <c r="AA141">
        <f>INDEX(script.out!O:O,$M141)</f>
        <v>19.5</v>
      </c>
      <c r="AB141">
        <f>INDEX(script.out!P:P,$M141)</f>
        <v>3202.05</v>
      </c>
      <c r="AC141" t="str">
        <f>INDEX(script.out!Q:Q,$M141)</f>
        <v>}</v>
      </c>
      <c r="AD141">
        <f t="shared" si="12"/>
        <v>4</v>
      </c>
      <c r="AE141">
        <f t="shared" si="13"/>
        <v>41304.566210309036</v>
      </c>
      <c r="AF141">
        <f t="shared" si="14"/>
        <v>49.201855031326396</v>
      </c>
    </row>
    <row r="142" spans="1:32" x14ac:dyDescent="0.25">
      <c r="A142" t="s">
        <v>36</v>
      </c>
      <c r="B142">
        <v>-3</v>
      </c>
      <c r="C142">
        <v>0.210565</v>
      </c>
      <c r="D142">
        <v>6.5054400000000004E-3</v>
      </c>
      <c r="E142">
        <v>9.6895899999999993E-2</v>
      </c>
      <c r="F142">
        <v>-3</v>
      </c>
      <c r="G142">
        <v>5.6294899999999997</v>
      </c>
      <c r="H142">
        <v>132.25</v>
      </c>
      <c r="I142">
        <v>2.2464999999999999E-5</v>
      </c>
      <c r="J142" t="s">
        <v>3</v>
      </c>
      <c r="K142">
        <v>0</v>
      </c>
      <c r="M142">
        <v>764</v>
      </c>
      <c r="N142">
        <f>INDEX(script.out!B:B,$M142)</f>
        <v>0.210565</v>
      </c>
      <c r="O142">
        <f>INDEX(script.out!C:C,$M142)</f>
        <v>6.5054400000000004E-3</v>
      </c>
      <c r="P142">
        <f>INDEX(script.out!D:D,$M142)</f>
        <v>9.6895899999999993E-2</v>
      </c>
      <c r="Q142">
        <f>INDEX(script.out!E:E,$M142)</f>
        <v>5.6294905837784199</v>
      </c>
      <c r="R142">
        <f>INDEX(script.out!F:F,$M142)</f>
        <v>132.25</v>
      </c>
      <c r="S142">
        <f>INDEX(script.out!G:G,$M142)</f>
        <v>2.2465002814787001E-5</v>
      </c>
      <c r="T142" t="str">
        <f>INDEX(script.out!H:H,$M142)</f>
        <v>{</v>
      </c>
      <c r="U142">
        <f>INDEX(script.out!I:I,$M142)</f>
        <v>0.46845199999999998</v>
      </c>
      <c r="V142">
        <f>INDEX(script.out!J:J,$M142)</f>
        <v>103.25272</v>
      </c>
      <c r="W142">
        <f>INDEX(script.out!K:K,$M142)</f>
        <v>67.168581000000003</v>
      </c>
      <c r="X142" t="str">
        <f>INDEX(script.out!L:L,$M142)</f>
        <v>}</v>
      </c>
      <c r="Y142" t="str">
        <f>INDEX(script.out!M:M,$M142)</f>
        <v>{</v>
      </c>
      <c r="Z142">
        <f>INDEX(script.out!N:N,$M142)</f>
        <v>12.372654754442401</v>
      </c>
      <c r="AA142">
        <f>INDEX(script.out!O:O,$M142)</f>
        <v>19.5</v>
      </c>
      <c r="AB142">
        <f>INDEX(script.out!P:P,$M142)</f>
        <v>7301.73</v>
      </c>
      <c r="AC142" t="str">
        <f>INDEX(script.out!Q:Q,$M142)</f>
        <v>}</v>
      </c>
      <c r="AD142">
        <f t="shared" si="12"/>
        <v>4</v>
      </c>
      <c r="AE142">
        <f t="shared" si="13"/>
        <v>39639.580403634485</v>
      </c>
      <c r="AF142">
        <f t="shared" si="14"/>
        <v>20.706886339882114</v>
      </c>
    </row>
    <row r="143" spans="1:32" x14ac:dyDescent="0.25">
      <c r="A143" t="s">
        <v>36</v>
      </c>
      <c r="B143">
        <v>-3</v>
      </c>
      <c r="C143">
        <v>0.164218</v>
      </c>
      <c r="D143">
        <v>-3.3487000000000003E-2</v>
      </c>
      <c r="E143">
        <v>0.167044</v>
      </c>
      <c r="F143">
        <v>-3</v>
      </c>
      <c r="G143">
        <v>5.5080799999999996E-4</v>
      </c>
      <c r="H143">
        <v>144</v>
      </c>
      <c r="I143">
        <v>88.593999999999994</v>
      </c>
      <c r="J143" t="s">
        <v>3</v>
      </c>
      <c r="K143">
        <v>0</v>
      </c>
      <c r="M143">
        <v>800</v>
      </c>
      <c r="N143">
        <f>INDEX(script.out!B:B,$M143)</f>
        <v>0.164218</v>
      </c>
      <c r="O143">
        <f>INDEX(script.out!C:C,$M143)</f>
        <v>-3.3487000000000003E-2</v>
      </c>
      <c r="P143">
        <f>INDEX(script.out!D:D,$M143)</f>
        <v>0.167044</v>
      </c>
      <c r="Q143">
        <f>INDEX(script.out!E:E,$M143)</f>
        <v>5.5080821308516699E-4</v>
      </c>
      <c r="R143">
        <f>INDEX(script.out!F:F,$M143)</f>
        <v>144</v>
      </c>
      <c r="S143">
        <f>INDEX(script.out!G:G,$M143)</f>
        <v>88.5939958085944</v>
      </c>
      <c r="T143" t="str">
        <f>INDEX(script.out!H:H,$M143)</f>
        <v>{</v>
      </c>
      <c r="U143">
        <f>INDEX(script.out!I:I,$M143)</f>
        <v>0.43137399999999998</v>
      </c>
      <c r="V143">
        <f>INDEX(script.out!J:J,$M143)</f>
        <v>83.256500000000003</v>
      </c>
      <c r="W143">
        <f>INDEX(script.out!K:K,$M143)</f>
        <v>108.55596</v>
      </c>
      <c r="X143" t="str">
        <f>INDEX(script.out!L:L,$M143)</f>
        <v>}</v>
      </c>
      <c r="Y143" t="str">
        <f>INDEX(script.out!M:M,$M143)</f>
        <v>{</v>
      </c>
      <c r="Z143">
        <f>INDEX(script.out!N:N,$M143)</f>
        <v>9.9765306963655593</v>
      </c>
      <c r="AA143">
        <f>INDEX(script.out!O:O,$M143)</f>
        <v>20</v>
      </c>
      <c r="AB143">
        <f>INDEX(script.out!P:P,$M143)</f>
        <v>3864.46</v>
      </c>
      <c r="AC143" t="str">
        <f>INDEX(script.out!Q:Q,$M143)</f>
        <v>}</v>
      </c>
      <c r="AD143">
        <f t="shared" si="12"/>
        <v>4</v>
      </c>
      <c r="AE143">
        <f t="shared" si="13"/>
        <v>42049.704245828383</v>
      </c>
      <c r="AF143">
        <f t="shared" si="14"/>
        <v>41.503588635328335</v>
      </c>
    </row>
    <row r="144" spans="1:32" x14ac:dyDescent="0.25">
      <c r="A144" t="s">
        <v>36</v>
      </c>
      <c r="B144">
        <v>-3</v>
      </c>
      <c r="C144">
        <v>9.8384399999999997E-2</v>
      </c>
      <c r="D144">
        <v>3.41978E-4</v>
      </c>
      <c r="E144">
        <v>0.22852900000000001</v>
      </c>
      <c r="F144">
        <v>-3</v>
      </c>
      <c r="G144">
        <v>4.0135100000000001</v>
      </c>
      <c r="H144">
        <v>121</v>
      </c>
      <c r="I144">
        <v>123.22199999999999</v>
      </c>
      <c r="J144" t="s">
        <v>3</v>
      </c>
      <c r="K144">
        <v>0</v>
      </c>
      <c r="M144">
        <v>858</v>
      </c>
      <c r="N144">
        <f>INDEX(script.out!B:B,$M144)</f>
        <v>9.8384399999999997E-2</v>
      </c>
      <c r="O144">
        <f>INDEX(script.out!C:C,$M144)</f>
        <v>3.41978E-4</v>
      </c>
      <c r="P144">
        <f>INDEX(script.out!D:D,$M144)</f>
        <v>0.22852900000000001</v>
      </c>
      <c r="Q144">
        <f>INDEX(script.out!E:E,$M144)</f>
        <v>4.0135092710057299</v>
      </c>
      <c r="R144">
        <f>INDEX(script.out!F:F,$M144)</f>
        <v>121</v>
      </c>
      <c r="S144">
        <f>INDEX(script.out!G:G,$M144)</f>
        <v>123.22155643535299</v>
      </c>
      <c r="T144" t="str">
        <f>INDEX(script.out!H:H,$M144)</f>
        <v>{</v>
      </c>
      <c r="U144">
        <f>INDEX(script.out!I:I,$M144)</f>
        <v>0.37870749999999997</v>
      </c>
      <c r="V144">
        <f>INDEX(script.out!J:J,$M144)</f>
        <v>100.17098900000001</v>
      </c>
      <c r="W144">
        <f>INDEX(script.out!K:K,$M144)</f>
        <v>144.83211</v>
      </c>
      <c r="X144" t="str">
        <f>INDEX(script.out!L:L,$M144)</f>
        <v>}</v>
      </c>
      <c r="Y144" t="str">
        <f>INDEX(script.out!M:M,$M144)</f>
        <v>{</v>
      </c>
      <c r="Z144">
        <f>INDEX(script.out!N:N,$M144)</f>
        <v>12.003374470987801</v>
      </c>
      <c r="AA144">
        <f>INDEX(script.out!O:O,$M144)</f>
        <v>19</v>
      </c>
      <c r="AB144">
        <f>INDEX(script.out!P:P,$M144)</f>
        <v>3248.31</v>
      </c>
      <c r="AC144" t="str">
        <f>INDEX(script.out!Q:Q,$M144)</f>
        <v>}</v>
      </c>
      <c r="AD144">
        <f t="shared" si="12"/>
        <v>4</v>
      </c>
      <c r="AE144">
        <f t="shared" si="13"/>
        <v>39193.944367161297</v>
      </c>
      <c r="AF144">
        <f t="shared" si="14"/>
        <v>46.022798526885111</v>
      </c>
    </row>
    <row r="145" spans="1:32" x14ac:dyDescent="0.25">
      <c r="A145" t="s">
        <v>36</v>
      </c>
      <c r="B145">
        <v>-3</v>
      </c>
      <c r="C145">
        <v>3.0988000000000002E-2</v>
      </c>
      <c r="D145">
        <v>8.30901E-2</v>
      </c>
      <c r="E145">
        <v>9.5490400000000003E-2</v>
      </c>
      <c r="F145">
        <v>-3</v>
      </c>
      <c r="G145">
        <v>48.457999999999998</v>
      </c>
      <c r="H145">
        <v>72.25</v>
      </c>
      <c r="I145">
        <v>2.2495099999999999</v>
      </c>
      <c r="J145" t="s">
        <v>3</v>
      </c>
      <c r="K145">
        <v>0</v>
      </c>
      <c r="M145">
        <v>903</v>
      </c>
      <c r="N145">
        <f>INDEX(script.out!B:B,$M145)</f>
        <v>3.0988000000000002E-2</v>
      </c>
      <c r="O145">
        <f>INDEX(script.out!C:C,$M145)</f>
        <v>8.30901E-2</v>
      </c>
      <c r="P145">
        <f>INDEX(script.out!D:D,$M145)</f>
        <v>9.5490400000000003E-2</v>
      </c>
      <c r="Q145">
        <f>INDEX(script.out!E:E,$M145)</f>
        <v>48.458035951111498</v>
      </c>
      <c r="R145">
        <f>INDEX(script.out!F:F,$M145)</f>
        <v>72.25</v>
      </c>
      <c r="S145">
        <f>INDEX(script.out!G:G,$M145)</f>
        <v>2.2495068763370201</v>
      </c>
      <c r="T145" t="str">
        <f>INDEX(script.out!H:H,$M145)</f>
        <v>{</v>
      </c>
      <c r="U145">
        <f>INDEX(script.out!I:I,$M145)</f>
        <v>0.32479000000000002</v>
      </c>
      <c r="V145">
        <f>INDEX(script.out!J:J,$M145)</f>
        <v>141.54505</v>
      </c>
      <c r="W145">
        <f>INDEX(script.out!K:K,$M145)</f>
        <v>66.339336000000003</v>
      </c>
      <c r="X145" t="str">
        <f>INDEX(script.out!L:L,$M145)</f>
        <v>}</v>
      </c>
      <c r="Y145" t="str">
        <f>INDEX(script.out!M:M,$M145)</f>
        <v>{</v>
      </c>
      <c r="Z145">
        <f>INDEX(script.out!N:N,$M145)</f>
        <v>16.9611806434764</v>
      </c>
      <c r="AA145">
        <f>INDEX(script.out!O:O,$M145)</f>
        <v>16.5</v>
      </c>
      <c r="AB145">
        <f>INDEX(script.out!P:P,$M145)</f>
        <v>7847.44</v>
      </c>
      <c r="AC145" t="str">
        <f>INDEX(script.out!Q:Q,$M145)</f>
        <v>}</v>
      </c>
      <c r="AD145">
        <f t="shared" si="12"/>
        <v>4</v>
      </c>
      <c r="AE145">
        <f t="shared" si="13"/>
        <v>30693.261857338366</v>
      </c>
      <c r="AF145">
        <f t="shared" si="14"/>
        <v>14.918548187780672</v>
      </c>
    </row>
  </sheetData>
  <autoFilter ref="A1:K145"/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4"/>
  <dimension ref="A1:Y145"/>
  <sheetViews>
    <sheetView zoomScale="70" zoomScaleNormal="70" workbookViewId="0">
      <selection sqref="A1:M1"/>
    </sheetView>
  </sheetViews>
  <sheetFormatPr baseColWidth="10" defaultColWidth="7" defaultRowHeight="15" x14ac:dyDescent="0.25"/>
  <cols>
    <col min="4" max="5" width="1.85546875" customWidth="1"/>
    <col min="9" max="10" width="1" customWidth="1"/>
    <col min="14" max="14" width="10.5703125" customWidth="1"/>
  </cols>
  <sheetData>
    <row r="1" spans="1:25" x14ac:dyDescent="0.25">
      <c r="A1" s="1" t="str">
        <f>graph_data!U1</f>
        <v>ALPHA (E1/E2)</v>
      </c>
      <c r="B1" s="1" t="str">
        <f>graph_data!V1</f>
        <v>Hauteur Coeur (cm)</v>
      </c>
      <c r="C1" s="1" t="str">
        <f>graph_data!W1</f>
        <v>Puiss. Nucl. (MWth)</v>
      </c>
      <c r="D1" s="1"/>
      <c r="E1" s="1"/>
      <c r="F1" s="1" t="str">
        <f>graph_data!Z1</f>
        <v>Masse coeur (t)</v>
      </c>
      <c r="G1" s="1" t="str">
        <f>graph_data!AA1</f>
        <v>Emoy (%)</v>
      </c>
      <c r="H1" s="1" t="str">
        <f>graph_data!AB1</f>
        <v>Tcycle (j)</v>
      </c>
      <c r="I1" s="1"/>
      <c r="J1" s="1"/>
      <c r="K1" s="1" t="str">
        <f>graph_data!AE1</f>
        <v>BurnUp (MWj/t)</v>
      </c>
      <c r="L1" s="1" t="str">
        <f>graph_data!AF1</f>
        <v>Puiss. Vol. (MWth/m3)</v>
      </c>
      <c r="M1" s="1"/>
      <c r="N1" s="1" t="str">
        <f>graph_data!U1&amp;"
[ "&amp;TEXT(graph_range!U2,"0,0")&amp;" - "&amp;TEXT(graph_range!U3,"0,0")&amp;" ]"</f>
        <v>ALPHA (E1/E2)
[ 0,3 - 1,2 ]</v>
      </c>
      <c r="O1" s="1" t="str">
        <f>graph_data!V1&amp;"
[ "&amp;TEXT(graph_range!V2,"0")&amp;" - "&amp;TEXT(graph_range!V3,"0")&amp;" ]"</f>
        <v>Hauteur Coeur (cm)
[ 81 - 288 ]</v>
      </c>
      <c r="P1" s="1" t="str">
        <f>graph_data!W1&amp;"
[ "&amp;TEXT(graph_range!W2,"0")&amp;" - "&amp;TEXT(graph_range!W3,"0")&amp;" ]"</f>
        <v>Puiss. Nucl. (MWth)
[ 45 - 468 ]</v>
      </c>
      <c r="Q1" s="1"/>
      <c r="R1" s="1"/>
      <c r="S1" s="1" t="str">
        <f>graph_data!Z1&amp;"
[ "&amp;TEXT(graph_range!Z2,"0,0")&amp;" - "&amp;TEXT(graph_range!Z3,"0,0")&amp;" ]"</f>
        <v>Masse coeur (t)
[ 9,7 - 34,5 ]</v>
      </c>
      <c r="T1" s="1" t="str">
        <f>graph_data!AA1&amp;"
[ "&amp;TEXT(graph_range!AA2,"0,0")&amp;" - "&amp;TEXT(graph_range!AA3,"0,0")&amp;" ]"</f>
        <v>Emoy (%)
[ 13,0 - 20,0 ]</v>
      </c>
      <c r="U1" s="1" t="str">
        <f>graph_data!AB1&amp;"
[ "&amp;TEXT(graph_range!AB2,"0")&amp;" - "&amp;TEXT(graph_range!AB3,"0")&amp;" ]"</f>
        <v>Tcycle (j)
[ 997 - 8357 ]</v>
      </c>
      <c r="V1" s="1"/>
      <c r="W1" s="1" t="str">
        <f>graph_data!AD1</f>
        <v>couleur</v>
      </c>
      <c r="X1" s="1" t="str">
        <f>graph_data!AE1&amp;"
[ "&amp;TEXT(graph_range!AE2,"0")&amp;" - "&amp;TEXT(graph_range!AE3,"0")&amp;" ]"</f>
        <v>BurnUp (MWj/t)
[ 27486 - 80470 ]</v>
      </c>
      <c r="Y1" s="1" t="str">
        <f>graph_data!AF1&amp;"
[ "&amp;TEXT(graph_range!AF2,"0")&amp;" - "&amp;TEXT(graph_range!AF3,"0")&amp;" ]"</f>
        <v>Puiss. Vol. (MWth/m3)
[ 14 - 156 ]</v>
      </c>
    </row>
    <row r="2" spans="1:25" x14ac:dyDescent="0.25">
      <c r="A2">
        <v>1</v>
      </c>
      <c r="B2">
        <v>2</v>
      </c>
      <c r="C2">
        <v>3</v>
      </c>
      <c r="F2">
        <v>4</v>
      </c>
      <c r="G2">
        <v>5</v>
      </c>
      <c r="H2">
        <v>6</v>
      </c>
      <c r="K2">
        <v>7</v>
      </c>
      <c r="L2">
        <v>8</v>
      </c>
      <c r="N2" t="e">
        <f>(graph_data!U2-graph_range!U$2)/(graph_range!U$3-graph_range!U$2)</f>
        <v>#N/A</v>
      </c>
      <c r="O2" t="e">
        <f>(graph_data!V2-graph_range!V$2)/(graph_range!V$3-graph_range!V$2)</f>
        <v>#N/A</v>
      </c>
      <c r="P2" t="e">
        <f>(graph_data!W2-graph_range!W$2)/(graph_range!W$3-graph_range!W$2)</f>
        <v>#N/A</v>
      </c>
      <c r="S2" t="e">
        <f>(graph_data!Z2-graph_range!Z$2)/(graph_range!Z$3-graph_range!Z$2)</f>
        <v>#N/A</v>
      </c>
      <c r="T2" t="e">
        <f>(graph_data!AA2-graph_range!AA$2)/(graph_range!AA$3-graph_range!AA$2)</f>
        <v>#N/A</v>
      </c>
      <c r="U2" t="e">
        <f>(graph_data!AB2-graph_range!AB$2)/(graph_range!AB$3-graph_range!AB$2)</f>
        <v>#N/A</v>
      </c>
      <c r="W2">
        <f>graph_data!AD2</f>
        <v>1</v>
      </c>
      <c r="X2" t="e">
        <f>(graph_data!AE2-graph_range!AE$2)/(graph_range!AE$3-graph_range!AE$2)</f>
        <v>#N/A</v>
      </c>
      <c r="Y2" t="e">
        <f>(graph_data!AF2-graph_range!AF$2)/(graph_range!AF$3-graph_range!AF$2)</f>
        <v>#N/A</v>
      </c>
    </row>
    <row r="3" spans="1:25" x14ac:dyDescent="0.25">
      <c r="A3">
        <f>A$2+($W3-2.5)/10</f>
        <v>0.85</v>
      </c>
      <c r="B3">
        <f t="shared" ref="B3:L18" si="0">B$2+($W3-2.5)/10</f>
        <v>1.85</v>
      </c>
      <c r="C3">
        <f t="shared" si="0"/>
        <v>2.85</v>
      </c>
      <c r="D3">
        <f t="shared" si="0"/>
        <v>-0.15</v>
      </c>
      <c r="E3">
        <f t="shared" si="0"/>
        <v>-0.15</v>
      </c>
      <c r="F3">
        <f t="shared" si="0"/>
        <v>3.85</v>
      </c>
      <c r="G3">
        <f t="shared" si="0"/>
        <v>4.8499999999999996</v>
      </c>
      <c r="H3">
        <f t="shared" si="0"/>
        <v>5.85</v>
      </c>
      <c r="I3">
        <f t="shared" si="0"/>
        <v>-0.15</v>
      </c>
      <c r="J3">
        <f t="shared" si="0"/>
        <v>-0.15</v>
      </c>
      <c r="K3">
        <f t="shared" si="0"/>
        <v>6.85</v>
      </c>
      <c r="L3">
        <f t="shared" si="0"/>
        <v>7.85</v>
      </c>
      <c r="N3" t="e">
        <f>(graph_data!U3-graph_range!U$2)/(graph_range!U$3-graph_range!U$2)</f>
        <v>#N/A</v>
      </c>
      <c r="O3" t="e">
        <f>(graph_data!V3-graph_range!V$2)/(graph_range!V$3-graph_range!V$2)</f>
        <v>#N/A</v>
      </c>
      <c r="P3" t="e">
        <f>(graph_data!W3-graph_range!W$2)/(graph_range!W$3-graph_range!W$2)</f>
        <v>#N/A</v>
      </c>
      <c r="S3" t="e">
        <f>(graph_data!Z3-graph_range!Z$2)/(graph_range!Z$3-graph_range!Z$2)</f>
        <v>#N/A</v>
      </c>
      <c r="T3" t="e">
        <f>(graph_data!AA3-graph_range!AA$2)/(graph_range!AA$3-graph_range!AA$2)</f>
        <v>#N/A</v>
      </c>
      <c r="U3" t="e">
        <f>(graph_data!AB3-graph_range!AB$2)/(graph_range!AB$3-graph_range!AB$2)</f>
        <v>#N/A</v>
      </c>
      <c r="W3">
        <f>graph_data!AD3</f>
        <v>1</v>
      </c>
      <c r="X3" t="e">
        <f>(graph_data!AE3-graph_range!AE$2)/(graph_range!AE$3-graph_range!AE$2)</f>
        <v>#N/A</v>
      </c>
      <c r="Y3" t="e">
        <f>(graph_data!AF3-graph_range!AF$2)/(graph_range!AF$3-graph_range!AF$2)</f>
        <v>#N/A</v>
      </c>
    </row>
    <row r="4" spans="1:25" x14ac:dyDescent="0.25">
      <c r="A4">
        <f t="shared" ref="A4:L35" si="1">A$2+($W4-2.5)/10</f>
        <v>0.85</v>
      </c>
      <c r="B4">
        <f t="shared" si="0"/>
        <v>1.85</v>
      </c>
      <c r="C4">
        <f t="shared" si="0"/>
        <v>2.85</v>
      </c>
      <c r="D4">
        <f t="shared" si="0"/>
        <v>-0.15</v>
      </c>
      <c r="E4">
        <f t="shared" si="0"/>
        <v>-0.15</v>
      </c>
      <c r="F4">
        <f t="shared" si="0"/>
        <v>3.85</v>
      </c>
      <c r="G4">
        <f t="shared" si="0"/>
        <v>4.8499999999999996</v>
      </c>
      <c r="H4">
        <f t="shared" si="0"/>
        <v>5.85</v>
      </c>
      <c r="I4">
        <f t="shared" si="0"/>
        <v>-0.15</v>
      </c>
      <c r="J4">
        <f t="shared" si="0"/>
        <v>-0.15</v>
      </c>
      <c r="K4">
        <f t="shared" si="0"/>
        <v>6.85</v>
      </c>
      <c r="L4">
        <f t="shared" si="0"/>
        <v>7.85</v>
      </c>
      <c r="N4" t="e">
        <f>(graph_data!U4-graph_range!U$2)/(graph_range!U$3-graph_range!U$2)</f>
        <v>#N/A</v>
      </c>
      <c r="O4" t="e">
        <f>(graph_data!V4-graph_range!V$2)/(graph_range!V$3-graph_range!V$2)</f>
        <v>#N/A</v>
      </c>
      <c r="P4" t="e">
        <f>(graph_data!W4-graph_range!W$2)/(graph_range!W$3-graph_range!W$2)</f>
        <v>#N/A</v>
      </c>
      <c r="S4" t="e">
        <f>(graph_data!Z4-graph_range!Z$2)/(graph_range!Z$3-graph_range!Z$2)</f>
        <v>#N/A</v>
      </c>
      <c r="T4" t="e">
        <f>(graph_data!AA4-graph_range!AA$2)/(graph_range!AA$3-graph_range!AA$2)</f>
        <v>#N/A</v>
      </c>
      <c r="U4" t="e">
        <f>(graph_data!AB4-graph_range!AB$2)/(graph_range!AB$3-graph_range!AB$2)</f>
        <v>#N/A</v>
      </c>
      <c r="W4">
        <f>graph_data!AD4</f>
        <v>1</v>
      </c>
      <c r="X4" t="e">
        <f>(graph_data!AE4-graph_range!AE$2)/(graph_range!AE$3-graph_range!AE$2)</f>
        <v>#N/A</v>
      </c>
      <c r="Y4" t="e">
        <f>(graph_data!AF4-graph_range!AF$2)/(graph_range!AF$3-graph_range!AF$2)</f>
        <v>#N/A</v>
      </c>
    </row>
    <row r="5" spans="1:25" x14ac:dyDescent="0.25">
      <c r="A5">
        <f t="shared" si="1"/>
        <v>0.85</v>
      </c>
      <c r="B5">
        <f t="shared" si="0"/>
        <v>1.85</v>
      </c>
      <c r="C5">
        <f t="shared" si="0"/>
        <v>2.85</v>
      </c>
      <c r="D5">
        <f t="shared" si="0"/>
        <v>-0.15</v>
      </c>
      <c r="E5">
        <f t="shared" si="0"/>
        <v>-0.15</v>
      </c>
      <c r="F5">
        <f t="shared" si="0"/>
        <v>3.85</v>
      </c>
      <c r="G5">
        <f t="shared" si="0"/>
        <v>4.8499999999999996</v>
      </c>
      <c r="H5">
        <f t="shared" si="0"/>
        <v>5.85</v>
      </c>
      <c r="I5">
        <f t="shared" si="0"/>
        <v>-0.15</v>
      </c>
      <c r="J5">
        <f t="shared" si="0"/>
        <v>-0.15</v>
      </c>
      <c r="K5">
        <f t="shared" si="0"/>
        <v>6.85</v>
      </c>
      <c r="L5">
        <f t="shared" si="0"/>
        <v>7.85</v>
      </c>
      <c r="N5" t="e">
        <f>(graph_data!U5-graph_range!U$2)/(graph_range!U$3-graph_range!U$2)</f>
        <v>#N/A</v>
      </c>
      <c r="O5" t="e">
        <f>(graph_data!V5-graph_range!V$2)/(graph_range!V$3-graph_range!V$2)</f>
        <v>#N/A</v>
      </c>
      <c r="P5" t="e">
        <f>(graph_data!W5-graph_range!W$2)/(graph_range!W$3-graph_range!W$2)</f>
        <v>#N/A</v>
      </c>
      <c r="S5" t="e">
        <f>(graph_data!Z5-graph_range!Z$2)/(graph_range!Z$3-graph_range!Z$2)</f>
        <v>#N/A</v>
      </c>
      <c r="T5" t="e">
        <f>(graph_data!AA5-graph_range!AA$2)/(graph_range!AA$3-graph_range!AA$2)</f>
        <v>#N/A</v>
      </c>
      <c r="U5" t="e">
        <f>(graph_data!AB5-graph_range!AB$2)/(graph_range!AB$3-graph_range!AB$2)</f>
        <v>#N/A</v>
      </c>
      <c r="W5">
        <f>graph_data!AD5</f>
        <v>1</v>
      </c>
      <c r="X5" t="e">
        <f>(graph_data!AE5-graph_range!AE$2)/(graph_range!AE$3-graph_range!AE$2)</f>
        <v>#N/A</v>
      </c>
      <c r="Y5" t="e">
        <f>(graph_data!AF5-graph_range!AF$2)/(graph_range!AF$3-graph_range!AF$2)</f>
        <v>#N/A</v>
      </c>
    </row>
    <row r="6" spans="1:25" x14ac:dyDescent="0.25">
      <c r="A6">
        <f t="shared" si="1"/>
        <v>0.85</v>
      </c>
      <c r="B6">
        <f t="shared" si="0"/>
        <v>1.85</v>
      </c>
      <c r="C6">
        <f t="shared" si="0"/>
        <v>2.85</v>
      </c>
      <c r="D6">
        <f t="shared" si="0"/>
        <v>-0.15</v>
      </c>
      <c r="E6">
        <f t="shared" si="0"/>
        <v>-0.15</v>
      </c>
      <c r="F6">
        <f t="shared" si="0"/>
        <v>3.85</v>
      </c>
      <c r="G6">
        <f t="shared" si="0"/>
        <v>4.8499999999999996</v>
      </c>
      <c r="H6">
        <f t="shared" si="0"/>
        <v>5.85</v>
      </c>
      <c r="I6">
        <f t="shared" si="0"/>
        <v>-0.15</v>
      </c>
      <c r="J6">
        <f t="shared" si="0"/>
        <v>-0.15</v>
      </c>
      <c r="K6">
        <f t="shared" si="0"/>
        <v>6.85</v>
      </c>
      <c r="L6">
        <f t="shared" si="0"/>
        <v>7.85</v>
      </c>
      <c r="N6" t="e">
        <f>(graph_data!U6-graph_range!U$2)/(graph_range!U$3-graph_range!U$2)</f>
        <v>#N/A</v>
      </c>
      <c r="O6" t="e">
        <f>(graph_data!V6-graph_range!V$2)/(graph_range!V$3-graph_range!V$2)</f>
        <v>#N/A</v>
      </c>
      <c r="P6" t="e">
        <f>(graph_data!W6-graph_range!W$2)/(graph_range!W$3-graph_range!W$2)</f>
        <v>#N/A</v>
      </c>
      <c r="S6" t="e">
        <f>(graph_data!Z6-graph_range!Z$2)/(graph_range!Z$3-graph_range!Z$2)</f>
        <v>#N/A</v>
      </c>
      <c r="T6" t="e">
        <f>(graph_data!AA6-graph_range!AA$2)/(graph_range!AA$3-graph_range!AA$2)</f>
        <v>#N/A</v>
      </c>
      <c r="U6" t="e">
        <f>(graph_data!AB6-graph_range!AB$2)/(graph_range!AB$3-graph_range!AB$2)</f>
        <v>#N/A</v>
      </c>
      <c r="W6">
        <f>graph_data!AD6</f>
        <v>1</v>
      </c>
      <c r="X6" t="e">
        <f>(graph_data!AE6-graph_range!AE$2)/(graph_range!AE$3-graph_range!AE$2)</f>
        <v>#N/A</v>
      </c>
      <c r="Y6" t="e">
        <f>(graph_data!AF6-graph_range!AF$2)/(graph_range!AF$3-graph_range!AF$2)</f>
        <v>#N/A</v>
      </c>
    </row>
    <row r="7" spans="1:25" x14ac:dyDescent="0.25">
      <c r="A7">
        <f t="shared" si="1"/>
        <v>0.85</v>
      </c>
      <c r="B7">
        <f t="shared" si="0"/>
        <v>1.85</v>
      </c>
      <c r="C7">
        <f t="shared" si="0"/>
        <v>2.85</v>
      </c>
      <c r="D7">
        <f t="shared" si="0"/>
        <v>-0.15</v>
      </c>
      <c r="E7">
        <f t="shared" si="0"/>
        <v>-0.15</v>
      </c>
      <c r="F7">
        <f t="shared" si="0"/>
        <v>3.85</v>
      </c>
      <c r="G7">
        <f t="shared" si="0"/>
        <v>4.8499999999999996</v>
      </c>
      <c r="H7">
        <f t="shared" si="0"/>
        <v>5.85</v>
      </c>
      <c r="I7">
        <f t="shared" si="0"/>
        <v>-0.15</v>
      </c>
      <c r="J7">
        <f t="shared" si="0"/>
        <v>-0.15</v>
      </c>
      <c r="K7">
        <f t="shared" si="0"/>
        <v>6.85</v>
      </c>
      <c r="L7">
        <f t="shared" si="0"/>
        <v>7.85</v>
      </c>
      <c r="N7">
        <f>(graph_data!U7-graph_range!U$2)/(graph_range!U$3-graph_range!U$2)</f>
        <v>0.93815718157181571</v>
      </c>
      <c r="O7">
        <f>(graph_data!V7-graph_range!V$2)/(graph_range!V$3-graph_range!V$2)</f>
        <v>0.12144987733090568</v>
      </c>
      <c r="P7">
        <f>(graph_data!W7-graph_range!W$2)/(graph_range!W$3-graph_range!W$2)</f>
        <v>0.83406149757560966</v>
      </c>
      <c r="S7">
        <f>(graph_data!Z7-graph_range!Z$2)/(graph_range!Z$3-graph_range!Z$2)</f>
        <v>0.12144987733090307</v>
      </c>
      <c r="T7">
        <f>(graph_data!AA7-graph_range!AA$2)/(graph_range!AA$3-graph_range!AA$2)</f>
        <v>0.35714285714285715</v>
      </c>
      <c r="U7">
        <f>(graph_data!AB7-graph_range!AB$2)/(graph_range!AB$3-graph_range!AB$2)</f>
        <v>6.0042494902147178E-2</v>
      </c>
      <c r="W7">
        <f>graph_data!AD7</f>
        <v>1</v>
      </c>
      <c r="X7">
        <f>(graph_data!AE7-graph_range!AE$2)/(graph_range!AE$3-graph_range!AE$2)</f>
        <v>0.33296219222309287</v>
      </c>
      <c r="Y7">
        <f>(graph_data!AF7-graph_range!AF$2)/(graph_range!AF$3-graph_range!AF$2)</f>
        <v>0.7452631192840824</v>
      </c>
    </row>
    <row r="8" spans="1:25" x14ac:dyDescent="0.25">
      <c r="A8">
        <f t="shared" si="1"/>
        <v>0.85</v>
      </c>
      <c r="B8">
        <f t="shared" si="0"/>
        <v>1.85</v>
      </c>
      <c r="C8">
        <f t="shared" si="0"/>
        <v>2.85</v>
      </c>
      <c r="D8">
        <f t="shared" si="0"/>
        <v>-0.15</v>
      </c>
      <c r="E8">
        <f t="shared" si="0"/>
        <v>-0.15</v>
      </c>
      <c r="F8">
        <f t="shared" si="0"/>
        <v>3.85</v>
      </c>
      <c r="G8">
        <f t="shared" si="0"/>
        <v>4.8499999999999996</v>
      </c>
      <c r="H8">
        <f t="shared" si="0"/>
        <v>5.85</v>
      </c>
      <c r="I8">
        <f t="shared" si="0"/>
        <v>-0.15</v>
      </c>
      <c r="J8">
        <f t="shared" si="0"/>
        <v>-0.15</v>
      </c>
      <c r="K8">
        <f t="shared" si="0"/>
        <v>6.85</v>
      </c>
      <c r="L8">
        <f t="shared" si="0"/>
        <v>7.85</v>
      </c>
      <c r="N8">
        <f>(graph_data!U8-graph_range!U$2)/(graph_range!U$3-graph_range!U$2)</f>
        <v>0.87503523035230346</v>
      </c>
      <c r="O8">
        <f>(graph_data!V8-graph_range!V$2)/(graph_range!V$3-graph_range!V$2)</f>
        <v>0.12736248910250975</v>
      </c>
      <c r="P8">
        <f>(graph_data!W8-graph_range!W$2)/(graph_range!W$3-graph_range!W$2)</f>
        <v>0.78562535642531861</v>
      </c>
      <c r="S8">
        <f>(graph_data!Z8-graph_range!Z$2)/(graph_range!Z$3-graph_range!Z$2)</f>
        <v>0.12736248910250694</v>
      </c>
      <c r="T8">
        <f>(graph_data!AA8-graph_range!AA$2)/(graph_range!AA$3-graph_range!AA$2)</f>
        <v>0.42857142857142855</v>
      </c>
      <c r="U8">
        <f>(graph_data!AB8-graph_range!AB$2)/(graph_range!AB$3-graph_range!AB$2)</f>
        <v>7.408698261057077E-2</v>
      </c>
      <c r="W8">
        <f>graph_data!AD8</f>
        <v>1</v>
      </c>
      <c r="X8">
        <f>(graph_data!AE8-graph_range!AE$2)/(graph_range!AE$3-graph_range!AE$2)</f>
        <v>0.3372479202376244</v>
      </c>
      <c r="Y8">
        <f>(graph_data!AF8-graph_range!AF$2)/(graph_range!AF$3-graph_range!AF$2)</f>
        <v>0.69273184740006022</v>
      </c>
    </row>
    <row r="9" spans="1:25" x14ac:dyDescent="0.25">
      <c r="A9">
        <f t="shared" si="1"/>
        <v>0.85</v>
      </c>
      <c r="B9">
        <f t="shared" si="0"/>
        <v>1.85</v>
      </c>
      <c r="C9">
        <f t="shared" si="0"/>
        <v>2.85</v>
      </c>
      <c r="D9">
        <f t="shared" si="0"/>
        <v>-0.15</v>
      </c>
      <c r="E9">
        <f t="shared" si="0"/>
        <v>-0.15</v>
      </c>
      <c r="F9">
        <f t="shared" si="0"/>
        <v>3.85</v>
      </c>
      <c r="G9">
        <f t="shared" si="0"/>
        <v>4.8499999999999996</v>
      </c>
      <c r="H9">
        <f t="shared" si="0"/>
        <v>5.85</v>
      </c>
      <c r="I9">
        <f t="shared" si="0"/>
        <v>-0.15</v>
      </c>
      <c r="J9">
        <f t="shared" si="0"/>
        <v>-0.15</v>
      </c>
      <c r="K9">
        <f t="shared" si="0"/>
        <v>6.85</v>
      </c>
      <c r="L9">
        <f t="shared" si="0"/>
        <v>7.85</v>
      </c>
      <c r="N9">
        <f>(graph_data!U9-graph_range!U$2)/(graph_range!U$3-graph_range!U$2)</f>
        <v>0.69375176151761508</v>
      </c>
      <c r="O9">
        <f>(graph_data!V9-graph_range!V$2)/(graph_range!V$3-graph_range!V$2)</f>
        <v>7.2102087303363011E-2</v>
      </c>
      <c r="P9">
        <f>(graph_data!W9-graph_range!W$2)/(graph_range!W$3-graph_range!W$2)</f>
        <v>1</v>
      </c>
      <c r="S9">
        <f>(graph_data!Z9-graph_range!Z$2)/(graph_range!Z$3-graph_range!Z$2)</f>
        <v>7.210208730336036E-2</v>
      </c>
      <c r="T9">
        <f>(graph_data!AA9-graph_range!AA$2)/(graph_range!AA$3-graph_range!AA$2)</f>
        <v>0.6428571428571429</v>
      </c>
      <c r="U9">
        <f>(graph_data!AB9-graph_range!AB$2)/(graph_range!AB$3-graph_range!AB$2)</f>
        <v>3.0870561212891515E-2</v>
      </c>
      <c r="W9">
        <f>graph_data!AD9</f>
        <v>1</v>
      </c>
      <c r="X9">
        <f>(graph_data!AE9-graph_range!AE$2)/(graph_range!AE$3-graph_range!AE$2)</f>
        <v>0.42488200039551988</v>
      </c>
      <c r="Y9">
        <f>(graph_data!AF9-graph_range!AF$2)/(graph_range!AF$3-graph_range!AF$2)</f>
        <v>1</v>
      </c>
    </row>
    <row r="10" spans="1:25" x14ac:dyDescent="0.25">
      <c r="A10">
        <f t="shared" si="1"/>
        <v>0.85</v>
      </c>
      <c r="B10">
        <f t="shared" si="0"/>
        <v>1.85</v>
      </c>
      <c r="C10">
        <f t="shared" si="0"/>
        <v>2.85</v>
      </c>
      <c r="D10">
        <f t="shared" si="0"/>
        <v>-0.15</v>
      </c>
      <c r="E10">
        <f t="shared" si="0"/>
        <v>-0.15</v>
      </c>
      <c r="F10">
        <f t="shared" si="0"/>
        <v>3.85</v>
      </c>
      <c r="G10">
        <f t="shared" si="0"/>
        <v>4.8499999999999996</v>
      </c>
      <c r="H10">
        <f t="shared" si="0"/>
        <v>5.85</v>
      </c>
      <c r="I10">
        <f t="shared" si="0"/>
        <v>-0.15</v>
      </c>
      <c r="J10">
        <f t="shared" si="0"/>
        <v>-0.15</v>
      </c>
      <c r="K10">
        <f t="shared" si="0"/>
        <v>6.85</v>
      </c>
      <c r="L10">
        <f t="shared" si="0"/>
        <v>7.85</v>
      </c>
      <c r="N10">
        <f>(graph_data!U10-graph_range!U$2)/(graph_range!U$3-graph_range!U$2)</f>
        <v>0.86703523035230357</v>
      </c>
      <c r="O10">
        <f>(graph_data!V10-graph_range!V$2)/(graph_range!V$3-graph_range!V$2)</f>
        <v>0.16937617172130201</v>
      </c>
      <c r="P10">
        <f>(graph_data!W10-graph_range!W$2)/(graph_range!W$3-graph_range!W$2)</f>
        <v>0.83427933244225849</v>
      </c>
      <c r="S10">
        <f>(graph_data!Z10-graph_range!Z$2)/(graph_range!Z$3-graph_range!Z$2)</f>
        <v>0.16937617172129882</v>
      </c>
      <c r="T10">
        <f>(graph_data!AA10-graph_range!AA$2)/(graph_range!AA$3-graph_range!AA$2)</f>
        <v>0.35714285714285715</v>
      </c>
      <c r="U10">
        <f>(graph_data!AB10-graph_range!AB$2)/(graph_range!AB$3-graph_range!AB$2)</f>
        <v>0.12178198677595169</v>
      </c>
      <c r="W10">
        <f>graph_data!AD10</f>
        <v>1</v>
      </c>
      <c r="X10">
        <f>(graph_data!AE10-graph_range!AE$2)/(graph_range!AE$3-graph_range!AE$2)</f>
        <v>0.50592756766898717</v>
      </c>
      <c r="Y10">
        <f>(graph_data!AF10-graph_range!AF$2)/(graph_range!AF$3-graph_range!AF$2)</f>
        <v>0.67307640638324162</v>
      </c>
    </row>
    <row r="11" spans="1:25" x14ac:dyDescent="0.25">
      <c r="A11">
        <f t="shared" si="1"/>
        <v>0.85</v>
      </c>
      <c r="B11">
        <f t="shared" si="0"/>
        <v>1.85</v>
      </c>
      <c r="C11">
        <f t="shared" si="0"/>
        <v>2.85</v>
      </c>
      <c r="D11">
        <f t="shared" si="0"/>
        <v>-0.15</v>
      </c>
      <c r="E11">
        <f t="shared" si="0"/>
        <v>-0.15</v>
      </c>
      <c r="F11">
        <f t="shared" si="0"/>
        <v>3.85</v>
      </c>
      <c r="G11">
        <f t="shared" si="0"/>
        <v>4.8499999999999996</v>
      </c>
      <c r="H11">
        <f t="shared" si="0"/>
        <v>5.85</v>
      </c>
      <c r="I11">
        <f t="shared" si="0"/>
        <v>-0.15</v>
      </c>
      <c r="J11">
        <f t="shared" si="0"/>
        <v>-0.15</v>
      </c>
      <c r="K11">
        <f t="shared" si="0"/>
        <v>6.85</v>
      </c>
      <c r="L11">
        <f t="shared" si="0"/>
        <v>7.85</v>
      </c>
      <c r="N11">
        <f>(graph_data!U11-graph_range!U$2)/(graph_range!U$3-graph_range!U$2)</f>
        <v>0.88893224932249326</v>
      </c>
      <c r="O11">
        <f>(graph_data!V11-graph_range!V$2)/(graph_range!V$3-graph_range!V$2)</f>
        <v>0.33781593078068461</v>
      </c>
      <c r="P11">
        <f>(graph_data!W11-graph_range!W$2)/(graph_range!W$3-graph_range!W$2)</f>
        <v>0.81597701451171201</v>
      </c>
      <c r="S11">
        <f>(graph_data!Z11-graph_range!Z$2)/(graph_range!Z$3-graph_range!Z$2)</f>
        <v>0.33781593078068201</v>
      </c>
      <c r="T11">
        <f>(graph_data!AA11-graph_range!AA$2)/(graph_range!AA$3-graph_range!AA$2)</f>
        <v>0.14285714285714285</v>
      </c>
      <c r="U11">
        <f>(graph_data!AB11-graph_range!AB$2)/(graph_range!AB$3-graph_range!AB$2)</f>
        <v>0.27851471933240857</v>
      </c>
      <c r="W11">
        <f>graph_data!AD11</f>
        <v>1</v>
      </c>
      <c r="X11">
        <f>(graph_data!AE11-graph_range!AE$2)/(graph_range!AE$3-graph_range!AE$2)</f>
        <v>0.72335653993002025</v>
      </c>
      <c r="Y11">
        <f>(graph_data!AF11-graph_range!AF$2)/(graph_range!AF$3-graph_range!AF$2)</f>
        <v>0.48291836999006149</v>
      </c>
    </row>
    <row r="12" spans="1:25" x14ac:dyDescent="0.25">
      <c r="A12">
        <f t="shared" si="1"/>
        <v>0.85</v>
      </c>
      <c r="B12">
        <f t="shared" si="0"/>
        <v>1.85</v>
      </c>
      <c r="C12">
        <f t="shared" si="0"/>
        <v>2.85</v>
      </c>
      <c r="D12">
        <f t="shared" si="0"/>
        <v>-0.15</v>
      </c>
      <c r="E12">
        <f t="shared" si="0"/>
        <v>-0.15</v>
      </c>
      <c r="F12">
        <f t="shared" si="0"/>
        <v>3.85</v>
      </c>
      <c r="G12">
        <f t="shared" si="0"/>
        <v>4.8499999999999996</v>
      </c>
      <c r="H12">
        <f t="shared" si="0"/>
        <v>5.85</v>
      </c>
      <c r="I12">
        <f t="shared" si="0"/>
        <v>-0.15</v>
      </c>
      <c r="J12">
        <f t="shared" si="0"/>
        <v>-0.15</v>
      </c>
      <c r="K12">
        <f t="shared" si="0"/>
        <v>6.85</v>
      </c>
      <c r="L12">
        <f t="shared" si="0"/>
        <v>7.85</v>
      </c>
      <c r="N12">
        <f>(graph_data!U12-graph_range!U$2)/(graph_range!U$3-graph_range!U$2)</f>
        <v>0.93239024390243896</v>
      </c>
      <c r="O12">
        <f>(graph_data!V12-graph_range!V$2)/(graph_range!V$3-graph_range!V$2)</f>
        <v>1.3385107663346663E-2</v>
      </c>
      <c r="P12">
        <f>(graph_data!W12-graph_range!W$2)/(graph_range!W$3-graph_range!W$2)</f>
        <v>0.83192504022963143</v>
      </c>
      <c r="S12">
        <f>(graph_data!Z12-graph_range!Z$2)/(graph_range!Z$3-graph_range!Z$2)</f>
        <v>1.3385107663346442E-2</v>
      </c>
      <c r="T12">
        <f>(graph_data!AA12-graph_range!AA$2)/(graph_range!AA$3-graph_range!AA$2)</f>
        <v>0.5</v>
      </c>
      <c r="U12">
        <f>(graph_data!AB12-graph_range!AB$2)/(graph_range!AB$3-graph_range!AB$2)</f>
        <v>0</v>
      </c>
      <c r="W12">
        <f>graph_data!AD12</f>
        <v>1</v>
      </c>
      <c r="X12">
        <f>(graph_data!AE12-graph_range!AE$2)/(graph_range!AE$3-graph_range!AE$2)</f>
        <v>0.22826315767279345</v>
      </c>
      <c r="Y12">
        <f>(graph_data!AF12-graph_range!AF$2)/(graph_range!AF$3-graph_range!AF$2)</f>
        <v>0.96927926146021082</v>
      </c>
    </row>
    <row r="13" spans="1:25" x14ac:dyDescent="0.25">
      <c r="A13">
        <f t="shared" si="1"/>
        <v>0.85</v>
      </c>
      <c r="B13">
        <f t="shared" si="0"/>
        <v>1.85</v>
      </c>
      <c r="C13">
        <f t="shared" si="0"/>
        <v>2.85</v>
      </c>
      <c r="D13">
        <f t="shared" si="0"/>
        <v>-0.15</v>
      </c>
      <c r="E13">
        <f t="shared" si="0"/>
        <v>-0.15</v>
      </c>
      <c r="F13">
        <f t="shared" si="0"/>
        <v>3.85</v>
      </c>
      <c r="G13">
        <f t="shared" si="0"/>
        <v>4.8499999999999996</v>
      </c>
      <c r="H13">
        <f t="shared" si="0"/>
        <v>5.85</v>
      </c>
      <c r="I13">
        <f t="shared" si="0"/>
        <v>-0.15</v>
      </c>
      <c r="J13">
        <f t="shared" si="0"/>
        <v>-0.15</v>
      </c>
      <c r="K13">
        <f t="shared" si="0"/>
        <v>6.85</v>
      </c>
      <c r="L13">
        <f t="shared" si="0"/>
        <v>7.85</v>
      </c>
      <c r="N13">
        <f>(graph_data!U13-graph_range!U$2)/(graph_range!U$3-graph_range!U$2)</f>
        <v>0.8723035230352304</v>
      </c>
      <c r="O13">
        <f>(graph_data!V13-graph_range!V$2)/(graph_range!V$3-graph_range!V$2)</f>
        <v>0.11656218416565731</v>
      </c>
      <c r="P13">
        <f>(graph_data!W13-graph_range!W$2)/(graph_range!W$3-graph_range!W$2)</f>
        <v>0.78981169572155563</v>
      </c>
      <c r="S13">
        <f>(graph_data!Z13-graph_range!Z$2)/(graph_range!Z$3-graph_range!Z$2)</f>
        <v>0.11656218416565643</v>
      </c>
      <c r="T13">
        <f>(graph_data!AA13-graph_range!AA$2)/(graph_range!AA$3-graph_range!AA$2)</f>
        <v>0.42857142857142855</v>
      </c>
      <c r="U13">
        <f>(graph_data!AB13-graph_range!AB$2)/(graph_range!AB$3-graph_range!AB$2)</f>
        <v>6.7657172641892332E-2</v>
      </c>
      <c r="W13">
        <f>graph_data!AD13</f>
        <v>1</v>
      </c>
      <c r="X13">
        <f>(graph_data!AE13-graph_range!AE$2)/(graph_range!AE$3-graph_range!AE$2)</f>
        <v>0.33268863012892619</v>
      </c>
      <c r="Y13">
        <f>(graph_data!AF13-graph_range!AF$2)/(graph_range!AF$3-graph_range!AF$2)</f>
        <v>0.71340604303567356</v>
      </c>
    </row>
    <row r="14" spans="1:25" x14ac:dyDescent="0.25">
      <c r="A14">
        <f t="shared" si="1"/>
        <v>0.85</v>
      </c>
      <c r="B14">
        <f t="shared" si="0"/>
        <v>1.85</v>
      </c>
      <c r="C14">
        <f t="shared" si="0"/>
        <v>2.85</v>
      </c>
      <c r="D14">
        <f t="shared" si="0"/>
        <v>-0.15</v>
      </c>
      <c r="E14">
        <f t="shared" si="0"/>
        <v>-0.15</v>
      </c>
      <c r="F14">
        <f t="shared" si="0"/>
        <v>3.85</v>
      </c>
      <c r="G14">
        <f t="shared" si="0"/>
        <v>4.8499999999999996</v>
      </c>
      <c r="H14">
        <f t="shared" si="0"/>
        <v>5.85</v>
      </c>
      <c r="I14">
        <f t="shared" si="0"/>
        <v>-0.15</v>
      </c>
      <c r="J14">
        <f t="shared" si="0"/>
        <v>-0.15</v>
      </c>
      <c r="K14">
        <f t="shared" si="0"/>
        <v>6.85</v>
      </c>
      <c r="L14">
        <f t="shared" si="0"/>
        <v>7.85</v>
      </c>
      <c r="N14">
        <f>(graph_data!U14-graph_range!U$2)/(graph_range!U$3-graph_range!U$2)</f>
        <v>0.92936585365853652</v>
      </c>
      <c r="O14">
        <f>(graph_data!V14-graph_range!V$2)/(graph_range!V$3-graph_range!V$2)</f>
        <v>0.10039129705208426</v>
      </c>
      <c r="P14">
        <f>(graph_data!W14-graph_range!W$2)/(graph_range!W$3-graph_range!W$2)</f>
        <v>0.8941797316386153</v>
      </c>
      <c r="S14">
        <f>(graph_data!Z14-graph_range!Z$2)/(graph_range!Z$3-graph_range!Z$2)</f>
        <v>0.10039129705208269</v>
      </c>
      <c r="T14">
        <f>(graph_data!AA14-graph_range!AA$2)/(graph_range!AA$3-graph_range!AA$2)</f>
        <v>0.35714285714285715</v>
      </c>
      <c r="U14">
        <f>(graph_data!AB14-graph_range!AB$2)/(graph_range!AB$3-graph_range!AB$2)</f>
        <v>4.0829157421776632E-2</v>
      </c>
      <c r="W14">
        <f>graph_data!AD14</f>
        <v>1</v>
      </c>
      <c r="X14">
        <f>(graph_data!AE14-graph_range!AE$2)/(graph_range!AE$3-graph_range!AE$2)</f>
        <v>0.33348811435886644</v>
      </c>
      <c r="Y14">
        <f>(graph_data!AF14-graph_range!AF$2)/(graph_range!AF$3-graph_range!AF$2)</f>
        <v>0.83769526605138778</v>
      </c>
    </row>
    <row r="15" spans="1:25" x14ac:dyDescent="0.25">
      <c r="A15">
        <f t="shared" si="1"/>
        <v>0.85</v>
      </c>
      <c r="B15">
        <f t="shared" si="0"/>
        <v>1.85</v>
      </c>
      <c r="C15">
        <f t="shared" si="0"/>
        <v>2.85</v>
      </c>
      <c r="D15">
        <f t="shared" si="0"/>
        <v>-0.15</v>
      </c>
      <c r="E15">
        <f t="shared" si="0"/>
        <v>-0.15</v>
      </c>
      <c r="F15">
        <f t="shared" si="0"/>
        <v>3.85</v>
      </c>
      <c r="G15">
        <f t="shared" si="0"/>
        <v>4.8499999999999996</v>
      </c>
      <c r="H15">
        <f t="shared" si="0"/>
        <v>5.85</v>
      </c>
      <c r="I15">
        <f t="shared" si="0"/>
        <v>-0.15</v>
      </c>
      <c r="J15">
        <f t="shared" si="0"/>
        <v>-0.15</v>
      </c>
      <c r="K15">
        <f t="shared" si="0"/>
        <v>6.85</v>
      </c>
      <c r="L15">
        <f t="shared" si="0"/>
        <v>7.85</v>
      </c>
      <c r="N15">
        <f>(graph_data!U15-graph_range!U$2)/(graph_range!U$3-graph_range!U$2)</f>
        <v>0.91430894308943078</v>
      </c>
      <c r="O15">
        <f>(graph_data!V15-graph_range!V$2)/(graph_range!V$3-graph_range!V$2)</f>
        <v>0.29896372582300168</v>
      </c>
      <c r="P15">
        <f>(graph_data!W15-graph_range!W$2)/(graph_range!W$3-graph_range!W$2)</f>
        <v>0.79523801810487016</v>
      </c>
      <c r="S15">
        <f>(graph_data!Z15-graph_range!Z$2)/(graph_range!Z$3-graph_range!Z$2)</f>
        <v>0.29896372582299796</v>
      </c>
      <c r="T15">
        <f>(graph_data!AA15-graph_range!AA$2)/(graph_range!AA$3-graph_range!AA$2)</f>
        <v>0.21428571428571427</v>
      </c>
      <c r="U15">
        <f>(graph_data!AB15-graph_range!AB$2)/(graph_range!AB$3-graph_range!AB$2)</f>
        <v>0.17923992091279387</v>
      </c>
      <c r="W15">
        <f>graph_data!AD15</f>
        <v>1</v>
      </c>
      <c r="X15">
        <f>(graph_data!AE15-graph_range!AE$2)/(graph_range!AE$3-graph_range!AE$2)</f>
        <v>0.45643118377649872</v>
      </c>
      <c r="Y15">
        <f>(graph_data!AF15-graph_range!AF$2)/(graph_range!AF$3-graph_range!AF$2)</f>
        <v>0.50193324381337878</v>
      </c>
    </row>
    <row r="16" spans="1:25" x14ac:dyDescent="0.25">
      <c r="A16">
        <f t="shared" si="1"/>
        <v>0.85</v>
      </c>
      <c r="B16">
        <f t="shared" si="0"/>
        <v>1.85</v>
      </c>
      <c r="C16">
        <f t="shared" si="0"/>
        <v>2.85</v>
      </c>
      <c r="D16">
        <f t="shared" si="0"/>
        <v>-0.15</v>
      </c>
      <c r="E16">
        <f t="shared" si="0"/>
        <v>-0.15</v>
      </c>
      <c r="F16">
        <f t="shared" si="0"/>
        <v>3.85</v>
      </c>
      <c r="G16">
        <f t="shared" si="0"/>
        <v>4.8499999999999996</v>
      </c>
      <c r="H16">
        <f t="shared" si="0"/>
        <v>5.85</v>
      </c>
      <c r="I16">
        <f t="shared" si="0"/>
        <v>-0.15</v>
      </c>
      <c r="J16">
        <f t="shared" si="0"/>
        <v>-0.15</v>
      </c>
      <c r="K16">
        <f t="shared" si="0"/>
        <v>6.85</v>
      </c>
      <c r="L16">
        <f t="shared" si="0"/>
        <v>7.85</v>
      </c>
      <c r="N16">
        <f>(graph_data!U16-graph_range!U$2)/(graph_range!U$3-graph_range!U$2)</f>
        <v>0.84752303523035233</v>
      </c>
      <c r="O16">
        <f>(graph_data!V16-graph_range!V$2)/(graph_range!V$3-graph_range!V$2)</f>
        <v>0.11033786077443546</v>
      </c>
      <c r="P16">
        <f>(graph_data!W16-graph_range!W$2)/(graph_range!W$3-graph_range!W$2)</f>
        <v>0.82640934969589697</v>
      </c>
      <c r="S16">
        <f>(graph_data!Z16-graph_range!Z$2)/(graph_range!Z$3-graph_range!Z$2)</f>
        <v>0.11033786077443196</v>
      </c>
      <c r="T16">
        <f>(graph_data!AA16-graph_range!AA$2)/(graph_range!AA$3-graph_range!AA$2)</f>
        <v>0.42857142857142855</v>
      </c>
      <c r="U16">
        <f>(graph_data!AB16-graph_range!AB$2)/(graph_range!AB$3-graph_range!AB$2)</f>
        <v>6.0731403113077002E-2</v>
      </c>
      <c r="W16">
        <f>graph_data!AD16</f>
        <v>1</v>
      </c>
      <c r="X16">
        <f>(graph_data!AE16-graph_range!AE$2)/(graph_range!AE$3-graph_range!AE$2)</f>
        <v>0.34788516935002672</v>
      </c>
      <c r="Y16">
        <f>(graph_data!AF16-graph_range!AF$2)/(graph_range!AF$3-graph_range!AF$2)</f>
        <v>0.75702071312462071</v>
      </c>
    </row>
    <row r="17" spans="1:25" x14ac:dyDescent="0.25">
      <c r="A17">
        <f t="shared" si="1"/>
        <v>0.85</v>
      </c>
      <c r="B17">
        <f t="shared" si="0"/>
        <v>1.85</v>
      </c>
      <c r="C17">
        <f t="shared" si="0"/>
        <v>2.85</v>
      </c>
      <c r="D17">
        <f t="shared" si="0"/>
        <v>-0.15</v>
      </c>
      <c r="E17">
        <f t="shared" si="0"/>
        <v>-0.15</v>
      </c>
      <c r="F17">
        <f t="shared" si="0"/>
        <v>3.85</v>
      </c>
      <c r="G17">
        <f t="shared" si="0"/>
        <v>4.8499999999999996</v>
      </c>
      <c r="H17">
        <f t="shared" si="0"/>
        <v>5.85</v>
      </c>
      <c r="I17">
        <f t="shared" si="0"/>
        <v>-0.15</v>
      </c>
      <c r="J17">
        <f t="shared" si="0"/>
        <v>-0.15</v>
      </c>
      <c r="K17">
        <f t="shared" si="0"/>
        <v>6.85</v>
      </c>
      <c r="L17">
        <f t="shared" si="0"/>
        <v>7.85</v>
      </c>
      <c r="N17">
        <f>(graph_data!U17-graph_range!U$2)/(graph_range!U$3-graph_range!U$2)</f>
        <v>0.9734959349593495</v>
      </c>
      <c r="O17">
        <f>(graph_data!V17-graph_range!V$2)/(graph_range!V$3-graph_range!V$2)</f>
        <v>0.45868886797256531</v>
      </c>
      <c r="P17">
        <f>(graph_data!W17-graph_range!W$2)/(graph_range!W$3-graph_range!W$2)</f>
        <v>0.98575834740416246</v>
      </c>
      <c r="S17">
        <f>(graph_data!Z17-graph_range!Z$2)/(graph_range!Z$3-graph_range!Z$2)</f>
        <v>0.45868886797256403</v>
      </c>
      <c r="T17">
        <f>(graph_data!AA17-graph_range!AA$2)/(graph_range!AA$3-graph_range!AA$2)</f>
        <v>7.1428571428571425E-2</v>
      </c>
      <c r="U17">
        <f>(graph_data!AB17-graph_range!AB$2)/(graph_range!AB$3-graph_range!AB$2)</f>
        <v>0.2628818022382316</v>
      </c>
      <c r="W17">
        <f>graph_data!AD17</f>
        <v>1</v>
      </c>
      <c r="X17">
        <f>(graph_data!AE17-graph_range!AE$2)/(graph_range!AE$3-graph_range!AE$2)</f>
        <v>0.69445760657243161</v>
      </c>
      <c r="Y17">
        <f>(graph_data!AF17-graph_range!AF$2)/(graph_range!AF$3-graph_range!AF$2)</f>
        <v>0.49166397007177631</v>
      </c>
    </row>
    <row r="18" spans="1:25" x14ac:dyDescent="0.25">
      <c r="A18">
        <f t="shared" si="1"/>
        <v>0.85</v>
      </c>
      <c r="B18">
        <f t="shared" si="0"/>
        <v>1.85</v>
      </c>
      <c r="C18">
        <f t="shared" si="0"/>
        <v>2.85</v>
      </c>
      <c r="D18">
        <f t="shared" si="0"/>
        <v>-0.15</v>
      </c>
      <c r="E18">
        <f t="shared" si="0"/>
        <v>-0.15</v>
      </c>
      <c r="F18">
        <f t="shared" si="0"/>
        <v>3.85</v>
      </c>
      <c r="G18">
        <f t="shared" si="0"/>
        <v>4.8499999999999996</v>
      </c>
      <c r="H18">
        <f t="shared" si="0"/>
        <v>5.85</v>
      </c>
      <c r="I18">
        <f t="shared" si="0"/>
        <v>-0.15</v>
      </c>
      <c r="J18">
        <f t="shared" si="0"/>
        <v>-0.15</v>
      </c>
      <c r="K18">
        <f t="shared" si="0"/>
        <v>6.85</v>
      </c>
      <c r="L18">
        <f t="shared" si="0"/>
        <v>7.85</v>
      </c>
      <c r="N18">
        <f>(graph_data!U18-graph_range!U$2)/(graph_range!U$3-graph_range!U$2)</f>
        <v>0.84793495934959351</v>
      </c>
      <c r="O18">
        <f>(graph_data!V18-graph_range!V$2)/(graph_range!V$3-graph_range!V$2)</f>
        <v>6.0121116443059168E-2</v>
      </c>
      <c r="P18">
        <f>(graph_data!W18-graph_range!W$2)/(graph_range!W$3-graph_range!W$2)</f>
        <v>0.78377515643615447</v>
      </c>
      <c r="S18">
        <f>(graph_data!Z18-graph_range!Z$2)/(graph_range!Z$3-graph_range!Z$2)</f>
        <v>6.0121116443055886E-2</v>
      </c>
      <c r="T18">
        <f>(graph_data!AA18-graph_range!AA$2)/(graph_range!AA$3-graph_range!AA$2)</f>
        <v>0.5714285714285714</v>
      </c>
      <c r="U18">
        <f>(graph_data!AB18-graph_range!AB$2)/(graph_range!AB$3-graph_range!AB$2)</f>
        <v>2.9869130539409698E-2</v>
      </c>
      <c r="W18">
        <f>graph_data!AD18</f>
        <v>1</v>
      </c>
      <c r="X18">
        <f>(graph_data!AE18-graph_range!AE$2)/(graph_range!AE$3-graph_range!AE$2)</f>
        <v>0.25617556628784344</v>
      </c>
      <c r="Y18">
        <f>(graph_data!AF18-graph_range!AF$2)/(graph_range!AF$3-graph_range!AF$2)</f>
        <v>0.80921601732434534</v>
      </c>
    </row>
    <row r="19" spans="1:25" x14ac:dyDescent="0.25">
      <c r="A19">
        <f t="shared" si="1"/>
        <v>0.85</v>
      </c>
      <c r="B19">
        <f t="shared" si="1"/>
        <v>1.85</v>
      </c>
      <c r="C19">
        <f t="shared" si="1"/>
        <v>2.85</v>
      </c>
      <c r="D19">
        <f t="shared" si="1"/>
        <v>-0.15</v>
      </c>
      <c r="E19">
        <f t="shared" si="1"/>
        <v>-0.15</v>
      </c>
      <c r="F19">
        <f t="shared" si="1"/>
        <v>3.85</v>
      </c>
      <c r="G19">
        <f t="shared" si="1"/>
        <v>4.8499999999999996</v>
      </c>
      <c r="H19">
        <f t="shared" si="1"/>
        <v>5.85</v>
      </c>
      <c r="I19">
        <f t="shared" si="1"/>
        <v>-0.15</v>
      </c>
      <c r="J19">
        <f t="shared" si="1"/>
        <v>-0.15</v>
      </c>
      <c r="K19">
        <f t="shared" si="1"/>
        <v>6.85</v>
      </c>
      <c r="L19">
        <f t="shared" si="1"/>
        <v>7.85</v>
      </c>
      <c r="N19">
        <f>(graph_data!U19-graph_range!U$2)/(graph_range!U$3-graph_range!U$2)</f>
        <v>0.81647479674796741</v>
      </c>
      <c r="O19">
        <f>(graph_data!V19-graph_range!V$2)/(graph_range!V$3-graph_range!V$2)</f>
        <v>0.34770805527052778</v>
      </c>
      <c r="P19">
        <f>(graph_data!W19-graph_range!W$2)/(graph_range!W$3-graph_range!W$2)</f>
        <v>0.73439227144235164</v>
      </c>
      <c r="S19">
        <f>(graph_data!Z19-graph_range!Z$2)/(graph_range!Z$3-graph_range!Z$2)</f>
        <v>0.34770805527052656</v>
      </c>
      <c r="T19">
        <f>(graph_data!AA19-graph_range!AA$2)/(graph_range!AA$3-graph_range!AA$2)</f>
        <v>0.21428571428571427</v>
      </c>
      <c r="U19">
        <f>(graph_data!AB19-graph_range!AB$2)/(graph_range!AB$3-graph_range!AB$2)</f>
        <v>0.33149271190823365</v>
      </c>
      <c r="W19">
        <f>graph_data!AD19</f>
        <v>1</v>
      </c>
      <c r="X19">
        <f>(graph_data!AE19-graph_range!AE$2)/(graph_range!AE$3-graph_range!AE$2)</f>
        <v>0.74134060695277459</v>
      </c>
      <c r="Y19">
        <f>(graph_data!AF19-graph_range!AF$2)/(graph_range!AF$3-graph_range!AF$2)</f>
        <v>0.42450454565493639</v>
      </c>
    </row>
    <row r="20" spans="1:25" x14ac:dyDescent="0.25">
      <c r="A20">
        <f t="shared" si="1"/>
        <v>0.85</v>
      </c>
      <c r="B20">
        <f t="shared" si="1"/>
        <v>1.85</v>
      </c>
      <c r="C20">
        <f t="shared" si="1"/>
        <v>2.85</v>
      </c>
      <c r="D20">
        <f t="shared" si="1"/>
        <v>-0.15</v>
      </c>
      <c r="E20">
        <f t="shared" si="1"/>
        <v>-0.15</v>
      </c>
      <c r="F20">
        <f t="shared" si="1"/>
        <v>3.85</v>
      </c>
      <c r="G20">
        <f t="shared" si="1"/>
        <v>4.8499999999999996</v>
      </c>
      <c r="H20">
        <f t="shared" si="1"/>
        <v>5.85</v>
      </c>
      <c r="I20">
        <f t="shared" si="1"/>
        <v>-0.15</v>
      </c>
      <c r="J20">
        <f t="shared" si="1"/>
        <v>-0.15</v>
      </c>
      <c r="K20">
        <f t="shared" si="1"/>
        <v>6.85</v>
      </c>
      <c r="L20">
        <f t="shared" si="1"/>
        <v>7.85</v>
      </c>
      <c r="N20">
        <f>(graph_data!U20-graph_range!U$2)/(graph_range!U$3-graph_range!U$2)</f>
        <v>0.82174200542005404</v>
      </c>
      <c r="O20">
        <f>(graph_data!V20-graph_range!V$2)/(graph_range!V$3-graph_range!V$2)</f>
        <v>0.32267926853730605</v>
      </c>
      <c r="P20">
        <f>(graph_data!W20-graph_range!W$2)/(graph_range!W$3-graph_range!W$2)</f>
        <v>0.9165901917337812</v>
      </c>
      <c r="S20">
        <f>(graph_data!Z20-graph_range!Z$2)/(graph_range!Z$3-graph_range!Z$2)</f>
        <v>0.32267926853730544</v>
      </c>
      <c r="T20">
        <f>(graph_data!AA20-graph_range!AA$2)/(graph_range!AA$3-graph_range!AA$2)</f>
        <v>0.21428571428571427</v>
      </c>
      <c r="U20">
        <f>(graph_data!AB20-graph_range!AB$2)/(graph_range!AB$3-graph_range!AB$2)</f>
        <v>0.23918580561021302</v>
      </c>
      <c r="W20">
        <f>graph_data!AD20</f>
        <v>1</v>
      </c>
      <c r="X20">
        <f>(graph_data!AE20-graph_range!AE$2)/(graph_range!AE$3-graph_range!AE$2)</f>
        <v>0.75438467646381369</v>
      </c>
      <c r="Y20">
        <f>(graph_data!AF20-graph_range!AF$2)/(graph_range!AF$3-graph_range!AF$2)</f>
        <v>0.55988691274314006</v>
      </c>
    </row>
    <row r="21" spans="1:25" x14ac:dyDescent="0.25">
      <c r="A21">
        <f t="shared" si="1"/>
        <v>0.85</v>
      </c>
      <c r="B21">
        <f t="shared" si="1"/>
        <v>1.85</v>
      </c>
      <c r="C21">
        <f t="shared" si="1"/>
        <v>2.85</v>
      </c>
      <c r="D21">
        <f t="shared" si="1"/>
        <v>-0.15</v>
      </c>
      <c r="E21">
        <f t="shared" si="1"/>
        <v>-0.15</v>
      </c>
      <c r="F21">
        <f t="shared" si="1"/>
        <v>3.85</v>
      </c>
      <c r="G21">
        <f t="shared" si="1"/>
        <v>4.8499999999999996</v>
      </c>
      <c r="H21">
        <f t="shared" si="1"/>
        <v>5.85</v>
      </c>
      <c r="I21">
        <f t="shared" si="1"/>
        <v>-0.15</v>
      </c>
      <c r="J21">
        <f t="shared" si="1"/>
        <v>-0.15</v>
      </c>
      <c r="K21">
        <f t="shared" si="1"/>
        <v>6.85</v>
      </c>
      <c r="L21">
        <f t="shared" si="1"/>
        <v>7.85</v>
      </c>
      <c r="N21">
        <f>(graph_data!U21-graph_range!U$2)/(graph_range!U$3-graph_range!U$2)</f>
        <v>0.89425474254742543</v>
      </c>
      <c r="O21">
        <f>(graph_data!V21-graph_range!V$2)/(graph_range!V$3-graph_range!V$2)</f>
        <v>2.2183143414829829E-2</v>
      </c>
      <c r="P21">
        <f>(graph_data!W21-graph_range!W$2)/(graph_range!W$3-graph_range!W$2)</f>
        <v>0.75267922922204467</v>
      </c>
      <c r="S21">
        <f>(graph_data!Z21-graph_range!Z$2)/(graph_range!Z$3-graph_range!Z$2)</f>
        <v>2.2183143414828334E-2</v>
      </c>
      <c r="T21">
        <f>(graph_data!AA21-graph_range!AA$2)/(graph_range!AA$3-graph_range!AA$2)</f>
        <v>0.5714285714285714</v>
      </c>
      <c r="U21">
        <f>(graph_data!AB21-graph_range!AB$2)/(graph_range!AB$3-graph_range!AB$2)</f>
        <v>2.0447257690124725E-2</v>
      </c>
      <c r="W21">
        <f>graph_data!AD21</f>
        <v>1</v>
      </c>
      <c r="X21">
        <f>(graph_data!AE21-graph_range!AE$2)/(graph_range!AE$3-graph_range!AE$2)</f>
        <v>0.25160771766079132</v>
      </c>
      <c r="Y21">
        <f>(graph_data!AF21-graph_range!AF$2)/(graph_range!AF$3-graph_range!AF$2)</f>
        <v>0.85834323755511532</v>
      </c>
    </row>
    <row r="22" spans="1:25" x14ac:dyDescent="0.25">
      <c r="A22">
        <f t="shared" si="1"/>
        <v>0.85</v>
      </c>
      <c r="B22">
        <f t="shared" si="1"/>
        <v>1.85</v>
      </c>
      <c r="C22">
        <f t="shared" si="1"/>
        <v>2.85</v>
      </c>
      <c r="D22">
        <f t="shared" si="1"/>
        <v>-0.15</v>
      </c>
      <c r="E22">
        <f t="shared" si="1"/>
        <v>-0.15</v>
      </c>
      <c r="F22">
        <f t="shared" si="1"/>
        <v>3.85</v>
      </c>
      <c r="G22">
        <f t="shared" si="1"/>
        <v>4.8499999999999996</v>
      </c>
      <c r="H22">
        <f t="shared" si="1"/>
        <v>5.85</v>
      </c>
      <c r="I22">
        <f t="shared" si="1"/>
        <v>-0.15</v>
      </c>
      <c r="J22">
        <f t="shared" si="1"/>
        <v>-0.15</v>
      </c>
      <c r="K22">
        <f t="shared" si="1"/>
        <v>6.85</v>
      </c>
      <c r="L22">
        <f t="shared" si="1"/>
        <v>7.85</v>
      </c>
      <c r="N22">
        <f>(graph_data!U22-graph_range!U$2)/(graph_range!U$3-graph_range!U$2)</f>
        <v>0.76412466124661249</v>
      </c>
      <c r="O22">
        <f>(graph_data!V22-graph_range!V$2)/(graph_range!V$3-graph_range!V$2)</f>
        <v>0.23948753828587294</v>
      </c>
      <c r="P22">
        <f>(graph_data!W22-graph_range!W$2)/(graph_range!W$3-graph_range!W$2)</f>
        <v>0.68786078899788694</v>
      </c>
      <c r="S22">
        <f>(graph_data!Z22-graph_range!Z$2)/(graph_range!Z$3-graph_range!Z$2)</f>
        <v>0.23948753828587088</v>
      </c>
      <c r="T22">
        <f>(graph_data!AA22-graph_range!AA$2)/(graph_range!AA$3-graph_range!AA$2)</f>
        <v>0.35714285714285715</v>
      </c>
      <c r="U22">
        <f>(graph_data!AB22-graph_range!AB$2)/(graph_range!AB$3-graph_range!AB$2)</f>
        <v>0.21035221145650282</v>
      </c>
      <c r="W22">
        <f>graph_data!AD22</f>
        <v>1</v>
      </c>
      <c r="X22">
        <f>(graph_data!AE22-graph_range!AE$2)/(graph_range!AE$3-graph_range!AE$2)</f>
        <v>0.5146960085586435</v>
      </c>
      <c r="Y22">
        <f>(graph_data!AF22-graph_range!AF$2)/(graph_range!AF$3-graph_range!AF$2)</f>
        <v>0.48059373030019054</v>
      </c>
    </row>
    <row r="23" spans="1:25" x14ac:dyDescent="0.25">
      <c r="A23">
        <f t="shared" si="1"/>
        <v>0.85</v>
      </c>
      <c r="B23">
        <f t="shared" si="1"/>
        <v>1.85</v>
      </c>
      <c r="C23">
        <f t="shared" si="1"/>
        <v>2.85</v>
      </c>
      <c r="D23">
        <f t="shared" si="1"/>
        <v>-0.15</v>
      </c>
      <c r="E23">
        <f t="shared" si="1"/>
        <v>-0.15</v>
      </c>
      <c r="F23">
        <f t="shared" si="1"/>
        <v>3.85</v>
      </c>
      <c r="G23">
        <f t="shared" si="1"/>
        <v>4.8499999999999996</v>
      </c>
      <c r="H23">
        <f t="shared" si="1"/>
        <v>5.85</v>
      </c>
      <c r="I23">
        <f t="shared" si="1"/>
        <v>-0.15</v>
      </c>
      <c r="J23">
        <f t="shared" si="1"/>
        <v>-0.15</v>
      </c>
      <c r="K23">
        <f t="shared" si="1"/>
        <v>6.85</v>
      </c>
      <c r="L23">
        <f t="shared" si="1"/>
        <v>7.85</v>
      </c>
      <c r="N23">
        <f>(graph_data!U23-graph_range!U$2)/(graph_range!U$3-graph_range!U$2)</f>
        <v>0.68750352303523032</v>
      </c>
      <c r="O23">
        <f>(graph_data!V23-graph_range!V$2)/(graph_range!V$3-graph_range!V$2)</f>
        <v>0.28100818179714077</v>
      </c>
      <c r="P23">
        <f>(graph_data!W23-graph_range!W$2)/(graph_range!W$3-graph_range!W$2)</f>
        <v>0.83608764111091316</v>
      </c>
      <c r="S23">
        <f>(graph_data!Z23-graph_range!Z$2)/(graph_range!Z$3-graph_range!Z$2)</f>
        <v>0.28100818179713871</v>
      </c>
      <c r="T23">
        <f>(graph_data!AA23-graph_range!AA$2)/(graph_range!AA$3-graph_range!AA$2)</f>
        <v>0.35714285714285715</v>
      </c>
      <c r="U23">
        <f>(graph_data!AB23-graph_range!AB$2)/(graph_range!AB$3-graph_range!AB$2)</f>
        <v>0.26209234332195885</v>
      </c>
      <c r="W23">
        <f>graph_data!AD23</f>
        <v>1</v>
      </c>
      <c r="X23">
        <f>(graph_data!AE23-graph_range!AE$2)/(graph_range!AE$3-graph_range!AE$2)</f>
        <v>0.8034271833204859</v>
      </c>
      <c r="Y23">
        <f>(graph_data!AF23-graph_range!AF$2)/(graph_range!AF$3-graph_range!AF$2)</f>
        <v>0.54587206674686894</v>
      </c>
    </row>
    <row r="24" spans="1:25" x14ac:dyDescent="0.25">
      <c r="A24">
        <f t="shared" si="1"/>
        <v>0.85</v>
      </c>
      <c r="B24">
        <f t="shared" si="1"/>
        <v>1.85</v>
      </c>
      <c r="C24">
        <f t="shared" si="1"/>
        <v>2.85</v>
      </c>
      <c r="D24">
        <f t="shared" si="1"/>
        <v>-0.15</v>
      </c>
      <c r="E24">
        <f t="shared" si="1"/>
        <v>-0.15</v>
      </c>
      <c r="F24">
        <f t="shared" si="1"/>
        <v>3.85</v>
      </c>
      <c r="G24">
        <f t="shared" si="1"/>
        <v>4.8499999999999996</v>
      </c>
      <c r="H24">
        <f t="shared" si="1"/>
        <v>5.85</v>
      </c>
      <c r="I24">
        <f t="shared" si="1"/>
        <v>-0.15</v>
      </c>
      <c r="J24">
        <f t="shared" si="1"/>
        <v>-0.15</v>
      </c>
      <c r="K24">
        <f t="shared" si="1"/>
        <v>6.85</v>
      </c>
      <c r="L24">
        <f t="shared" si="1"/>
        <v>7.85</v>
      </c>
      <c r="N24">
        <f>(graph_data!U24-graph_range!U$2)/(graph_range!U$3-graph_range!U$2)</f>
        <v>0.95862330623306224</v>
      </c>
      <c r="O24">
        <f>(graph_data!V24-graph_range!V$2)/(graph_range!V$3-graph_range!V$2)</f>
        <v>0.22649879066789078</v>
      </c>
      <c r="P24">
        <f>(graph_data!W24-graph_range!W$2)/(graph_range!W$3-graph_range!W$2)</f>
        <v>0.80577647796767882</v>
      </c>
      <c r="S24">
        <f>(graph_data!Z24-graph_range!Z$2)/(graph_range!Z$3-graph_range!Z$2)</f>
        <v>0.22649879066788922</v>
      </c>
      <c r="T24">
        <f>(graph_data!AA24-graph_range!AA$2)/(graph_range!AA$3-graph_range!AA$2)</f>
        <v>0.21428571428571427</v>
      </c>
      <c r="U24">
        <f>(graph_data!AB24-graph_range!AB$2)/(graph_range!AB$3-graph_range!AB$2)</f>
        <v>0.14309330113536692</v>
      </c>
      <c r="W24">
        <f>graph_data!AD24</f>
        <v>1</v>
      </c>
      <c r="X24">
        <f>(graph_data!AE24-graph_range!AE$2)/(graph_range!AE$3-graph_range!AE$2)</f>
        <v>0.45734196853386083</v>
      </c>
      <c r="Y24">
        <f>(graph_data!AF24-graph_range!AF$2)/(graph_range!AF$3-graph_range!AF$2)</f>
        <v>0.58036570042651647</v>
      </c>
    </row>
    <row r="25" spans="1:25" x14ac:dyDescent="0.25">
      <c r="A25">
        <f t="shared" si="1"/>
        <v>0.85</v>
      </c>
      <c r="B25">
        <f t="shared" si="1"/>
        <v>1.85</v>
      </c>
      <c r="C25">
        <f t="shared" si="1"/>
        <v>2.85</v>
      </c>
      <c r="D25">
        <f t="shared" si="1"/>
        <v>-0.15</v>
      </c>
      <c r="E25">
        <f t="shared" si="1"/>
        <v>-0.15</v>
      </c>
      <c r="F25">
        <f t="shared" si="1"/>
        <v>3.85</v>
      </c>
      <c r="G25">
        <f t="shared" si="1"/>
        <v>4.8499999999999996</v>
      </c>
      <c r="H25">
        <f t="shared" si="1"/>
        <v>5.85</v>
      </c>
      <c r="I25">
        <f t="shared" si="1"/>
        <v>-0.15</v>
      </c>
      <c r="J25">
        <f t="shared" si="1"/>
        <v>-0.15</v>
      </c>
      <c r="K25">
        <f t="shared" si="1"/>
        <v>6.85</v>
      </c>
      <c r="L25">
        <f t="shared" si="1"/>
        <v>7.85</v>
      </c>
      <c r="N25">
        <f>(graph_data!U25-graph_range!U$2)/(graph_range!U$3-graph_range!U$2)</f>
        <v>0.76995555555555562</v>
      </c>
      <c r="O25">
        <f>(graph_data!V25-graph_range!V$2)/(graph_range!V$3-graph_range!V$2)</f>
        <v>0.13508066071580122</v>
      </c>
      <c r="P25">
        <f>(graph_data!W25-graph_range!W$2)/(graph_range!W$3-graph_range!W$2)</f>
        <v>0.70090714258185693</v>
      </c>
      <c r="S25">
        <f>(graph_data!Z25-graph_range!Z$2)/(graph_range!Z$3-graph_range!Z$2)</f>
        <v>0.13508066071579755</v>
      </c>
      <c r="T25">
        <f>(graph_data!AA25-graph_range!AA$2)/(graph_range!AA$3-graph_range!AA$2)</f>
        <v>0.5</v>
      </c>
      <c r="U25">
        <f>(graph_data!AB25-graph_range!AB$2)/(graph_range!AB$3-graph_range!AB$2)</f>
        <v>0.10325483991988012</v>
      </c>
      <c r="W25">
        <f>graph_data!AD25</f>
        <v>1</v>
      </c>
      <c r="X25">
        <f>(graph_data!AE25-graph_range!AE$2)/(graph_range!AE$3-graph_range!AE$2)</f>
        <v>0.35085889895655675</v>
      </c>
      <c r="Y25">
        <f>(graph_data!AF25-graph_range!AF$2)/(graph_range!AF$3-graph_range!AF$2)</f>
        <v>0.607198613941206</v>
      </c>
    </row>
    <row r="26" spans="1:25" x14ac:dyDescent="0.25">
      <c r="A26">
        <f t="shared" si="1"/>
        <v>0.85</v>
      </c>
      <c r="B26">
        <f t="shared" si="1"/>
        <v>1.85</v>
      </c>
      <c r="C26">
        <f t="shared" si="1"/>
        <v>2.85</v>
      </c>
      <c r="D26">
        <f t="shared" si="1"/>
        <v>-0.15</v>
      </c>
      <c r="E26">
        <f t="shared" si="1"/>
        <v>-0.15</v>
      </c>
      <c r="F26">
        <f t="shared" si="1"/>
        <v>3.85</v>
      </c>
      <c r="G26">
        <f t="shared" si="1"/>
        <v>4.8499999999999996</v>
      </c>
      <c r="H26">
        <f t="shared" si="1"/>
        <v>5.85</v>
      </c>
      <c r="I26">
        <f t="shared" si="1"/>
        <v>-0.15</v>
      </c>
      <c r="J26">
        <f t="shared" si="1"/>
        <v>-0.15</v>
      </c>
      <c r="K26">
        <f t="shared" si="1"/>
        <v>6.85</v>
      </c>
      <c r="L26">
        <f t="shared" si="1"/>
        <v>7.85</v>
      </c>
      <c r="N26">
        <f>(graph_data!U26-graph_range!U$2)/(graph_range!U$3-graph_range!U$2)</f>
        <v>0.77276097560975621</v>
      </c>
      <c r="O26">
        <f>(graph_data!V26-graph_range!V$2)/(graph_range!V$3-graph_range!V$2)</f>
        <v>0.10640391499571816</v>
      </c>
      <c r="P26">
        <f>(graph_data!W26-graph_range!W$2)/(graph_range!W$3-graph_range!W$2)</f>
        <v>0.77681980085424784</v>
      </c>
      <c r="S26">
        <f>(graph_data!Z26-graph_range!Z$2)/(graph_range!Z$3-graph_range!Z$2)</f>
        <v>0.10640391499571479</v>
      </c>
      <c r="T26">
        <f>(graph_data!AA26-graph_range!AA$2)/(graph_range!AA$3-graph_range!AA$2)</f>
        <v>0.5</v>
      </c>
      <c r="U26">
        <f>(graph_data!AB26-graph_range!AB$2)/(graph_range!AB$3-graph_range!AB$2)</f>
        <v>7.4085623817255336E-2</v>
      </c>
      <c r="W26">
        <f>graph_data!AD26</f>
        <v>1</v>
      </c>
      <c r="X26">
        <f>(graph_data!AE26-graph_range!AE$2)/(graph_range!AE$3-graph_range!AE$2)</f>
        <v>0.36466580587602226</v>
      </c>
      <c r="Y26">
        <f>(graph_data!AF26-graph_range!AF$2)/(graph_range!AF$3-graph_range!AF$2)</f>
        <v>0.71805352939855083</v>
      </c>
    </row>
    <row r="27" spans="1:25" x14ac:dyDescent="0.25">
      <c r="A27">
        <f t="shared" si="1"/>
        <v>0.85</v>
      </c>
      <c r="B27">
        <f t="shared" si="1"/>
        <v>1.85</v>
      </c>
      <c r="C27">
        <f t="shared" si="1"/>
        <v>2.85</v>
      </c>
      <c r="D27">
        <f t="shared" si="1"/>
        <v>-0.15</v>
      </c>
      <c r="E27">
        <f t="shared" si="1"/>
        <v>-0.15</v>
      </c>
      <c r="F27">
        <f t="shared" si="1"/>
        <v>3.85</v>
      </c>
      <c r="G27">
        <f t="shared" si="1"/>
        <v>4.8499999999999996</v>
      </c>
      <c r="H27">
        <f t="shared" si="1"/>
        <v>5.85</v>
      </c>
      <c r="I27">
        <f t="shared" si="1"/>
        <v>-0.15</v>
      </c>
      <c r="J27">
        <f t="shared" si="1"/>
        <v>-0.15</v>
      </c>
      <c r="K27">
        <f t="shared" si="1"/>
        <v>6.85</v>
      </c>
      <c r="L27">
        <f t="shared" si="1"/>
        <v>7.85</v>
      </c>
      <c r="N27">
        <f>(graph_data!U27-graph_range!U$2)/(graph_range!U$3-graph_range!U$2)</f>
        <v>0.87902439024390255</v>
      </c>
      <c r="O27">
        <f>(graph_data!V27-graph_range!V$2)/(graph_range!V$3-graph_range!V$2)</f>
        <v>0.42788658123548601</v>
      </c>
      <c r="P27">
        <f>(graph_data!W27-graph_range!W$2)/(graph_range!W$3-graph_range!W$2)</f>
        <v>0.80211517655515929</v>
      </c>
      <c r="S27">
        <f>(graph_data!Z27-graph_range!Z$2)/(graph_range!Z$3-graph_range!Z$2)</f>
        <v>0.42788658123548312</v>
      </c>
      <c r="T27">
        <f>(graph_data!AA27-graph_range!AA$2)/(graph_range!AA$3-graph_range!AA$2)</f>
        <v>0.14285714285714285</v>
      </c>
      <c r="U27">
        <f>(graph_data!AB27-graph_range!AB$2)/(graph_range!AB$3-graph_range!AB$2)</f>
        <v>0.33369803345919835</v>
      </c>
      <c r="W27">
        <f>graph_data!AD27</f>
        <v>1</v>
      </c>
      <c r="X27">
        <f>(graph_data!AE27-graph_range!AE$2)/(graph_range!AE$3-graph_range!AE$2)</f>
        <v>0.71488201353048253</v>
      </c>
      <c r="Y27">
        <f>(graph_data!AF27-graph_range!AF$2)/(graph_range!AF$3-graph_range!AF$2)</f>
        <v>0.41113760105074743</v>
      </c>
    </row>
    <row r="28" spans="1:25" x14ac:dyDescent="0.25">
      <c r="A28">
        <f t="shared" si="1"/>
        <v>0.85</v>
      </c>
      <c r="B28">
        <f t="shared" si="1"/>
        <v>1.85</v>
      </c>
      <c r="C28">
        <f t="shared" si="1"/>
        <v>2.85</v>
      </c>
      <c r="D28">
        <f t="shared" si="1"/>
        <v>-0.15</v>
      </c>
      <c r="E28">
        <f t="shared" si="1"/>
        <v>-0.15</v>
      </c>
      <c r="F28">
        <f t="shared" si="1"/>
        <v>3.85</v>
      </c>
      <c r="G28">
        <f t="shared" si="1"/>
        <v>4.8499999999999996</v>
      </c>
      <c r="H28">
        <f t="shared" si="1"/>
        <v>5.85</v>
      </c>
      <c r="I28">
        <f t="shared" si="1"/>
        <v>-0.15</v>
      </c>
      <c r="J28">
        <f t="shared" si="1"/>
        <v>-0.15</v>
      </c>
      <c r="K28">
        <f t="shared" si="1"/>
        <v>6.85</v>
      </c>
      <c r="L28">
        <f t="shared" si="1"/>
        <v>7.85</v>
      </c>
      <c r="N28">
        <f>(graph_data!U28-graph_range!U$2)/(graph_range!U$3-graph_range!U$2)</f>
        <v>0.86178861788617889</v>
      </c>
      <c r="O28">
        <f>(graph_data!V28-graph_range!V$2)/(graph_range!V$3-graph_range!V$2)</f>
        <v>0.43546178356234128</v>
      </c>
      <c r="P28">
        <f>(graph_data!W28-graph_range!W$2)/(graph_range!W$3-graph_range!W$2)</f>
        <v>0.68586257300958975</v>
      </c>
      <c r="S28">
        <f>(graph_data!Z28-graph_range!Z$2)/(graph_range!Z$3-graph_range!Z$2)</f>
        <v>0.43546178356234166</v>
      </c>
      <c r="T28">
        <f>(graph_data!AA28-graph_range!AA$2)/(graph_range!AA$3-graph_range!AA$2)</f>
        <v>0.14285714285714285</v>
      </c>
      <c r="U28">
        <f>(graph_data!AB28-graph_range!AB$2)/(graph_range!AB$3-graph_range!AB$2)</f>
        <v>0.39750832634573874</v>
      </c>
      <c r="W28">
        <f>graph_data!AD28</f>
        <v>1</v>
      </c>
      <c r="X28">
        <f>(graph_data!AE28-graph_range!AE$2)/(graph_range!AE$3-graph_range!AE$2)</f>
        <v>0.69227136161961855</v>
      </c>
      <c r="Y28">
        <f>(graph_data!AF28-graph_range!AF$2)/(graph_range!AF$3-graph_range!AF$2)</f>
        <v>0.34201452413257522</v>
      </c>
    </row>
    <row r="29" spans="1:25" x14ac:dyDescent="0.25">
      <c r="A29">
        <f t="shared" si="1"/>
        <v>0.85</v>
      </c>
      <c r="B29">
        <f t="shared" si="1"/>
        <v>1.85</v>
      </c>
      <c r="C29">
        <f t="shared" si="1"/>
        <v>2.85</v>
      </c>
      <c r="D29">
        <f t="shared" si="1"/>
        <v>-0.15</v>
      </c>
      <c r="E29">
        <f t="shared" si="1"/>
        <v>-0.15</v>
      </c>
      <c r="F29">
        <f t="shared" si="1"/>
        <v>3.85</v>
      </c>
      <c r="G29">
        <f t="shared" si="1"/>
        <v>4.8499999999999996</v>
      </c>
      <c r="H29">
        <f t="shared" si="1"/>
        <v>5.85</v>
      </c>
      <c r="I29">
        <f t="shared" si="1"/>
        <v>-0.15</v>
      </c>
      <c r="J29">
        <f t="shared" si="1"/>
        <v>-0.15</v>
      </c>
      <c r="K29">
        <f t="shared" si="1"/>
        <v>6.85</v>
      </c>
      <c r="L29">
        <f t="shared" si="1"/>
        <v>7.85</v>
      </c>
      <c r="N29">
        <f>(graph_data!U29-graph_range!U$2)/(graph_range!U$3-graph_range!U$2)</f>
        <v>0.87914363143631424</v>
      </c>
      <c r="O29">
        <f>(graph_data!V29-graph_range!V$2)/(graph_range!V$3-graph_range!V$2)</f>
        <v>0.18279985457154543</v>
      </c>
      <c r="P29">
        <f>(graph_data!W29-graph_range!W$2)/(graph_range!W$3-graph_range!W$2)</f>
        <v>0.81487666915966572</v>
      </c>
      <c r="S29">
        <f>(graph_data!Z29-graph_range!Z$2)/(graph_range!Z$3-graph_range!Z$2)</f>
        <v>0.18279985457154554</v>
      </c>
      <c r="T29">
        <f>(graph_data!AA29-graph_range!AA$2)/(graph_range!AA$3-graph_range!AA$2)</f>
        <v>0.2857142857142857</v>
      </c>
      <c r="U29">
        <f>(graph_data!AB29-graph_range!AB$2)/(graph_range!AB$3-graph_range!AB$2)</f>
        <v>0.12551459201347487</v>
      </c>
      <c r="W29">
        <f>graph_data!AD29</f>
        <v>1</v>
      </c>
      <c r="X29">
        <f>(graph_data!AE29-graph_range!AE$2)/(graph_range!AE$3-graph_range!AE$2)</f>
        <v>0.47546481400046459</v>
      </c>
      <c r="Y29">
        <f>(graph_data!AF29-graph_range!AF$2)/(graph_range!AF$3-graph_range!AF$2)</f>
        <v>0.63946837912324095</v>
      </c>
    </row>
    <row r="30" spans="1:25" x14ac:dyDescent="0.25">
      <c r="A30">
        <f t="shared" si="1"/>
        <v>0.85</v>
      </c>
      <c r="B30">
        <f t="shared" si="1"/>
        <v>1.85</v>
      </c>
      <c r="C30">
        <f t="shared" si="1"/>
        <v>2.85</v>
      </c>
      <c r="D30">
        <f t="shared" si="1"/>
        <v>-0.15</v>
      </c>
      <c r="E30">
        <f t="shared" si="1"/>
        <v>-0.15</v>
      </c>
      <c r="F30">
        <f t="shared" si="1"/>
        <v>3.85</v>
      </c>
      <c r="G30">
        <f t="shared" si="1"/>
        <v>4.8499999999999996</v>
      </c>
      <c r="H30">
        <f t="shared" si="1"/>
        <v>5.85</v>
      </c>
      <c r="I30">
        <f t="shared" si="1"/>
        <v>-0.15</v>
      </c>
      <c r="J30">
        <f t="shared" si="1"/>
        <v>-0.15</v>
      </c>
      <c r="K30">
        <f t="shared" si="1"/>
        <v>6.85</v>
      </c>
      <c r="L30">
        <f t="shared" si="1"/>
        <v>7.85</v>
      </c>
      <c r="N30">
        <f>(graph_data!U30-graph_range!U$2)/(graph_range!U$3-graph_range!U$2)</f>
        <v>0.82667750677506768</v>
      </c>
      <c r="O30">
        <f>(graph_data!V30-graph_range!V$2)/(graph_range!V$3-graph_range!V$2)</f>
        <v>0.17177747710562663</v>
      </c>
      <c r="P30">
        <f>(graph_data!W30-graph_range!W$2)/(graph_range!W$3-graph_range!W$2)</f>
        <v>0.82504229626994097</v>
      </c>
      <c r="S30">
        <f>(graph_data!Z30-graph_range!Z$2)/(graph_range!Z$3-graph_range!Z$2)</f>
        <v>0.17177747710562397</v>
      </c>
      <c r="T30">
        <f>(graph_data!AA30-graph_range!AA$2)/(graph_range!AA$3-graph_range!AA$2)</f>
        <v>0.35714285714285715</v>
      </c>
      <c r="U30">
        <f>(graph_data!AB30-graph_range!AB$2)/(graph_range!AB$3-graph_range!AB$2)</f>
        <v>0.12692094309495888</v>
      </c>
      <c r="W30">
        <f>graph_data!AD30</f>
        <v>1</v>
      </c>
      <c r="X30">
        <f>(graph_data!AE30-graph_range!AE$2)/(graph_range!AE$3-graph_range!AE$2)</f>
        <v>0.51170956859234851</v>
      </c>
      <c r="Y30">
        <f>(graph_data!AF30-graph_range!AF$2)/(graph_range!AF$3-graph_range!AF$2)</f>
        <v>0.66224618892206044</v>
      </c>
    </row>
    <row r="31" spans="1:25" x14ac:dyDescent="0.25">
      <c r="A31">
        <f t="shared" si="1"/>
        <v>0.85</v>
      </c>
      <c r="B31">
        <f t="shared" si="1"/>
        <v>1.85</v>
      </c>
      <c r="C31">
        <f t="shared" si="1"/>
        <v>2.85</v>
      </c>
      <c r="D31">
        <f t="shared" si="1"/>
        <v>-0.15</v>
      </c>
      <c r="E31">
        <f t="shared" si="1"/>
        <v>-0.15</v>
      </c>
      <c r="F31">
        <f t="shared" si="1"/>
        <v>3.85</v>
      </c>
      <c r="G31">
        <f t="shared" si="1"/>
        <v>4.8499999999999996</v>
      </c>
      <c r="H31">
        <f t="shared" si="1"/>
        <v>5.85</v>
      </c>
      <c r="I31">
        <f t="shared" si="1"/>
        <v>-0.15</v>
      </c>
      <c r="J31">
        <f t="shared" si="1"/>
        <v>-0.15</v>
      </c>
      <c r="K31">
        <f t="shared" si="1"/>
        <v>6.85</v>
      </c>
      <c r="L31">
        <f t="shared" si="1"/>
        <v>7.85</v>
      </c>
      <c r="N31">
        <f>(graph_data!U31-graph_range!U$2)/(graph_range!U$3-graph_range!U$2)</f>
        <v>0.87852574525745253</v>
      </c>
      <c r="O31">
        <f>(graph_data!V31-graph_range!V$2)/(graph_range!V$3-graph_range!V$2)</f>
        <v>0.19349627170818645</v>
      </c>
      <c r="P31">
        <f>(graph_data!W31-graph_range!W$2)/(graph_range!W$3-graph_range!W$2)</f>
        <v>0.72136686351863644</v>
      </c>
      <c r="S31">
        <f>(graph_data!Z31-graph_range!Z$2)/(graph_range!Z$3-graph_range!Z$2)</f>
        <v>0.19349627170818631</v>
      </c>
      <c r="T31">
        <f>(graph_data!AA31-graph_range!AA$2)/(graph_range!AA$3-graph_range!AA$2)</f>
        <v>0.2857142857142857</v>
      </c>
      <c r="U31">
        <f>(graph_data!AB31-graph_range!AB$2)/(graph_range!AB$3-graph_range!AB$2)</f>
        <v>0.16374560073679212</v>
      </c>
      <c r="W31">
        <f>graph_data!AD31</f>
        <v>1</v>
      </c>
      <c r="X31">
        <f>(graph_data!AE31-graph_range!AE$2)/(graph_range!AE$3-graph_range!AE$2)</f>
        <v>0.48669514745025472</v>
      </c>
      <c r="Y31">
        <f>(graph_data!AF31-graph_range!AF$2)/(graph_range!AF$3-graph_range!AF$2)</f>
        <v>0.55255200546102035</v>
      </c>
    </row>
    <row r="32" spans="1:25" x14ac:dyDescent="0.25">
      <c r="A32">
        <f t="shared" si="1"/>
        <v>0.85</v>
      </c>
      <c r="B32">
        <f t="shared" si="1"/>
        <v>1.85</v>
      </c>
      <c r="C32">
        <f t="shared" si="1"/>
        <v>2.85</v>
      </c>
      <c r="D32">
        <f t="shared" si="1"/>
        <v>-0.15</v>
      </c>
      <c r="E32">
        <f t="shared" si="1"/>
        <v>-0.15</v>
      </c>
      <c r="F32">
        <f t="shared" si="1"/>
        <v>3.85</v>
      </c>
      <c r="G32">
        <f t="shared" si="1"/>
        <v>4.8499999999999996</v>
      </c>
      <c r="H32">
        <f t="shared" si="1"/>
        <v>5.85</v>
      </c>
      <c r="I32">
        <f t="shared" si="1"/>
        <v>-0.15</v>
      </c>
      <c r="J32">
        <f t="shared" si="1"/>
        <v>-0.15</v>
      </c>
      <c r="K32">
        <f t="shared" si="1"/>
        <v>6.85</v>
      </c>
      <c r="L32">
        <f t="shared" si="1"/>
        <v>7.85</v>
      </c>
      <c r="N32">
        <f>(graph_data!U32-graph_range!U$2)/(graph_range!U$3-graph_range!U$2)</f>
        <v>0.8184628726287263</v>
      </c>
      <c r="O32">
        <f>(graph_data!V32-graph_range!V$2)/(graph_range!V$3-graph_range!V$2)</f>
        <v>0.39774730552319526</v>
      </c>
      <c r="P32">
        <f>(graph_data!W32-graph_range!W$2)/(graph_range!W$3-graph_range!W$2)</f>
        <v>0.67086827302193375</v>
      </c>
      <c r="S32">
        <f>(graph_data!Z32-graph_range!Z$2)/(graph_range!Z$3-graph_range!Z$2)</f>
        <v>0.39774730552319348</v>
      </c>
      <c r="T32">
        <f>(graph_data!AA32-graph_range!AA$2)/(graph_range!AA$3-graph_range!AA$2)</f>
        <v>0.21428571428571427</v>
      </c>
      <c r="U32">
        <f>(graph_data!AB32-graph_range!AB$2)/(graph_range!AB$3-graph_range!AB$2)</f>
        <v>0.39584923970758229</v>
      </c>
      <c r="W32">
        <f>graph_data!AD32</f>
        <v>1</v>
      </c>
      <c r="X32">
        <f>(graph_data!AE32-graph_range!AE$2)/(graph_range!AE$3-graph_range!AE$2)</f>
        <v>0.72246463877809586</v>
      </c>
      <c r="Y32">
        <f>(graph_data!AF32-graph_range!AF$2)/(graph_range!AF$3-graph_range!AF$2)</f>
        <v>0.35438368696635303</v>
      </c>
    </row>
    <row r="33" spans="1:25" x14ac:dyDescent="0.25">
      <c r="A33">
        <f t="shared" si="1"/>
        <v>0.85</v>
      </c>
      <c r="B33">
        <f t="shared" si="1"/>
        <v>1.85</v>
      </c>
      <c r="C33">
        <f t="shared" si="1"/>
        <v>2.85</v>
      </c>
      <c r="D33">
        <f t="shared" si="1"/>
        <v>-0.15</v>
      </c>
      <c r="E33">
        <f t="shared" si="1"/>
        <v>-0.15</v>
      </c>
      <c r="F33">
        <f t="shared" si="1"/>
        <v>3.85</v>
      </c>
      <c r="G33">
        <f t="shared" si="1"/>
        <v>4.8499999999999996</v>
      </c>
      <c r="H33">
        <f t="shared" si="1"/>
        <v>5.85</v>
      </c>
      <c r="I33">
        <f t="shared" si="1"/>
        <v>-0.15</v>
      </c>
      <c r="J33">
        <f t="shared" si="1"/>
        <v>-0.15</v>
      </c>
      <c r="K33">
        <f t="shared" si="1"/>
        <v>6.85</v>
      </c>
      <c r="L33">
        <f t="shared" si="1"/>
        <v>7.85</v>
      </c>
      <c r="N33">
        <f>(graph_data!U33-graph_range!U$2)/(graph_range!U$3-graph_range!U$2)</f>
        <v>0.87064498644986454</v>
      </c>
      <c r="O33">
        <f>(graph_data!V33-graph_range!V$2)/(graph_range!V$3-graph_range!V$2)</f>
        <v>7.3227711257011066E-2</v>
      </c>
      <c r="P33">
        <f>(graph_data!W33-graph_range!W$2)/(graph_range!W$3-graph_range!W$2)</f>
        <v>0.86928511623724347</v>
      </c>
      <c r="S33">
        <f>(graph_data!Z33-graph_range!Z$2)/(graph_range!Z$3-graph_range!Z$2)</f>
        <v>7.3227711257011066E-2</v>
      </c>
      <c r="T33">
        <f>(graph_data!AA33-graph_range!AA$2)/(graph_range!AA$3-graph_range!AA$2)</f>
        <v>0.42857142857142855</v>
      </c>
      <c r="U33">
        <f>(graph_data!AB33-graph_range!AB$2)/(graph_range!AB$3-graph_range!AB$2)</f>
        <v>3.6194313422799003E-2</v>
      </c>
      <c r="W33">
        <f>graph_data!AD33</f>
        <v>1</v>
      </c>
      <c r="X33">
        <f>(graph_data!AE33-graph_range!AE$2)/(graph_range!AE$3-graph_range!AE$2)</f>
        <v>0.33802263195702303</v>
      </c>
      <c r="Y33">
        <f>(graph_data!AF33-graph_range!AF$2)/(graph_range!AF$3-graph_range!AF$2)</f>
        <v>0.86805815349845272</v>
      </c>
    </row>
    <row r="34" spans="1:25" x14ac:dyDescent="0.25">
      <c r="A34">
        <f t="shared" si="1"/>
        <v>0.85</v>
      </c>
      <c r="B34">
        <f t="shared" si="1"/>
        <v>1.85</v>
      </c>
      <c r="C34">
        <f t="shared" si="1"/>
        <v>2.85</v>
      </c>
      <c r="D34">
        <f t="shared" si="1"/>
        <v>-0.15</v>
      </c>
      <c r="E34">
        <f t="shared" si="1"/>
        <v>-0.15</v>
      </c>
      <c r="F34">
        <f t="shared" si="1"/>
        <v>3.85</v>
      </c>
      <c r="G34">
        <f t="shared" si="1"/>
        <v>4.8499999999999996</v>
      </c>
      <c r="H34">
        <f t="shared" si="1"/>
        <v>5.85</v>
      </c>
      <c r="I34">
        <f t="shared" si="1"/>
        <v>-0.15</v>
      </c>
      <c r="J34">
        <f t="shared" si="1"/>
        <v>-0.15</v>
      </c>
      <c r="K34">
        <f t="shared" si="1"/>
        <v>6.85</v>
      </c>
      <c r="L34">
        <f t="shared" si="1"/>
        <v>7.85</v>
      </c>
      <c r="N34">
        <f>(graph_data!U34-graph_range!U$2)/(graph_range!U$3-graph_range!U$2)</f>
        <v>0.86071544715447157</v>
      </c>
      <c r="O34">
        <f>(graph_data!V34-graph_range!V$2)/(graph_range!V$3-graph_range!V$2)</f>
        <v>0.10272372161830623</v>
      </c>
      <c r="P34">
        <f>(graph_data!W34-graph_range!W$2)/(graph_range!W$3-graph_range!W$2)</f>
        <v>0.8539878023645695</v>
      </c>
      <c r="S34">
        <f>(graph_data!Z34-graph_range!Z$2)/(graph_range!Z$3-graph_range!Z$2)</f>
        <v>0.10272372161830531</v>
      </c>
      <c r="T34">
        <f>(graph_data!AA34-graph_range!AA$2)/(graph_range!AA$3-graph_range!AA$2)</f>
        <v>0.42857142857142855</v>
      </c>
      <c r="U34">
        <f>(graph_data!AB34-graph_range!AB$2)/(graph_range!AB$3-graph_range!AB$2)</f>
        <v>5.2393847329515943E-2</v>
      </c>
      <c r="W34">
        <f>graph_data!AD34</f>
        <v>1</v>
      </c>
      <c r="X34">
        <f>(graph_data!AE34-graph_range!AE$2)/(graph_range!AE$3-graph_range!AE$2)</f>
        <v>0.34880375408461317</v>
      </c>
      <c r="Y34">
        <f>(graph_data!AF34-graph_range!AF$2)/(graph_range!AF$3-graph_range!AF$2)</f>
        <v>0.79589516687402739</v>
      </c>
    </row>
    <row r="35" spans="1:25" x14ac:dyDescent="0.25">
      <c r="A35">
        <f t="shared" si="1"/>
        <v>0.85</v>
      </c>
      <c r="B35">
        <f t="shared" si="1"/>
        <v>1.85</v>
      </c>
      <c r="C35">
        <f t="shared" si="1"/>
        <v>2.85</v>
      </c>
      <c r="D35">
        <f t="shared" si="1"/>
        <v>-0.15</v>
      </c>
      <c r="E35">
        <f t="shared" si="1"/>
        <v>-0.15</v>
      </c>
      <c r="F35">
        <f t="shared" si="1"/>
        <v>3.85</v>
      </c>
      <c r="G35">
        <f t="shared" si="1"/>
        <v>4.8499999999999996</v>
      </c>
      <c r="H35">
        <f t="shared" si="1"/>
        <v>5.85</v>
      </c>
      <c r="I35">
        <f t="shared" si="1"/>
        <v>-0.15</v>
      </c>
      <c r="J35">
        <f t="shared" si="1"/>
        <v>-0.15</v>
      </c>
      <c r="K35">
        <f t="shared" si="1"/>
        <v>6.85</v>
      </c>
      <c r="L35">
        <f t="shared" si="1"/>
        <v>7.85</v>
      </c>
      <c r="N35">
        <f>(graph_data!U35-graph_range!U$2)/(graph_range!U$3-graph_range!U$2)</f>
        <v>0.72991761517615172</v>
      </c>
      <c r="O35">
        <f>(graph_data!V35-graph_range!V$2)/(graph_range!V$3-graph_range!V$2)</f>
        <v>8.3588982347994473E-2</v>
      </c>
      <c r="P35">
        <f>(graph_data!W35-graph_range!W$2)/(graph_range!W$3-graph_range!W$2)</f>
        <v>0.90433977323948933</v>
      </c>
      <c r="S35">
        <f>(graph_data!Z35-graph_range!Z$2)/(graph_range!Z$3-graph_range!Z$2)</f>
        <v>8.3588982347991767E-2</v>
      </c>
      <c r="T35">
        <f>(graph_data!AA35-graph_range!AA$2)/(graph_range!AA$3-graph_range!AA$2)</f>
        <v>0.5714285714285714</v>
      </c>
      <c r="U35">
        <f>(graph_data!AB35-graph_range!AB$2)/(graph_range!AB$3-graph_range!AB$2)</f>
        <v>4.7364953269059699E-2</v>
      </c>
      <c r="W35">
        <f>graph_data!AD35</f>
        <v>1</v>
      </c>
      <c r="X35">
        <f>(graph_data!AE35-graph_range!AE$2)/(graph_range!AE$3-graph_range!AE$2)</f>
        <v>0.40579737285395873</v>
      </c>
      <c r="Y35">
        <f>(graph_data!AF35-graph_range!AF$2)/(graph_range!AF$3-graph_range!AF$2)</f>
        <v>0.88078634245867382</v>
      </c>
    </row>
    <row r="36" spans="1:25" x14ac:dyDescent="0.25">
      <c r="A36">
        <f t="shared" ref="A36:K67" si="2">A$2+($W36-2.5)/10</f>
        <v>0.85</v>
      </c>
      <c r="B36">
        <f t="shared" si="2"/>
        <v>1.85</v>
      </c>
      <c r="C36">
        <f t="shared" si="2"/>
        <v>2.85</v>
      </c>
      <c r="D36">
        <f t="shared" si="2"/>
        <v>-0.15</v>
      </c>
      <c r="E36">
        <f t="shared" si="2"/>
        <v>-0.15</v>
      </c>
      <c r="F36">
        <f t="shared" si="2"/>
        <v>3.85</v>
      </c>
      <c r="G36">
        <f t="shared" si="2"/>
        <v>4.8499999999999996</v>
      </c>
      <c r="H36">
        <f t="shared" si="2"/>
        <v>5.85</v>
      </c>
      <c r="I36">
        <f t="shared" si="2"/>
        <v>-0.15</v>
      </c>
      <c r="J36">
        <f t="shared" si="2"/>
        <v>-0.15</v>
      </c>
      <c r="K36">
        <f t="shared" si="2"/>
        <v>6.85</v>
      </c>
      <c r="L36">
        <f t="shared" ref="L36:L99" si="3">L$2+($W36-2.5)/10</f>
        <v>7.85</v>
      </c>
      <c r="N36">
        <f>(graph_data!U36-graph_range!U$2)/(graph_range!U$3-graph_range!U$2)</f>
        <v>0.86705691056910561</v>
      </c>
      <c r="O36">
        <f>(graph_data!V36-graph_range!V$2)/(graph_range!V$3-graph_range!V$2)</f>
        <v>0.18044556269625125</v>
      </c>
      <c r="P36">
        <f>(graph_data!W36-graph_range!W$2)/(graph_range!W$3-graph_range!W$2)</f>
        <v>0.75912211431638665</v>
      </c>
      <c r="S36">
        <f>(graph_data!Z36-graph_range!Z$2)/(graph_range!Z$3-graph_range!Z$2)</f>
        <v>0.18044556269624976</v>
      </c>
      <c r="T36">
        <f>(graph_data!AA36-graph_range!AA$2)/(graph_range!AA$3-graph_range!AA$2)</f>
        <v>0.35714285714285715</v>
      </c>
      <c r="U36">
        <f>(graph_data!AB36-graph_range!AB$2)/(graph_range!AB$3-graph_range!AB$2)</f>
        <v>0.1519621451052664</v>
      </c>
      <c r="W36">
        <f>graph_data!AD36</f>
        <v>1</v>
      </c>
      <c r="X36">
        <f>(graph_data!AE36-graph_range!AE$2)/(graph_range!AE$3-graph_range!AE$2)</f>
        <v>0.51425944549440139</v>
      </c>
      <c r="Y36">
        <f>(graph_data!AF36-graph_range!AF$2)/(graph_range!AF$3-graph_range!AF$2)</f>
        <v>0.59776279767036</v>
      </c>
    </row>
    <row r="37" spans="1:25" x14ac:dyDescent="0.25">
      <c r="A37">
        <f t="shared" si="2"/>
        <v>0.85</v>
      </c>
      <c r="B37">
        <f t="shared" si="2"/>
        <v>1.85</v>
      </c>
      <c r="C37">
        <f t="shared" si="2"/>
        <v>2.85</v>
      </c>
      <c r="D37">
        <f t="shared" si="2"/>
        <v>-0.15</v>
      </c>
      <c r="E37">
        <f t="shared" si="2"/>
        <v>-0.15</v>
      </c>
      <c r="F37">
        <f t="shared" si="2"/>
        <v>3.85</v>
      </c>
      <c r="G37">
        <f t="shared" si="2"/>
        <v>4.8499999999999996</v>
      </c>
      <c r="H37">
        <f t="shared" si="2"/>
        <v>5.85</v>
      </c>
      <c r="I37">
        <f t="shared" si="2"/>
        <v>-0.15</v>
      </c>
      <c r="J37">
        <f t="shared" si="2"/>
        <v>-0.15</v>
      </c>
      <c r="K37">
        <f t="shared" si="2"/>
        <v>6.85</v>
      </c>
      <c r="L37">
        <f t="shared" si="3"/>
        <v>7.85</v>
      </c>
      <c r="N37">
        <f>(graph_data!U37-graph_range!U$2)/(graph_range!U$3-graph_range!U$2)</f>
        <v>0.87648780487804889</v>
      </c>
      <c r="O37">
        <f>(graph_data!V37-graph_range!V$2)/(graph_range!V$3-graph_range!V$2)</f>
        <v>0.19042761559054752</v>
      </c>
      <c r="P37">
        <f>(graph_data!W37-graph_range!W$2)/(graph_range!W$3-graph_range!W$2)</f>
        <v>0.76345507323440653</v>
      </c>
      <c r="S37">
        <f>(graph_data!Z37-graph_range!Z$2)/(graph_range!Z$3-graph_range!Z$2)</f>
        <v>0.19042761559054425</v>
      </c>
      <c r="T37">
        <f>(graph_data!AA37-graph_range!AA$2)/(graph_range!AA$3-graph_range!AA$2)</f>
        <v>0.2857142857142857</v>
      </c>
      <c r="U37">
        <f>(graph_data!AB37-graph_range!AB$2)/(graph_range!AB$3-graph_range!AB$2)</f>
        <v>0.14650251356381458</v>
      </c>
      <c r="W37">
        <f>graph_data!AD37</f>
        <v>1</v>
      </c>
      <c r="X37">
        <f>(graph_data!AE37-graph_range!AE$2)/(graph_range!AE$3-graph_range!AE$2)</f>
        <v>0.48215807243295983</v>
      </c>
      <c r="Y37">
        <f>(graph_data!AF37-graph_range!AF$2)/(graph_range!AF$3-graph_range!AF$2)</f>
        <v>0.58919803788102199</v>
      </c>
    </row>
    <row r="38" spans="1:25" x14ac:dyDescent="0.25">
      <c r="A38">
        <f t="shared" si="2"/>
        <v>0.85</v>
      </c>
      <c r="B38">
        <f t="shared" si="2"/>
        <v>1.85</v>
      </c>
      <c r="C38">
        <f t="shared" si="2"/>
        <v>2.85</v>
      </c>
      <c r="D38">
        <f t="shared" si="2"/>
        <v>-0.15</v>
      </c>
      <c r="E38">
        <f t="shared" si="2"/>
        <v>-0.15</v>
      </c>
      <c r="F38">
        <f t="shared" si="2"/>
        <v>3.85</v>
      </c>
      <c r="G38">
        <f t="shared" si="2"/>
        <v>4.8499999999999996</v>
      </c>
      <c r="H38">
        <f t="shared" si="2"/>
        <v>5.85</v>
      </c>
      <c r="I38">
        <f t="shared" si="2"/>
        <v>-0.15</v>
      </c>
      <c r="J38">
        <f t="shared" si="2"/>
        <v>-0.15</v>
      </c>
      <c r="K38">
        <f t="shared" si="2"/>
        <v>6.85</v>
      </c>
      <c r="L38">
        <f t="shared" si="3"/>
        <v>7.85</v>
      </c>
      <c r="N38">
        <f>(graph_data!U38-graph_range!U$2)/(graph_range!U$3-graph_range!U$2)</f>
        <v>0.87906775067750664</v>
      </c>
      <c r="O38">
        <f>(graph_data!V38-graph_range!V$2)/(graph_range!V$3-graph_range!V$2)</f>
        <v>0.20209154663354348</v>
      </c>
      <c r="P38">
        <f>(graph_data!W38-graph_range!W$2)/(graph_range!W$3-graph_range!W$2)</f>
        <v>0.72024557250633536</v>
      </c>
      <c r="S38">
        <f>(graph_data!Z38-graph_range!Z$2)/(graph_range!Z$3-graph_range!Z$2)</f>
        <v>0.20209154663354062</v>
      </c>
      <c r="T38">
        <f>(graph_data!AA38-graph_range!AA$2)/(graph_range!AA$3-graph_range!AA$2)</f>
        <v>0.2857142857142857</v>
      </c>
      <c r="U38">
        <f>(graph_data!AB38-graph_range!AB$2)/(graph_range!AB$3-graph_range!AB$2)</f>
        <v>0.17132087347038941</v>
      </c>
      <c r="W38">
        <f>graph_data!AD38</f>
        <v>1</v>
      </c>
      <c r="X38">
        <f>(graph_data!AE38-graph_range!AE$2)/(graph_range!AE$3-graph_range!AE$2)</f>
        <v>0.49578040599113982</v>
      </c>
      <c r="Y38">
        <f>(graph_data!AF38-graph_range!AF$2)/(graph_range!AF$3-graph_range!AF$2)</f>
        <v>0.54222800319916031</v>
      </c>
    </row>
    <row r="39" spans="1:25" x14ac:dyDescent="0.25">
      <c r="A39">
        <f t="shared" si="2"/>
        <v>0.85</v>
      </c>
      <c r="B39">
        <f t="shared" si="2"/>
        <v>1.85</v>
      </c>
      <c r="C39">
        <f t="shared" si="2"/>
        <v>2.85</v>
      </c>
      <c r="D39">
        <f t="shared" si="2"/>
        <v>-0.15</v>
      </c>
      <c r="E39">
        <f t="shared" si="2"/>
        <v>-0.15</v>
      </c>
      <c r="F39">
        <f t="shared" si="2"/>
        <v>3.85</v>
      </c>
      <c r="G39">
        <f t="shared" si="2"/>
        <v>4.8499999999999996</v>
      </c>
      <c r="H39">
        <f t="shared" si="2"/>
        <v>5.85</v>
      </c>
      <c r="I39">
        <f t="shared" si="2"/>
        <v>-0.15</v>
      </c>
      <c r="J39">
        <f t="shared" si="2"/>
        <v>-0.15</v>
      </c>
      <c r="K39">
        <f t="shared" si="2"/>
        <v>6.85</v>
      </c>
      <c r="L39">
        <f t="shared" si="3"/>
        <v>7.85</v>
      </c>
      <c r="N39">
        <f>(graph_data!U39-graph_range!U$2)/(graph_range!U$3-graph_range!U$2)</f>
        <v>0.9673279132791327</v>
      </c>
      <c r="O39">
        <f>(graph_data!V39-graph_range!V$2)/(graph_range!V$3-graph_range!V$2)</f>
        <v>0.10267634646689866</v>
      </c>
      <c r="P39">
        <f>(graph_data!W39-graph_range!W$2)/(graph_range!W$3-graph_range!W$2)</f>
        <v>0.84964227605039699</v>
      </c>
      <c r="S39">
        <f>(graph_data!Z39-graph_range!Z$2)/(graph_range!Z$3-graph_range!Z$2)</f>
        <v>0.10267634646689848</v>
      </c>
      <c r="T39">
        <f>(graph_data!AA39-graph_range!AA$2)/(graph_range!AA$3-graph_range!AA$2)</f>
        <v>0.35714285714285715</v>
      </c>
      <c r="U39">
        <f>(graph_data!AB39-graph_range!AB$2)/(graph_range!AB$3-graph_range!AB$2)</f>
        <v>4.8256321683990598E-2</v>
      </c>
      <c r="W39">
        <f>graph_data!AD39</f>
        <v>1</v>
      </c>
      <c r="X39">
        <f>(graph_data!AE39-graph_range!AE$2)/(graph_range!AE$3-graph_range!AE$2)</f>
        <v>0.32594388531855945</v>
      </c>
      <c r="Y39">
        <f>(graph_data!AF39-graph_range!AF$2)/(graph_range!AF$3-graph_range!AF$2)</f>
        <v>0.79194130941662422</v>
      </c>
    </row>
    <row r="40" spans="1:25" x14ac:dyDescent="0.25">
      <c r="A40">
        <f t="shared" si="2"/>
        <v>0.85</v>
      </c>
      <c r="B40">
        <f t="shared" si="2"/>
        <v>1.85</v>
      </c>
      <c r="C40">
        <f t="shared" si="2"/>
        <v>2.85</v>
      </c>
      <c r="D40">
        <f t="shared" si="2"/>
        <v>-0.15</v>
      </c>
      <c r="E40">
        <f t="shared" si="2"/>
        <v>-0.15</v>
      </c>
      <c r="F40">
        <f t="shared" si="2"/>
        <v>3.85</v>
      </c>
      <c r="G40">
        <f t="shared" si="2"/>
        <v>4.8499999999999996</v>
      </c>
      <c r="H40">
        <f t="shared" si="2"/>
        <v>5.85</v>
      </c>
      <c r="I40">
        <f t="shared" si="2"/>
        <v>-0.15</v>
      </c>
      <c r="J40">
        <f t="shared" si="2"/>
        <v>-0.15</v>
      </c>
      <c r="K40">
        <f t="shared" si="2"/>
        <v>6.85</v>
      </c>
      <c r="L40">
        <f t="shared" si="3"/>
        <v>7.85</v>
      </c>
      <c r="N40">
        <f>(graph_data!U40-graph_range!U$2)/(graph_range!U$3-graph_range!U$2)</f>
        <v>0.87231436314363142</v>
      </c>
      <c r="O40">
        <f>(graph_data!V40-graph_range!V$2)/(graph_range!V$3-graph_range!V$2)</f>
        <v>4.5653733692339757E-2</v>
      </c>
      <c r="P40">
        <f>(graph_data!W40-graph_range!W$2)/(graph_range!W$3-graph_range!W$2)</f>
        <v>0.7746819471309192</v>
      </c>
      <c r="S40">
        <f>(graph_data!Z40-graph_range!Z$2)/(graph_range!Z$3-graph_range!Z$2)</f>
        <v>4.5653733692336211E-2</v>
      </c>
      <c r="T40">
        <f>(graph_data!AA40-graph_range!AA$2)/(graph_range!AA$3-graph_range!AA$2)</f>
        <v>0.5714285714285714</v>
      </c>
      <c r="U40">
        <f>(graph_data!AB40-graph_range!AB$2)/(graph_range!AB$3-graph_range!AB$2)</f>
        <v>2.7824146599667296E-2</v>
      </c>
      <c r="W40">
        <f>graph_data!AD40</f>
        <v>1</v>
      </c>
      <c r="X40">
        <f>(graph_data!AE40-graph_range!AE$2)/(graph_range!AE$3-graph_range!AE$2)</f>
        <v>0.26400252757494624</v>
      </c>
      <c r="Y40">
        <f>(graph_data!AF40-graph_range!AF$2)/(graph_range!AF$3-graph_range!AF$2)</f>
        <v>0.82984636383342314</v>
      </c>
    </row>
    <row r="41" spans="1:25" x14ac:dyDescent="0.25">
      <c r="A41">
        <f t="shared" si="2"/>
        <v>0.85</v>
      </c>
      <c r="B41">
        <f t="shared" si="2"/>
        <v>1.85</v>
      </c>
      <c r="C41">
        <f t="shared" si="2"/>
        <v>2.85</v>
      </c>
      <c r="D41">
        <f t="shared" si="2"/>
        <v>-0.15</v>
      </c>
      <c r="E41">
        <f t="shared" si="2"/>
        <v>-0.15</v>
      </c>
      <c r="F41">
        <f t="shared" si="2"/>
        <v>3.85</v>
      </c>
      <c r="G41">
        <f t="shared" si="2"/>
        <v>4.8499999999999996</v>
      </c>
      <c r="H41">
        <f t="shared" si="2"/>
        <v>5.85</v>
      </c>
      <c r="I41">
        <f t="shared" si="2"/>
        <v>-0.15</v>
      </c>
      <c r="J41">
        <f t="shared" si="2"/>
        <v>-0.15</v>
      </c>
      <c r="K41">
        <f t="shared" si="2"/>
        <v>6.85</v>
      </c>
      <c r="L41">
        <f t="shared" si="3"/>
        <v>7.85</v>
      </c>
      <c r="N41">
        <f>(graph_data!U41-graph_range!U$2)/(graph_range!U$3-graph_range!U$2)</f>
        <v>0.81467967479674808</v>
      </c>
      <c r="O41">
        <f>(graph_data!V41-graph_range!V$2)/(graph_range!V$3-graph_range!V$2)</f>
        <v>0.34856394222980014</v>
      </c>
      <c r="P41">
        <f>(graph_data!W41-graph_range!W$2)/(graph_range!W$3-graph_range!W$2)</f>
        <v>0.73441461347995662</v>
      </c>
      <c r="S41">
        <f>(graph_data!Z41-graph_range!Z$2)/(graph_range!Z$3-graph_range!Z$2)</f>
        <v>0.34856394222979908</v>
      </c>
      <c r="T41">
        <f>(graph_data!AA41-graph_range!AA$2)/(graph_range!AA$3-graph_range!AA$2)</f>
        <v>0.21428571428571427</v>
      </c>
      <c r="U41">
        <f>(graph_data!AB41-graph_range!AB$2)/(graph_range!AB$3-graph_range!AB$2)</f>
        <v>0.33223461305846574</v>
      </c>
      <c r="W41">
        <f>graph_data!AD41</f>
        <v>1</v>
      </c>
      <c r="X41">
        <f>(graph_data!AE41-graph_range!AE$2)/(graph_range!AE$3-graph_range!AE$2)</f>
        <v>0.74191121645206681</v>
      </c>
      <c r="Y41">
        <f>(graph_data!AF41-graph_range!AF$2)/(graph_range!AF$3-graph_range!AF$2)</f>
        <v>0.4239123564631756</v>
      </c>
    </row>
    <row r="42" spans="1:25" x14ac:dyDescent="0.25">
      <c r="A42">
        <f t="shared" si="2"/>
        <v>0.85</v>
      </c>
      <c r="B42">
        <f t="shared" si="2"/>
        <v>1.85</v>
      </c>
      <c r="C42">
        <f t="shared" si="2"/>
        <v>2.85</v>
      </c>
      <c r="D42">
        <f t="shared" si="2"/>
        <v>-0.15</v>
      </c>
      <c r="E42">
        <f t="shared" si="2"/>
        <v>-0.15</v>
      </c>
      <c r="F42">
        <f t="shared" si="2"/>
        <v>3.85</v>
      </c>
      <c r="G42">
        <f t="shared" si="2"/>
        <v>4.8499999999999996</v>
      </c>
      <c r="H42">
        <f t="shared" si="2"/>
        <v>5.85</v>
      </c>
      <c r="I42">
        <f t="shared" si="2"/>
        <v>-0.15</v>
      </c>
      <c r="J42">
        <f t="shared" si="2"/>
        <v>-0.15</v>
      </c>
      <c r="K42">
        <f t="shared" si="2"/>
        <v>6.85</v>
      </c>
      <c r="L42">
        <f t="shared" si="3"/>
        <v>7.85</v>
      </c>
      <c r="N42">
        <f>(graph_data!U42-graph_range!U$2)/(graph_range!U$3-graph_range!U$2)</f>
        <v>0.89763685636856372</v>
      </c>
      <c r="O42">
        <f>(graph_data!V42-graph_range!V$2)/(graph_range!V$3-graph_range!V$2)</f>
        <v>6.4523750742572342E-2</v>
      </c>
      <c r="P42">
        <f>(graph_data!W42-graph_range!W$2)/(graph_range!W$3-graph_range!W$2)</f>
        <v>0.7865693075141299</v>
      </c>
      <c r="S42">
        <f>(graph_data!Z42-graph_range!Z$2)/(graph_range!Z$3-graph_range!Z$2)</f>
        <v>6.45237507425689E-2</v>
      </c>
      <c r="T42">
        <f>(graph_data!AA42-graph_range!AA$2)/(graph_range!AA$3-graph_range!AA$2)</f>
        <v>0.5</v>
      </c>
      <c r="U42">
        <f>(graph_data!AB42-graph_range!AB$2)/(graph_range!AB$3-graph_range!AB$2)</f>
        <v>2.2955590150433358E-2</v>
      </c>
      <c r="W42">
        <f>graph_data!AD42</f>
        <v>1</v>
      </c>
      <c r="X42">
        <f>(graph_data!AE42-graph_range!AE$2)/(graph_range!AE$3-graph_range!AE$2)</f>
        <v>0.21887124086482643</v>
      </c>
      <c r="Y42">
        <f>(graph_data!AF42-graph_range!AF$2)/(graph_range!AF$3-graph_range!AF$2)</f>
        <v>0.80322635741675541</v>
      </c>
    </row>
    <row r="43" spans="1:25" x14ac:dyDescent="0.25">
      <c r="A43">
        <f t="shared" si="2"/>
        <v>0.85</v>
      </c>
      <c r="B43">
        <f t="shared" si="2"/>
        <v>1.85</v>
      </c>
      <c r="C43">
        <f t="shared" si="2"/>
        <v>2.85</v>
      </c>
      <c r="D43">
        <f t="shared" si="2"/>
        <v>-0.15</v>
      </c>
      <c r="E43">
        <f t="shared" si="2"/>
        <v>-0.15</v>
      </c>
      <c r="F43">
        <f t="shared" si="2"/>
        <v>3.85</v>
      </c>
      <c r="G43">
        <f t="shared" si="2"/>
        <v>4.8499999999999996</v>
      </c>
      <c r="H43">
        <f t="shared" si="2"/>
        <v>5.85</v>
      </c>
      <c r="I43">
        <f t="shared" si="2"/>
        <v>-0.15</v>
      </c>
      <c r="J43">
        <f t="shared" si="2"/>
        <v>-0.15</v>
      </c>
      <c r="K43">
        <f t="shared" si="2"/>
        <v>6.85</v>
      </c>
      <c r="L43">
        <f t="shared" si="3"/>
        <v>7.85</v>
      </c>
      <c r="N43">
        <f>(graph_data!U43-graph_range!U$2)/(graph_range!U$3-graph_range!U$2)</f>
        <v>0.6857040650406504</v>
      </c>
      <c r="O43">
        <f>(graph_data!V43-graph_range!V$2)/(graph_range!V$3-graph_range!V$2)</f>
        <v>0.28145227863629002</v>
      </c>
      <c r="P43">
        <f>(graph_data!W43-graph_range!W$2)/(graph_range!W$3-graph_range!W$2)</f>
        <v>0.82998128295799634</v>
      </c>
      <c r="S43">
        <f>(graph_data!Z43-graph_range!Z$2)/(graph_range!Z$3-graph_range!Z$2)</f>
        <v>0.28145227863628952</v>
      </c>
      <c r="T43">
        <f>(graph_data!AA43-graph_range!AA$2)/(graph_range!AA$3-graph_range!AA$2)</f>
        <v>0.35714285714285715</v>
      </c>
      <c r="U43">
        <f>(graph_data!AB43-graph_range!AB$2)/(graph_range!AB$3-graph_range!AB$2)</f>
        <v>0.26559938886911849</v>
      </c>
      <c r="W43">
        <f>graph_data!AD43</f>
        <v>1</v>
      </c>
      <c r="X43">
        <f>(graph_data!AE43-graph_range!AE$2)/(graph_range!AE$3-graph_range!AE$2)</f>
        <v>0.80557801449759669</v>
      </c>
      <c r="Y43">
        <f>(graph_data!AF43-graph_range!AF$2)/(graph_range!AF$3-graph_range!AF$2)</f>
        <v>0.54128276063838932</v>
      </c>
    </row>
    <row r="44" spans="1:25" x14ac:dyDescent="0.25">
      <c r="A44">
        <f t="shared" si="2"/>
        <v>0.85</v>
      </c>
      <c r="B44">
        <f t="shared" si="2"/>
        <v>1.85</v>
      </c>
      <c r="C44">
        <f t="shared" si="2"/>
        <v>2.85</v>
      </c>
      <c r="D44">
        <f t="shared" si="2"/>
        <v>-0.15</v>
      </c>
      <c r="E44">
        <f t="shared" si="2"/>
        <v>-0.15</v>
      </c>
      <c r="F44">
        <f t="shared" si="2"/>
        <v>3.85</v>
      </c>
      <c r="G44">
        <f t="shared" si="2"/>
        <v>4.8499999999999996</v>
      </c>
      <c r="H44">
        <f t="shared" si="2"/>
        <v>5.85</v>
      </c>
      <c r="I44">
        <f t="shared" si="2"/>
        <v>-0.15</v>
      </c>
      <c r="J44">
        <f t="shared" si="2"/>
        <v>-0.15</v>
      </c>
      <c r="K44">
        <f t="shared" si="2"/>
        <v>6.85</v>
      </c>
      <c r="L44">
        <f t="shared" si="3"/>
        <v>7.85</v>
      </c>
      <c r="N44">
        <f>(graph_data!U44-graph_range!U$2)/(graph_range!U$3-graph_range!U$2)</f>
        <v>1</v>
      </c>
      <c r="O44">
        <f>(graph_data!V44-graph_range!V$2)/(graph_range!V$3-graph_range!V$2)</f>
        <v>4.2343259371841691E-2</v>
      </c>
      <c r="P44">
        <f>(graph_data!W44-graph_range!W$2)/(graph_range!W$3-graph_range!W$2)</f>
        <v>0.7388006347372883</v>
      </c>
      <c r="S44">
        <f>(graph_data!Z44-graph_range!Z$2)/(graph_range!Z$3-graph_range!Z$2)</f>
        <v>4.2343259371839463E-2</v>
      </c>
      <c r="T44">
        <f>(graph_data!AA44-graph_range!AA$2)/(graph_range!AA$3-graph_range!AA$2)</f>
        <v>0.42857142857142855</v>
      </c>
      <c r="U44">
        <f>(graph_data!AB44-graph_range!AB$2)/(graph_range!AB$3-graph_range!AB$2)</f>
        <v>2.2927055490809041E-2</v>
      </c>
      <c r="W44">
        <f>graph_data!AD44</f>
        <v>1</v>
      </c>
      <c r="X44">
        <f>(graph_data!AE44-graph_range!AE$2)/(graph_range!AE$3-graph_range!AE$2)</f>
        <v>0.21523044478519673</v>
      </c>
      <c r="Y44">
        <f>(graph_data!AF44-graph_range!AF$2)/(graph_range!AF$3-graph_range!AF$2)</f>
        <v>0.79894121216532743</v>
      </c>
    </row>
    <row r="45" spans="1:25" x14ac:dyDescent="0.25">
      <c r="A45">
        <f t="shared" si="2"/>
        <v>0.85</v>
      </c>
      <c r="B45">
        <f t="shared" si="2"/>
        <v>1.85</v>
      </c>
      <c r="C45">
        <f t="shared" si="2"/>
        <v>2.85</v>
      </c>
      <c r="D45">
        <f t="shared" si="2"/>
        <v>-0.15</v>
      </c>
      <c r="E45">
        <f t="shared" si="2"/>
        <v>-0.15</v>
      </c>
      <c r="F45">
        <f t="shared" si="2"/>
        <v>3.85</v>
      </c>
      <c r="G45">
        <f t="shared" si="2"/>
        <v>4.8499999999999996</v>
      </c>
      <c r="H45">
        <f t="shared" si="2"/>
        <v>5.85</v>
      </c>
      <c r="I45">
        <f t="shared" si="2"/>
        <v>-0.15</v>
      </c>
      <c r="J45">
        <f t="shared" si="2"/>
        <v>-0.15</v>
      </c>
      <c r="K45">
        <f t="shared" si="2"/>
        <v>6.85</v>
      </c>
      <c r="L45">
        <f t="shared" si="3"/>
        <v>7.85</v>
      </c>
      <c r="N45">
        <f>(graph_data!U45-graph_range!U$2)/(graph_range!U$3-graph_range!U$2)</f>
        <v>0.79783414634146332</v>
      </c>
      <c r="O45">
        <f>(graph_data!V45-graph_range!V$2)/(graph_range!V$3-graph_range!V$2)</f>
        <v>0.20427273235763829</v>
      </c>
      <c r="P45">
        <f>(graph_data!W45-graph_range!W$2)/(graph_range!W$3-graph_range!W$2)</f>
        <v>0.6619887094512964</v>
      </c>
      <c r="S45">
        <f>(graph_data!Z45-graph_range!Z$2)/(graph_range!Z$3-graph_range!Z$2)</f>
        <v>0.20427273235763638</v>
      </c>
      <c r="T45">
        <f>(graph_data!AA45-graph_range!AA$2)/(graph_range!AA$3-graph_range!AA$2)</f>
        <v>0.35714285714285715</v>
      </c>
      <c r="U45">
        <f>(graph_data!AB45-graph_range!AB$2)/(graph_range!AB$3-graph_range!AB$2)</f>
        <v>0.20277557992959006</v>
      </c>
      <c r="W45">
        <f>graph_data!AD45</f>
        <v>1</v>
      </c>
      <c r="X45">
        <f>(graph_data!AE45-graph_range!AE$2)/(graph_range!AE$3-graph_range!AE$2)</f>
        <v>0.51722201838254744</v>
      </c>
      <c r="Y45">
        <f>(graph_data!AF45-graph_range!AF$2)/(graph_range!AF$3-graph_range!AF$2)</f>
        <v>0.49499103680787987</v>
      </c>
    </row>
    <row r="46" spans="1:25" x14ac:dyDescent="0.25">
      <c r="A46">
        <f t="shared" si="2"/>
        <v>0.85</v>
      </c>
      <c r="B46">
        <f t="shared" si="2"/>
        <v>1.85</v>
      </c>
      <c r="C46">
        <f t="shared" si="2"/>
        <v>2.85</v>
      </c>
      <c r="D46">
        <f t="shared" si="2"/>
        <v>-0.15</v>
      </c>
      <c r="E46">
        <f t="shared" si="2"/>
        <v>-0.15</v>
      </c>
      <c r="F46">
        <f t="shared" si="2"/>
        <v>3.85</v>
      </c>
      <c r="G46">
        <f t="shared" si="2"/>
        <v>4.8499999999999996</v>
      </c>
      <c r="H46">
        <f t="shared" si="2"/>
        <v>5.85</v>
      </c>
      <c r="I46">
        <f t="shared" si="2"/>
        <v>-0.15</v>
      </c>
      <c r="J46">
        <f t="shared" si="2"/>
        <v>-0.15</v>
      </c>
      <c r="K46">
        <f t="shared" si="2"/>
        <v>6.85</v>
      </c>
      <c r="L46">
        <f t="shared" si="3"/>
        <v>7.85</v>
      </c>
      <c r="N46">
        <f>(graph_data!U46-graph_range!U$2)/(graph_range!U$3-graph_range!U$2)</f>
        <v>0.76191869918699184</v>
      </c>
      <c r="O46">
        <f>(graph_data!V46-graph_range!V$2)/(graph_range!V$3-graph_range!V$2)</f>
        <v>9.5051025328467723E-2</v>
      </c>
      <c r="P46">
        <f>(graph_data!W46-graph_range!W$2)/(graph_range!W$3-graph_range!W$2)</f>
        <v>0.78303507644048886</v>
      </c>
      <c r="S46">
        <f>(graph_data!Z46-graph_range!Z$2)/(graph_range!Z$3-graph_range!Z$2)</f>
        <v>9.5051025328467653E-2</v>
      </c>
      <c r="T46">
        <f>(graph_data!AA46-graph_range!AA$2)/(graph_range!AA$3-graph_range!AA$2)</f>
        <v>0.5</v>
      </c>
      <c r="U46">
        <f>(graph_data!AB46-graph_range!AB$2)/(graph_range!AB$3-graph_range!AB$2)</f>
        <v>6.8265912047210997E-2</v>
      </c>
      <c r="W46">
        <f>graph_data!AD46</f>
        <v>1</v>
      </c>
      <c r="X46">
        <f>(graph_data!AE46-graph_range!AE$2)/(graph_range!AE$3-graph_range!AE$2)</f>
        <v>0.36646277024248414</v>
      </c>
      <c r="Y46">
        <f>(graph_data!AF46-graph_range!AF$2)/(graph_range!AF$3-graph_range!AF$2)</f>
        <v>0.74305926150229817</v>
      </c>
    </row>
    <row r="47" spans="1:25" x14ac:dyDescent="0.25">
      <c r="A47">
        <f t="shared" si="2"/>
        <v>0.85</v>
      </c>
      <c r="B47">
        <f t="shared" si="2"/>
        <v>1.85</v>
      </c>
      <c r="C47">
        <f t="shared" si="2"/>
        <v>2.85</v>
      </c>
      <c r="D47">
        <f t="shared" si="2"/>
        <v>-0.15</v>
      </c>
      <c r="E47">
        <f t="shared" si="2"/>
        <v>-0.15</v>
      </c>
      <c r="F47">
        <f t="shared" si="2"/>
        <v>3.85</v>
      </c>
      <c r="G47">
        <f t="shared" si="2"/>
        <v>4.8499999999999996</v>
      </c>
      <c r="H47">
        <f t="shared" si="2"/>
        <v>5.85</v>
      </c>
      <c r="I47">
        <f t="shared" si="2"/>
        <v>-0.15</v>
      </c>
      <c r="J47">
        <f t="shared" si="2"/>
        <v>-0.15</v>
      </c>
      <c r="K47">
        <f t="shared" si="2"/>
        <v>6.85</v>
      </c>
      <c r="L47">
        <f t="shared" si="3"/>
        <v>7.85</v>
      </c>
      <c r="N47">
        <f>(graph_data!U47-graph_range!U$2)/(graph_range!U$3-graph_range!U$2)</f>
        <v>0.87696476964769654</v>
      </c>
      <c r="O47">
        <f>(graph_data!V47-graph_range!V$2)/(graph_range!V$3-graph_range!V$2)</f>
        <v>0.42535990649374689</v>
      </c>
      <c r="P47">
        <f>(graph_data!W47-graph_range!W$2)/(graph_range!W$3-graph_range!W$2)</f>
        <v>0.8068740305650246</v>
      </c>
      <c r="S47">
        <f>(graph_data!Z47-graph_range!Z$2)/(graph_range!Z$3-graph_range!Z$2)</f>
        <v>0.42535990649374628</v>
      </c>
      <c r="T47">
        <f>(graph_data!AA47-graph_range!AA$2)/(graph_range!AA$3-graph_range!AA$2)</f>
        <v>0.14285714285714285</v>
      </c>
      <c r="U47">
        <f>(graph_data!AB47-graph_range!AB$2)/(graph_range!AB$3-graph_range!AB$2)</f>
        <v>0.32726822349051993</v>
      </c>
      <c r="W47">
        <f>graph_data!AD47</f>
        <v>1</v>
      </c>
      <c r="X47">
        <f>(graph_data!AE47-graph_range!AE$2)/(graph_range!AE$3-graph_range!AE$2)</f>
        <v>0.70813872031310954</v>
      </c>
      <c r="Y47">
        <f>(graph_data!AF47-graph_range!AF$2)/(graph_range!AF$3-graph_range!AF$2)</f>
        <v>0.41538738455846597</v>
      </c>
    </row>
    <row r="48" spans="1:25" x14ac:dyDescent="0.25">
      <c r="A48">
        <f t="shared" si="2"/>
        <v>0.85</v>
      </c>
      <c r="B48">
        <f t="shared" si="2"/>
        <v>1.85</v>
      </c>
      <c r="C48">
        <f t="shared" si="2"/>
        <v>2.85</v>
      </c>
      <c r="D48">
        <f t="shared" si="2"/>
        <v>-0.15</v>
      </c>
      <c r="E48">
        <f t="shared" si="2"/>
        <v>-0.15</v>
      </c>
      <c r="F48">
        <f t="shared" si="2"/>
        <v>3.85</v>
      </c>
      <c r="G48">
        <f t="shared" si="2"/>
        <v>4.8499999999999996</v>
      </c>
      <c r="H48">
        <f t="shared" si="2"/>
        <v>5.85</v>
      </c>
      <c r="I48">
        <f t="shared" si="2"/>
        <v>-0.15</v>
      </c>
      <c r="J48">
        <f t="shared" si="2"/>
        <v>-0.15</v>
      </c>
      <c r="K48">
        <f t="shared" si="2"/>
        <v>6.85</v>
      </c>
      <c r="L48">
        <f t="shared" si="3"/>
        <v>7.85</v>
      </c>
      <c r="N48">
        <f>(graph_data!U48-graph_range!U$2)/(graph_range!U$3-graph_range!U$2)</f>
        <v>0.92244986449864508</v>
      </c>
      <c r="O48">
        <f>(graph_data!V48-graph_range!V$2)/(graph_range!V$3-graph_range!V$2)</f>
        <v>0.31617018793831059</v>
      </c>
      <c r="P48">
        <f>(graph_data!W48-graph_range!W$2)/(graph_range!W$3-graph_range!W$2)</f>
        <v>0.71923878443675993</v>
      </c>
      <c r="S48">
        <f>(graph_data!Z48-graph_range!Z$2)/(graph_range!Z$3-graph_range!Z$2)</f>
        <v>0.3161701879383082</v>
      </c>
      <c r="T48">
        <f>(graph_data!AA48-graph_range!AA$2)/(graph_range!AA$3-graph_range!AA$2)</f>
        <v>0.21428571428571427</v>
      </c>
      <c r="U48">
        <f>(graph_data!AB48-graph_range!AB$2)/(graph_range!AB$3-graph_range!AB$2)</f>
        <v>0.21801037058234218</v>
      </c>
      <c r="W48">
        <f>graph_data!AD48</f>
        <v>1</v>
      </c>
      <c r="X48">
        <f>(graph_data!AE48-graph_range!AE$2)/(graph_range!AE$3-graph_range!AE$2)</f>
        <v>0.45984467858958561</v>
      </c>
      <c r="Y48">
        <f>(graph_data!AF48-graph_range!AF$2)/(graph_range!AF$3-graph_range!AF$2)</f>
        <v>0.43803975222121672</v>
      </c>
    </row>
    <row r="49" spans="1:25" x14ac:dyDescent="0.25">
      <c r="A49">
        <f t="shared" si="2"/>
        <v>0.85</v>
      </c>
      <c r="B49">
        <f t="shared" si="2"/>
        <v>1.85</v>
      </c>
      <c r="C49">
        <f t="shared" si="2"/>
        <v>2.85</v>
      </c>
      <c r="D49">
        <f t="shared" si="2"/>
        <v>-0.15</v>
      </c>
      <c r="E49">
        <f t="shared" si="2"/>
        <v>-0.15</v>
      </c>
      <c r="F49">
        <f t="shared" si="2"/>
        <v>3.85</v>
      </c>
      <c r="G49">
        <f t="shared" si="2"/>
        <v>4.8499999999999996</v>
      </c>
      <c r="H49">
        <f t="shared" si="2"/>
        <v>5.85</v>
      </c>
      <c r="I49">
        <f t="shared" si="2"/>
        <v>-0.15</v>
      </c>
      <c r="J49">
        <f t="shared" si="2"/>
        <v>-0.15</v>
      </c>
      <c r="K49">
        <f t="shared" si="2"/>
        <v>6.85</v>
      </c>
      <c r="L49">
        <f t="shared" si="3"/>
        <v>7.85</v>
      </c>
      <c r="N49">
        <f>(graph_data!U49-graph_range!U$2)/(graph_range!U$3-graph_range!U$2)</f>
        <v>0.85876422764227645</v>
      </c>
      <c r="O49">
        <f>(graph_data!V49-graph_range!V$2)/(graph_range!V$3-graph_range!V$2)</f>
        <v>0.19019905760818412</v>
      </c>
      <c r="P49">
        <f>(graph_data!W49-graph_range!W$2)/(graph_range!W$3-graph_range!W$2)</f>
        <v>0.75481010105862156</v>
      </c>
      <c r="S49">
        <f>(graph_data!Z49-graph_range!Z$2)/(graph_range!Z$3-graph_range!Z$2)</f>
        <v>0.19019905760818412</v>
      </c>
      <c r="T49">
        <f>(graph_data!AA49-graph_range!AA$2)/(graph_range!AA$3-graph_range!AA$2)</f>
        <v>0.35714285714285715</v>
      </c>
      <c r="U49">
        <f>(graph_data!AB49-graph_range!AB$2)/(graph_range!AB$3-graph_range!AB$2)</f>
        <v>0.15736334853415415</v>
      </c>
      <c r="W49">
        <f>graph_data!AD49</f>
        <v>1</v>
      </c>
      <c r="X49">
        <f>(graph_data!AE49-graph_range!AE$2)/(graph_range!AE$3-graph_range!AE$2)</f>
        <v>0.51079408599011744</v>
      </c>
      <c r="Y49">
        <f>(graph_data!AF49-graph_range!AF$2)/(graph_range!AF$3-graph_range!AF$2)</f>
        <v>0.58264675686264833</v>
      </c>
    </row>
    <row r="50" spans="1:25" x14ac:dyDescent="0.25">
      <c r="A50">
        <f t="shared" si="2"/>
        <v>0.85</v>
      </c>
      <c r="B50">
        <f t="shared" si="2"/>
        <v>1.85</v>
      </c>
      <c r="C50">
        <f t="shared" si="2"/>
        <v>2.85</v>
      </c>
      <c r="D50">
        <f t="shared" si="2"/>
        <v>-0.15</v>
      </c>
      <c r="E50">
        <f t="shared" si="2"/>
        <v>-0.15</v>
      </c>
      <c r="F50">
        <f t="shared" si="2"/>
        <v>3.85</v>
      </c>
      <c r="G50">
        <f t="shared" si="2"/>
        <v>4.8499999999999996</v>
      </c>
      <c r="H50">
        <f t="shared" si="2"/>
        <v>5.85</v>
      </c>
      <c r="I50">
        <f t="shared" si="2"/>
        <v>-0.15</v>
      </c>
      <c r="J50">
        <f t="shared" si="2"/>
        <v>-0.15</v>
      </c>
      <c r="K50">
        <f t="shared" si="2"/>
        <v>6.85</v>
      </c>
      <c r="L50">
        <f t="shared" si="3"/>
        <v>7.85</v>
      </c>
      <c r="N50">
        <f>(graph_data!U50-graph_range!U$2)/(graph_range!U$3-graph_range!U$2)</f>
        <v>0.86228726287262869</v>
      </c>
      <c r="O50">
        <f>(graph_data!V50-graph_range!V$2)/(graph_range!V$3-graph_range!V$2)</f>
        <v>8.9661391831318452E-2</v>
      </c>
      <c r="P50">
        <f>(graph_data!W50-graph_range!W$2)/(graph_range!W$3-graph_range!W$2)</f>
        <v>0.8768437068344852</v>
      </c>
      <c r="S50">
        <f>(graph_data!Z50-graph_range!Z$2)/(graph_range!Z$3-graph_range!Z$2)</f>
        <v>8.966139183131773E-2</v>
      </c>
      <c r="T50">
        <f>(graph_data!AA50-graph_range!AA$2)/(graph_range!AA$3-graph_range!AA$2)</f>
        <v>0.42857142857142855</v>
      </c>
      <c r="U50">
        <f>(graph_data!AB50-graph_range!AB$2)/(graph_range!AB$3-graph_range!AB$2)</f>
        <v>4.2139034177864146E-2</v>
      </c>
      <c r="W50">
        <f>graph_data!AD50</f>
        <v>1</v>
      </c>
      <c r="X50">
        <f>(graph_data!AE50-graph_range!AE$2)/(graph_range!AE$3-graph_range!AE$2)</f>
        <v>0.34387422057802308</v>
      </c>
      <c r="Y50">
        <f>(graph_data!AF50-graph_range!AF$2)/(graph_range!AF$3-graph_range!AF$2)</f>
        <v>0.84211249317428849</v>
      </c>
    </row>
    <row r="51" spans="1:25" x14ac:dyDescent="0.25">
      <c r="A51">
        <f t="shared" si="2"/>
        <v>0.85</v>
      </c>
      <c r="B51">
        <f t="shared" si="2"/>
        <v>1.85</v>
      </c>
      <c r="C51">
        <f t="shared" si="2"/>
        <v>2.85</v>
      </c>
      <c r="D51">
        <f t="shared" si="2"/>
        <v>-0.15</v>
      </c>
      <c r="E51">
        <f t="shared" si="2"/>
        <v>-0.15</v>
      </c>
      <c r="F51">
        <f t="shared" si="2"/>
        <v>3.85</v>
      </c>
      <c r="G51">
        <f t="shared" si="2"/>
        <v>4.8499999999999996</v>
      </c>
      <c r="H51">
        <f t="shared" si="2"/>
        <v>5.85</v>
      </c>
      <c r="I51">
        <f t="shared" si="2"/>
        <v>-0.15</v>
      </c>
      <c r="J51">
        <f t="shared" si="2"/>
        <v>-0.15</v>
      </c>
      <c r="K51">
        <f t="shared" si="2"/>
        <v>6.85</v>
      </c>
      <c r="L51">
        <f t="shared" si="3"/>
        <v>7.85</v>
      </c>
      <c r="N51">
        <f>(graph_data!U51-graph_range!U$2)/(graph_range!U$3-graph_range!U$2)</f>
        <v>0.91537127371273708</v>
      </c>
      <c r="O51">
        <f>(graph_data!V51-graph_range!V$2)/(graph_range!V$3-graph_range!V$2)</f>
        <v>0.10808449123186002</v>
      </c>
      <c r="P51">
        <f>(graph_data!W51-graph_range!W$2)/(graph_range!W$3-graph_range!W$2)</f>
        <v>0.80986646722674427</v>
      </c>
      <c r="S51">
        <f>(graph_data!Z51-graph_range!Z$2)/(graph_range!Z$3-graph_range!Z$2)</f>
        <v>0.10808449123185697</v>
      </c>
      <c r="T51">
        <f>(graph_data!AA51-graph_range!AA$2)/(graph_range!AA$3-graph_range!AA$2)</f>
        <v>0.35714285714285715</v>
      </c>
      <c r="U51">
        <f>(graph_data!AB51-graph_range!AB$2)/(graph_range!AB$3-graph_range!AB$2)</f>
        <v>5.4800270291166318E-2</v>
      </c>
      <c r="W51">
        <f>graph_data!AD51</f>
        <v>1</v>
      </c>
      <c r="X51">
        <f>(graph_data!AE51-graph_range!AE$2)/(graph_range!AE$3-graph_range!AE$2)</f>
        <v>0.31054075460376651</v>
      </c>
      <c r="Y51">
        <f>(graph_data!AF51-graph_range!AF$2)/(graph_range!AF$3-graph_range!AF$2)</f>
        <v>0.74568373982455194</v>
      </c>
    </row>
    <row r="52" spans="1:25" x14ac:dyDescent="0.25">
      <c r="A52">
        <f t="shared" si="2"/>
        <v>0.85</v>
      </c>
      <c r="B52">
        <f t="shared" si="2"/>
        <v>1.85</v>
      </c>
      <c r="C52">
        <f t="shared" si="2"/>
        <v>2.85</v>
      </c>
      <c r="D52">
        <f t="shared" si="2"/>
        <v>-0.15</v>
      </c>
      <c r="E52">
        <f t="shared" si="2"/>
        <v>-0.15</v>
      </c>
      <c r="F52">
        <f t="shared" si="2"/>
        <v>3.85</v>
      </c>
      <c r="G52">
        <f t="shared" si="2"/>
        <v>4.8499999999999996</v>
      </c>
      <c r="H52">
        <f t="shared" si="2"/>
        <v>5.85</v>
      </c>
      <c r="I52">
        <f t="shared" si="2"/>
        <v>-0.15</v>
      </c>
      <c r="J52">
        <f t="shared" si="2"/>
        <v>-0.15</v>
      </c>
      <c r="K52">
        <f t="shared" si="2"/>
        <v>6.85</v>
      </c>
      <c r="L52">
        <f t="shared" si="3"/>
        <v>7.85</v>
      </c>
      <c r="N52">
        <f>(graph_data!U52-graph_range!U$2)/(graph_range!U$3-graph_range!U$2)</f>
        <v>0.87635772357723574</v>
      </c>
      <c r="O52">
        <f>(graph_data!V52-graph_range!V$2)/(graph_range!V$3-graph_range!V$2)</f>
        <v>2.6202436794556264E-2</v>
      </c>
      <c r="P52">
        <f>(graph_data!W52-graph_range!W$2)/(graph_range!W$3-graph_range!W$2)</f>
        <v>0.7542431718543946</v>
      </c>
      <c r="S52">
        <f>(graph_data!Z52-graph_range!Z$2)/(graph_range!Z$3-graph_range!Z$2)</f>
        <v>2.6202436794552572E-2</v>
      </c>
      <c r="T52">
        <f>(graph_data!AA52-graph_range!AA$2)/(graph_range!AA$3-graph_range!AA$2)</f>
        <v>0.5714285714285714</v>
      </c>
      <c r="U52">
        <f>(graph_data!AB52-graph_range!AB$2)/(graph_range!AB$3-graph_range!AB$2)</f>
        <v>2.3158050354434433E-2</v>
      </c>
      <c r="W52">
        <f>graph_data!AD52</f>
        <v>1</v>
      </c>
      <c r="X52">
        <f>(graph_data!AE52-graph_range!AE$2)/(graph_range!AE$3-graph_range!AE$2)</f>
        <v>0.25882240592129641</v>
      </c>
      <c r="Y52">
        <f>(graph_data!AF52-graph_range!AF$2)/(graph_range!AF$3-graph_range!AF$2)</f>
        <v>0.85080800626403597</v>
      </c>
    </row>
    <row r="53" spans="1:25" x14ac:dyDescent="0.25">
      <c r="A53">
        <f t="shared" si="2"/>
        <v>0.85</v>
      </c>
      <c r="B53">
        <f t="shared" si="2"/>
        <v>1.85</v>
      </c>
      <c r="C53">
        <f t="shared" si="2"/>
        <v>2.85</v>
      </c>
      <c r="D53">
        <f t="shared" si="2"/>
        <v>-0.15</v>
      </c>
      <c r="E53">
        <f t="shared" si="2"/>
        <v>-0.15</v>
      </c>
      <c r="F53">
        <f t="shared" si="2"/>
        <v>3.85</v>
      </c>
      <c r="G53">
        <f t="shared" si="2"/>
        <v>4.8499999999999996</v>
      </c>
      <c r="H53">
        <f t="shared" si="2"/>
        <v>5.85</v>
      </c>
      <c r="I53">
        <f t="shared" si="2"/>
        <v>-0.15</v>
      </c>
      <c r="J53">
        <f t="shared" si="2"/>
        <v>-0.15</v>
      </c>
      <c r="K53">
        <f t="shared" si="2"/>
        <v>6.85</v>
      </c>
      <c r="L53">
        <f t="shared" si="3"/>
        <v>7.85</v>
      </c>
      <c r="N53">
        <f>(graph_data!U53-graph_range!U$2)/(graph_range!U$3-graph_range!U$2)</f>
        <v>0.87646612466124652</v>
      </c>
      <c r="O53">
        <f>(graph_data!V53-graph_range!V$2)/(graph_range!V$3-graph_range!V$2)</f>
        <v>0.14417018022327319</v>
      </c>
      <c r="P53">
        <f>(graph_data!W53-graph_range!W$2)/(graph_range!W$3-graph_range!W$2)</f>
        <v>0.78723537951022893</v>
      </c>
      <c r="S53">
        <f>(graph_data!Z53-graph_range!Z$2)/(graph_range!Z$3-graph_range!Z$2)</f>
        <v>0.14417018022327283</v>
      </c>
      <c r="T53">
        <f>(graph_data!AA53-graph_range!AA$2)/(graph_range!AA$3-graph_range!AA$2)</f>
        <v>0.2857142857142857</v>
      </c>
      <c r="U53">
        <f>(graph_data!AB53-graph_range!AB$2)/(graph_range!AB$3-graph_range!AB$2)</f>
        <v>0.11628702660829836</v>
      </c>
      <c r="W53">
        <f>graph_data!AD53</f>
        <v>1</v>
      </c>
      <c r="X53">
        <f>(graph_data!AE53-graph_range!AE$2)/(graph_range!AE$3-graph_range!AE$2)</f>
        <v>0.47898507290972597</v>
      </c>
      <c r="Y53">
        <f>(graph_data!AF53-graph_range!AF$2)/(graph_range!AF$3-graph_range!AF$2)</f>
        <v>0.66919014386718367</v>
      </c>
    </row>
    <row r="54" spans="1:25" x14ac:dyDescent="0.25">
      <c r="A54">
        <f t="shared" si="2"/>
        <v>0.85</v>
      </c>
      <c r="B54">
        <f t="shared" si="2"/>
        <v>1.85</v>
      </c>
      <c r="C54">
        <f t="shared" si="2"/>
        <v>2.85</v>
      </c>
      <c r="D54">
        <f t="shared" si="2"/>
        <v>-0.15</v>
      </c>
      <c r="E54">
        <f t="shared" si="2"/>
        <v>-0.15</v>
      </c>
      <c r="F54">
        <f t="shared" si="2"/>
        <v>3.85</v>
      </c>
      <c r="G54">
        <f t="shared" si="2"/>
        <v>4.8499999999999996</v>
      </c>
      <c r="H54">
        <f t="shared" si="2"/>
        <v>5.85</v>
      </c>
      <c r="I54">
        <f t="shared" si="2"/>
        <v>-0.15</v>
      </c>
      <c r="J54">
        <f t="shared" si="2"/>
        <v>-0.15</v>
      </c>
      <c r="K54">
        <f t="shared" si="2"/>
        <v>6.85</v>
      </c>
      <c r="L54">
        <f t="shared" si="3"/>
        <v>7.85</v>
      </c>
      <c r="N54">
        <f>(graph_data!U54-graph_range!U$2)/(graph_range!U$3-graph_range!U$2)</f>
        <v>0.7005550135501355</v>
      </c>
      <c r="O54">
        <f>(graph_data!V54-graph_range!V$2)/(graph_range!V$3-graph_range!V$2)</f>
        <v>7.9024910891318287E-2</v>
      </c>
      <c r="P54">
        <f>(graph_data!W54-graph_range!W$2)/(graph_range!W$3-graph_range!W$2)</f>
        <v>0.99203366721646702</v>
      </c>
      <c r="S54">
        <f>(graph_data!Z54-graph_range!Z$2)/(graph_range!Z$3-graph_range!Z$2)</f>
        <v>7.9024910891317079E-2</v>
      </c>
      <c r="T54">
        <f>(graph_data!AA54-graph_range!AA$2)/(graph_range!AA$3-graph_range!AA$2)</f>
        <v>0.6428571428571429</v>
      </c>
      <c r="U54">
        <f>(graph_data!AB54-graph_range!AB$2)/(graph_range!AB$3-graph_range!AB$2)</f>
        <v>3.7411792233436346E-2</v>
      </c>
      <c r="W54">
        <f>graph_data!AD54</f>
        <v>1</v>
      </c>
      <c r="X54">
        <f>(graph_data!AE54-graph_range!AE$2)/(graph_range!AE$3-graph_range!AE$2)</f>
        <v>0.44052417698604357</v>
      </c>
      <c r="Y54">
        <f>(graph_data!AF54-graph_range!AF$2)/(graph_range!AF$3-graph_range!AF$2)</f>
        <v>0.97597918704255648</v>
      </c>
    </row>
    <row r="55" spans="1:25" x14ac:dyDescent="0.25">
      <c r="A55">
        <f t="shared" si="2"/>
        <v>0.85</v>
      </c>
      <c r="B55">
        <f t="shared" si="2"/>
        <v>1.85</v>
      </c>
      <c r="C55">
        <f t="shared" si="2"/>
        <v>2.85</v>
      </c>
      <c r="D55">
        <f t="shared" si="2"/>
        <v>-0.15</v>
      </c>
      <c r="E55">
        <f t="shared" si="2"/>
        <v>-0.15</v>
      </c>
      <c r="F55">
        <f t="shared" si="2"/>
        <v>3.85</v>
      </c>
      <c r="G55">
        <f t="shared" si="2"/>
        <v>4.8499999999999996</v>
      </c>
      <c r="H55">
        <f t="shared" si="2"/>
        <v>5.85</v>
      </c>
      <c r="I55">
        <f t="shared" si="2"/>
        <v>-0.15</v>
      </c>
      <c r="J55">
        <f t="shared" si="2"/>
        <v>-0.15</v>
      </c>
      <c r="K55">
        <f t="shared" si="2"/>
        <v>6.85</v>
      </c>
      <c r="L55">
        <f t="shared" si="3"/>
        <v>7.85</v>
      </c>
      <c r="N55">
        <f>(graph_data!U55-graph_range!U$2)/(graph_range!U$3-graph_range!U$2)</f>
        <v>0.91957723577235773</v>
      </c>
      <c r="O55">
        <f>(graph_data!V55-graph_range!V$2)/(graph_range!V$3-graph_range!V$2)</f>
        <v>0.37057831920195655</v>
      </c>
      <c r="P55">
        <f>(graph_data!W55-graph_range!W$2)/(graph_range!W$3-graph_range!W$2)</f>
        <v>0.81361853316703414</v>
      </c>
      <c r="S55">
        <f>(graph_data!Z55-graph_range!Z$2)/(graph_range!Z$3-graph_range!Z$2)</f>
        <v>0.37057831920195311</v>
      </c>
      <c r="T55">
        <f>(graph_data!AA55-graph_range!AA$2)/(graph_range!AA$3-graph_range!AA$2)</f>
        <v>0.14285714285714285</v>
      </c>
      <c r="U55">
        <f>(graph_data!AB55-graph_range!AB$2)/(graph_range!AB$3-graph_range!AB$2)</f>
        <v>0.2970622480882118</v>
      </c>
      <c r="W55">
        <f>graph_data!AD55</f>
        <v>1</v>
      </c>
      <c r="X55">
        <f>(graph_data!AE55-graph_range!AE$2)/(graph_range!AE$3-graph_range!AE$2)</f>
        <v>0.71984766816423296</v>
      </c>
      <c r="Y55">
        <f>(graph_data!AF55-graph_range!AF$2)/(graph_range!AF$3-graph_range!AF$2)</f>
        <v>0.45645339700099385</v>
      </c>
    </row>
    <row r="56" spans="1:25" x14ac:dyDescent="0.25">
      <c r="A56">
        <f t="shared" si="2"/>
        <v>0.85</v>
      </c>
      <c r="B56">
        <f t="shared" si="2"/>
        <v>1.85</v>
      </c>
      <c r="C56">
        <f t="shared" si="2"/>
        <v>2.85</v>
      </c>
      <c r="D56">
        <f t="shared" si="2"/>
        <v>-0.15</v>
      </c>
      <c r="E56">
        <f t="shared" si="2"/>
        <v>-0.15</v>
      </c>
      <c r="F56">
        <f t="shared" si="2"/>
        <v>3.85</v>
      </c>
      <c r="G56">
        <f t="shared" si="2"/>
        <v>4.8499999999999996</v>
      </c>
      <c r="H56">
        <f t="shared" si="2"/>
        <v>5.85</v>
      </c>
      <c r="I56">
        <f t="shared" si="2"/>
        <v>-0.15</v>
      </c>
      <c r="J56">
        <f t="shared" si="2"/>
        <v>-0.15</v>
      </c>
      <c r="K56">
        <f t="shared" si="2"/>
        <v>6.85</v>
      </c>
      <c r="L56">
        <f t="shared" si="3"/>
        <v>7.85</v>
      </c>
      <c r="N56">
        <f>(graph_data!U56-graph_range!U$2)/(graph_range!U$3-graph_range!U$2)</f>
        <v>0.90931165311653106</v>
      </c>
      <c r="O56">
        <f>(graph_data!V56-graph_range!V$2)/(graph_range!V$3-graph_range!V$2)</f>
        <v>0.27440579746483867</v>
      </c>
      <c r="P56">
        <f>(graph_data!W56-graph_range!W$2)/(graph_range!W$3-graph_range!W$2)</f>
        <v>0.76726997615546033</v>
      </c>
      <c r="S56">
        <f>(graph_data!Z56-graph_range!Z$2)/(graph_range!Z$3-graph_range!Z$2)</f>
        <v>0.27440579746483762</v>
      </c>
      <c r="T56">
        <f>(graph_data!AA56-graph_range!AA$2)/(graph_range!AA$3-graph_range!AA$2)</f>
        <v>0.2857142857142857</v>
      </c>
      <c r="U56">
        <f>(graph_data!AB56-graph_range!AB$2)/(graph_range!AB$3-graph_range!AB$2)</f>
        <v>0.1870095010904996</v>
      </c>
      <c r="W56">
        <f>graph_data!AD56</f>
        <v>1</v>
      </c>
      <c r="X56">
        <f>(graph_data!AE56-graph_range!AE$2)/(graph_range!AE$3-graph_range!AE$2)</f>
        <v>0.48538895348161976</v>
      </c>
      <c r="Y56">
        <f>(graph_data!AF56-graph_range!AF$2)/(graph_range!AF$3-graph_range!AF$2)</f>
        <v>0.50486351622816628</v>
      </c>
    </row>
    <row r="57" spans="1:25" x14ac:dyDescent="0.25">
      <c r="A57">
        <f t="shared" si="2"/>
        <v>0.85</v>
      </c>
      <c r="B57">
        <f t="shared" si="2"/>
        <v>1.85</v>
      </c>
      <c r="C57">
        <f t="shared" si="2"/>
        <v>2.85</v>
      </c>
      <c r="D57">
        <f t="shared" si="2"/>
        <v>-0.15</v>
      </c>
      <c r="E57">
        <f t="shared" si="2"/>
        <v>-0.15</v>
      </c>
      <c r="F57">
        <f t="shared" si="2"/>
        <v>3.85</v>
      </c>
      <c r="G57">
        <f t="shared" si="2"/>
        <v>4.8499999999999996</v>
      </c>
      <c r="H57">
        <f t="shared" si="2"/>
        <v>5.85</v>
      </c>
      <c r="I57">
        <f t="shared" si="2"/>
        <v>-0.15</v>
      </c>
      <c r="J57">
        <f t="shared" si="2"/>
        <v>-0.15</v>
      </c>
      <c r="K57">
        <f t="shared" si="2"/>
        <v>6.85</v>
      </c>
      <c r="L57">
        <f t="shared" si="3"/>
        <v>7.85</v>
      </c>
      <c r="N57">
        <f>(graph_data!U57-graph_range!U$2)/(graph_range!U$3-graph_range!U$2)</f>
        <v>0.93356097560975604</v>
      </c>
      <c r="O57">
        <f>(graph_data!V57-graph_range!V$2)/(graph_range!V$3-graph_range!V$2)</f>
        <v>1.6248350910760205E-2</v>
      </c>
      <c r="P57">
        <f>(graph_data!W57-graph_range!W$2)/(graph_range!W$3-graph_range!W$2)</f>
        <v>0.8321023801531211</v>
      </c>
      <c r="S57">
        <f>(graph_data!Z57-graph_range!Z$2)/(graph_range!Z$3-graph_range!Z$2)</f>
        <v>1.6248350910757169E-2</v>
      </c>
      <c r="T57">
        <f>(graph_data!AA57-graph_range!AA$2)/(graph_range!AA$3-graph_range!AA$2)</f>
        <v>0.5</v>
      </c>
      <c r="U57">
        <f>(graph_data!AB57-graph_range!AB$2)/(graph_range!AB$3-graph_range!AB$2)</f>
        <v>1.6048707848702608E-3</v>
      </c>
      <c r="W57">
        <f>graph_data!AD57</f>
        <v>1</v>
      </c>
      <c r="X57">
        <f>(graph_data!AE57-graph_range!AE$2)/(graph_range!AE$3-graph_range!AE$2)</f>
        <v>0.23191145952185319</v>
      </c>
      <c r="Y57">
        <f>(graph_data!AF57-graph_range!AF$2)/(graph_range!AF$3-graph_range!AF$2)</f>
        <v>0.96193872967772853</v>
      </c>
    </row>
    <row r="58" spans="1:25" x14ac:dyDescent="0.25">
      <c r="A58">
        <f t="shared" si="2"/>
        <v>0.85</v>
      </c>
      <c r="B58">
        <f t="shared" si="2"/>
        <v>1.85</v>
      </c>
      <c r="C58">
        <f t="shared" si="2"/>
        <v>2.85</v>
      </c>
      <c r="D58">
        <f t="shared" si="2"/>
        <v>-0.15</v>
      </c>
      <c r="E58">
        <f t="shared" si="2"/>
        <v>-0.15</v>
      </c>
      <c r="F58">
        <f t="shared" si="2"/>
        <v>3.85</v>
      </c>
      <c r="G58">
        <f t="shared" si="2"/>
        <v>4.8499999999999996</v>
      </c>
      <c r="H58">
        <f t="shared" si="2"/>
        <v>5.85</v>
      </c>
      <c r="I58">
        <f t="shared" si="2"/>
        <v>-0.15</v>
      </c>
      <c r="J58">
        <f t="shared" si="2"/>
        <v>-0.15</v>
      </c>
      <c r="K58">
        <f t="shared" si="2"/>
        <v>6.85</v>
      </c>
      <c r="L58">
        <f t="shared" si="3"/>
        <v>7.85</v>
      </c>
      <c r="N58">
        <f>(graph_data!U58-graph_range!U$2)/(graph_range!U$3-graph_range!U$2)</f>
        <v>0.79974200542005414</v>
      </c>
      <c r="O58">
        <f>(graph_data!V58-graph_range!V$2)/(graph_range!V$3-graph_range!V$2)</f>
        <v>0.47799574901440406</v>
      </c>
      <c r="P58">
        <f>(graph_data!W58-graph_range!W$2)/(graph_range!W$3-graph_range!W$2)</f>
        <v>0.72544149262684832</v>
      </c>
      <c r="S58">
        <f>(graph_data!Z58-graph_range!Z$2)/(graph_range!Z$3-graph_range!Z$2)</f>
        <v>0.47799574901440167</v>
      </c>
      <c r="T58">
        <f>(graph_data!AA58-graph_range!AA$2)/(graph_range!AA$3-graph_range!AA$2)</f>
        <v>0.21428571428571427</v>
      </c>
      <c r="U58">
        <f>(graph_data!AB58-graph_range!AB$2)/(graph_range!AB$3-graph_range!AB$2)</f>
        <v>0.40668018122498212</v>
      </c>
      <c r="W58">
        <f>graph_data!AD58</f>
        <v>1</v>
      </c>
      <c r="X58">
        <f>(graph_data!AE58-graph_range!AE$2)/(graph_range!AE$3-graph_range!AE$2)</f>
        <v>0.71112677623215881</v>
      </c>
      <c r="Y58">
        <f>(graph_data!AF58-graph_range!AF$2)/(graph_range!AF$3-graph_range!AF$2)</f>
        <v>0.34130632969048302</v>
      </c>
    </row>
    <row r="59" spans="1:25" x14ac:dyDescent="0.25">
      <c r="A59">
        <f t="shared" si="2"/>
        <v>0.85</v>
      </c>
      <c r="B59">
        <f t="shared" si="2"/>
        <v>1.85</v>
      </c>
      <c r="C59">
        <f t="shared" ref="B59:K122" si="4">C$2+($W59-2.5)/10</f>
        <v>2.85</v>
      </c>
      <c r="D59">
        <f t="shared" si="4"/>
        <v>-0.15</v>
      </c>
      <c r="E59">
        <f t="shared" si="4"/>
        <v>-0.15</v>
      </c>
      <c r="F59">
        <f t="shared" si="4"/>
        <v>3.85</v>
      </c>
      <c r="G59">
        <f t="shared" si="4"/>
        <v>4.8499999999999996</v>
      </c>
      <c r="H59">
        <f t="shared" si="4"/>
        <v>5.85</v>
      </c>
      <c r="I59">
        <f t="shared" si="4"/>
        <v>-0.15</v>
      </c>
      <c r="J59">
        <f t="shared" si="4"/>
        <v>-0.15</v>
      </c>
      <c r="K59">
        <f t="shared" si="4"/>
        <v>6.85</v>
      </c>
      <c r="L59">
        <f t="shared" si="3"/>
        <v>7.85</v>
      </c>
      <c r="N59">
        <f>(graph_data!U59-graph_range!U$2)/(graph_range!U$3-graph_range!U$2)</f>
        <v>0.78238482384823849</v>
      </c>
      <c r="O59">
        <f>(graph_data!V59-graph_range!V$2)/(graph_range!V$3-graph_range!V$2)</f>
        <v>8.2632414150921554E-2</v>
      </c>
      <c r="P59">
        <f>(graph_data!W59-graph_range!W$2)/(graph_range!W$3-graph_range!W$2)</f>
        <v>0.94882975199779707</v>
      </c>
      <c r="S59">
        <f>(graph_data!Z59-graph_range!Z$2)/(graph_range!Z$3-graph_range!Z$2)</f>
        <v>8.2632414150919542E-2</v>
      </c>
      <c r="T59">
        <f>(graph_data!AA59-graph_range!AA$2)/(graph_range!AA$3-graph_range!AA$2)</f>
        <v>0.5</v>
      </c>
      <c r="U59">
        <f>(graph_data!AB59-graph_range!AB$2)/(graph_range!AB$3-graph_range!AB$2)</f>
        <v>3.7793613155075956E-2</v>
      </c>
      <c r="W59">
        <f>graph_data!AD59</f>
        <v>1</v>
      </c>
      <c r="X59">
        <f>(graph_data!AE59-graph_range!AE$2)/(graph_range!AE$3-graph_range!AE$2)</f>
        <v>0.39779111966482905</v>
      </c>
      <c r="Y59">
        <f>(graph_data!AF59-graph_range!AF$2)/(graph_range!AF$3-graph_range!AF$2)</f>
        <v>0.92589133460425666</v>
      </c>
    </row>
    <row r="60" spans="1:25" x14ac:dyDescent="0.25">
      <c r="A60">
        <f t="shared" ref="A60:K123" si="5">A$2+($W60-2.5)/10</f>
        <v>0.85</v>
      </c>
      <c r="B60">
        <f t="shared" si="4"/>
        <v>1.85</v>
      </c>
      <c r="C60">
        <f t="shared" si="4"/>
        <v>2.85</v>
      </c>
      <c r="D60">
        <f t="shared" si="4"/>
        <v>-0.15</v>
      </c>
      <c r="E60">
        <f t="shared" si="4"/>
        <v>-0.15</v>
      </c>
      <c r="F60">
        <f t="shared" si="4"/>
        <v>3.85</v>
      </c>
      <c r="G60">
        <f t="shared" si="4"/>
        <v>4.8499999999999996</v>
      </c>
      <c r="H60">
        <f t="shared" si="4"/>
        <v>5.85</v>
      </c>
      <c r="I60">
        <f t="shared" si="4"/>
        <v>-0.15</v>
      </c>
      <c r="J60">
        <f t="shared" si="4"/>
        <v>-0.15</v>
      </c>
      <c r="K60">
        <f t="shared" si="4"/>
        <v>6.85</v>
      </c>
      <c r="L60">
        <f t="shared" si="3"/>
        <v>7.85</v>
      </c>
      <c r="N60">
        <f>(graph_data!U60-graph_range!U$2)/(graph_range!U$3-graph_range!U$2)</f>
        <v>0.8227230352303524</v>
      </c>
      <c r="O60">
        <f>(graph_data!V60-graph_range!V$2)/(graph_range!V$3-graph_range!V$2)</f>
        <v>0.37875866977325512</v>
      </c>
      <c r="P60">
        <f>(graph_data!W60-graph_range!W$2)/(graph_range!W$3-graph_range!W$2)</f>
        <v>0.65965536289892401</v>
      </c>
      <c r="S60">
        <f>(graph_data!Z60-graph_range!Z$2)/(graph_range!Z$3-graph_range!Z$2)</f>
        <v>0.3787586697732529</v>
      </c>
      <c r="T60">
        <f>(graph_data!AA60-graph_range!AA$2)/(graph_range!AA$3-graph_range!AA$2)</f>
        <v>0.21428571428571427</v>
      </c>
      <c r="U60">
        <f>(graph_data!AB60-graph_range!AB$2)/(graph_range!AB$3-graph_range!AB$2)</f>
        <v>0.3928666883801839</v>
      </c>
      <c r="W60">
        <f>graph_data!AD60</f>
        <v>1</v>
      </c>
      <c r="X60">
        <f>(graph_data!AE60-graph_range!AE$2)/(graph_range!AE$3-graph_range!AE$2)</f>
        <v>0.72780221259702282</v>
      </c>
      <c r="Y60">
        <f>(graph_data!AF60-graph_range!AF$2)/(graph_range!AF$3-graph_range!AF$2)</f>
        <v>0.35889039660157984</v>
      </c>
    </row>
    <row r="61" spans="1:25" x14ac:dyDescent="0.25">
      <c r="A61">
        <f t="shared" si="5"/>
        <v>0.85</v>
      </c>
      <c r="B61">
        <f t="shared" si="4"/>
        <v>1.85</v>
      </c>
      <c r="C61">
        <f t="shared" si="4"/>
        <v>2.85</v>
      </c>
      <c r="D61">
        <f t="shared" si="4"/>
        <v>-0.15</v>
      </c>
      <c r="E61">
        <f t="shared" si="4"/>
        <v>-0.15</v>
      </c>
      <c r="F61">
        <f t="shared" si="4"/>
        <v>3.85</v>
      </c>
      <c r="G61">
        <f t="shared" si="4"/>
        <v>4.8499999999999996</v>
      </c>
      <c r="H61">
        <f t="shared" si="4"/>
        <v>5.85</v>
      </c>
      <c r="I61">
        <f t="shared" si="4"/>
        <v>-0.15</v>
      </c>
      <c r="J61">
        <f t="shared" si="4"/>
        <v>-0.15</v>
      </c>
      <c r="K61">
        <f t="shared" si="4"/>
        <v>6.85</v>
      </c>
      <c r="L61">
        <f t="shared" si="3"/>
        <v>7.85</v>
      </c>
      <c r="N61">
        <f>(graph_data!U61-graph_range!U$2)/(graph_range!U$3-graph_range!U$2)</f>
        <v>0.88584281842818424</v>
      </c>
      <c r="O61">
        <f>(graph_data!V61-graph_range!V$2)/(graph_range!V$3-graph_range!V$2)</f>
        <v>0.34166380567363852</v>
      </c>
      <c r="P61">
        <f>(graph_data!W61-graph_range!W$2)/(graph_range!W$3-graph_range!W$2)</f>
        <v>0.80146725746461434</v>
      </c>
      <c r="S61">
        <f>(graph_data!Z61-graph_range!Z$2)/(graph_range!Z$3-graph_range!Z$2)</f>
        <v>0.34166380567363719</v>
      </c>
      <c r="T61">
        <f>(graph_data!AA61-graph_range!AA$2)/(graph_range!AA$3-graph_range!AA$2)</f>
        <v>0.14285714285714285</v>
      </c>
      <c r="U61">
        <f>(graph_data!AB61-graph_range!AB$2)/(graph_range!AB$3-graph_range!AB$2)</f>
        <v>0.28893938164849081</v>
      </c>
      <c r="W61">
        <f>graph_data!AD61</f>
        <v>1</v>
      </c>
      <c r="X61">
        <f>(graph_data!AE61-graph_range!AE$2)/(graph_range!AE$3-graph_range!AE$2)</f>
        <v>0.72801849425227738</v>
      </c>
      <c r="Y61">
        <f>(graph_data!AF61-graph_range!AF$2)/(graph_range!AF$3-graph_range!AF$2)</f>
        <v>0.47078374289226382</v>
      </c>
    </row>
    <row r="62" spans="1:25" x14ac:dyDescent="0.25">
      <c r="A62">
        <f t="shared" si="5"/>
        <v>0.85</v>
      </c>
      <c r="B62">
        <f t="shared" si="4"/>
        <v>1.85</v>
      </c>
      <c r="C62">
        <f t="shared" si="4"/>
        <v>2.85</v>
      </c>
      <c r="D62">
        <f t="shared" si="4"/>
        <v>-0.15</v>
      </c>
      <c r="E62">
        <f t="shared" si="4"/>
        <v>-0.15</v>
      </c>
      <c r="F62">
        <f t="shared" si="4"/>
        <v>3.85</v>
      </c>
      <c r="G62">
        <f t="shared" si="4"/>
        <v>4.8499999999999996</v>
      </c>
      <c r="H62">
        <f t="shared" si="4"/>
        <v>5.85</v>
      </c>
      <c r="I62">
        <f t="shared" si="4"/>
        <v>-0.15</v>
      </c>
      <c r="J62">
        <f t="shared" si="4"/>
        <v>-0.15</v>
      </c>
      <c r="K62">
        <f t="shared" si="4"/>
        <v>6.85</v>
      </c>
      <c r="L62">
        <f t="shared" si="3"/>
        <v>7.85</v>
      </c>
      <c r="N62">
        <f>(graph_data!U62-graph_range!U$2)/(graph_range!U$3-graph_range!U$2)</f>
        <v>0.76360000000000006</v>
      </c>
      <c r="O62">
        <f>(graph_data!V62-graph_range!V$2)/(graph_range!V$3-graph_range!V$2)</f>
        <v>0.24879476650439372</v>
      </c>
      <c r="P62">
        <f>(graph_data!W62-graph_range!W$2)/(graph_range!W$3-graph_range!W$2)</f>
        <v>0.68863298567260989</v>
      </c>
      <c r="S62">
        <f>(graph_data!Z62-graph_range!Z$2)/(graph_range!Z$3-graph_range!Z$2)</f>
        <v>0.24879476650439364</v>
      </c>
      <c r="T62">
        <f>(graph_data!AA62-graph_range!AA$2)/(graph_range!AA$3-graph_range!AA$2)</f>
        <v>0.35714285714285715</v>
      </c>
      <c r="U62">
        <f>(graph_data!AB62-graph_range!AB$2)/(graph_range!AB$3-graph_range!AB$2)</f>
        <v>0.21869384362001021</v>
      </c>
      <c r="W62">
        <f>graph_data!AD62</f>
        <v>1</v>
      </c>
      <c r="X62">
        <f>(graph_data!AE62-graph_range!AE$2)/(graph_range!AE$3-graph_range!AE$2)</f>
        <v>0.52518821059709575</v>
      </c>
      <c r="Y62">
        <f>(graph_data!AF62-graph_range!AF$2)/(graph_range!AF$3-graph_range!AF$2)</f>
        <v>0.47270714803767228</v>
      </c>
    </row>
    <row r="63" spans="1:25" x14ac:dyDescent="0.25">
      <c r="A63">
        <f t="shared" si="5"/>
        <v>0.85</v>
      </c>
      <c r="B63">
        <f t="shared" si="4"/>
        <v>1.85</v>
      </c>
      <c r="C63">
        <f t="shared" si="4"/>
        <v>2.85</v>
      </c>
      <c r="D63">
        <f t="shared" si="4"/>
        <v>-0.15</v>
      </c>
      <c r="E63">
        <f t="shared" si="4"/>
        <v>-0.15</v>
      </c>
      <c r="F63">
        <f t="shared" si="4"/>
        <v>3.85</v>
      </c>
      <c r="G63">
        <f t="shared" si="4"/>
        <v>4.8499999999999996</v>
      </c>
      <c r="H63">
        <f t="shared" si="4"/>
        <v>5.85</v>
      </c>
      <c r="I63">
        <f t="shared" si="4"/>
        <v>-0.15</v>
      </c>
      <c r="J63">
        <f t="shared" si="4"/>
        <v>-0.15</v>
      </c>
      <c r="K63">
        <f t="shared" si="4"/>
        <v>6.85</v>
      </c>
      <c r="L63">
        <f t="shared" si="3"/>
        <v>7.85</v>
      </c>
      <c r="N63">
        <f>(graph_data!U63-graph_range!U$2)/(graph_range!U$3-graph_range!U$2)</f>
        <v>0.68734959349593494</v>
      </c>
      <c r="O63">
        <f>(graph_data!V63-graph_range!V$2)/(graph_range!V$3-graph_range!V$2)</f>
        <v>0.28101613792943825</v>
      </c>
      <c r="P63">
        <f>(graph_data!W63-graph_range!W$2)/(graph_range!W$3-graph_range!W$2)</f>
        <v>0.83730109302833466</v>
      </c>
      <c r="S63">
        <f>(graph_data!Z63-graph_range!Z$2)/(graph_range!Z$3-graph_range!Z$2)</f>
        <v>0.28101613792943553</v>
      </c>
      <c r="T63">
        <f>(graph_data!AA63-graph_range!AA$2)/(graph_range!AA$3-graph_range!AA$2)</f>
        <v>0.35714285714285715</v>
      </c>
      <c r="U63">
        <f>(graph_data!AB63-graph_range!AB$2)/(graph_range!AB$3-graph_range!AB$2)</f>
        <v>0.26258150891551857</v>
      </c>
      <c r="W63">
        <f>graph_data!AD63</f>
        <v>1</v>
      </c>
      <c r="X63">
        <f>(graph_data!AE63-graph_range!AE$2)/(graph_range!AE$3-graph_range!AE$2)</f>
        <v>0.80674108621809737</v>
      </c>
      <c r="Y63">
        <f>(graph_data!AF63-graph_range!AF$2)/(graph_range!AF$3-graph_range!AF$2)</f>
        <v>0.54669222383653804</v>
      </c>
    </row>
    <row r="64" spans="1:25" x14ac:dyDescent="0.25">
      <c r="A64">
        <f t="shared" si="5"/>
        <v>0.85</v>
      </c>
      <c r="B64">
        <f t="shared" si="4"/>
        <v>1.85</v>
      </c>
      <c r="C64">
        <f t="shared" si="4"/>
        <v>2.85</v>
      </c>
      <c r="D64">
        <f t="shared" si="4"/>
        <v>-0.15</v>
      </c>
      <c r="E64">
        <f t="shared" si="4"/>
        <v>-0.15</v>
      </c>
      <c r="F64">
        <f t="shared" si="4"/>
        <v>3.85</v>
      </c>
      <c r="G64">
        <f t="shared" si="4"/>
        <v>4.8499999999999996</v>
      </c>
      <c r="H64">
        <f t="shared" si="4"/>
        <v>5.85</v>
      </c>
      <c r="I64">
        <f t="shared" si="4"/>
        <v>-0.15</v>
      </c>
      <c r="J64">
        <f t="shared" si="4"/>
        <v>-0.15</v>
      </c>
      <c r="K64">
        <f t="shared" si="4"/>
        <v>6.85</v>
      </c>
      <c r="L64">
        <f t="shared" si="3"/>
        <v>7.85</v>
      </c>
      <c r="N64">
        <f>(graph_data!U64-graph_range!U$2)/(graph_range!U$3-graph_range!U$2)</f>
        <v>0.77152845528455272</v>
      </c>
      <c r="O64">
        <f>(graph_data!V64-graph_range!V$2)/(graph_range!V$3-graph_range!V$2)</f>
        <v>0.26321610012575514</v>
      </c>
      <c r="P64">
        <f>(graph_data!W64-graph_range!W$2)/(graph_range!W$3-graph_range!W$2)</f>
        <v>0.62638387977302723</v>
      </c>
      <c r="S64">
        <f>(graph_data!Z64-graph_range!Z$2)/(graph_range!Z$3-graph_range!Z$2)</f>
        <v>0.26321610012575186</v>
      </c>
      <c r="T64">
        <f>(graph_data!AA64-graph_range!AA$2)/(graph_range!AA$3-graph_range!AA$2)</f>
        <v>0.35714285714285715</v>
      </c>
      <c r="U64">
        <f>(graph_data!AB64-graph_range!AB$2)/(graph_range!AB$3-graph_range!AB$2)</f>
        <v>0.25212967073312748</v>
      </c>
      <c r="W64">
        <f>graph_data!AD64</f>
        <v>1</v>
      </c>
      <c r="X64">
        <f>(graph_data!AE64-graph_range!AE$2)/(graph_range!AE$3-graph_range!AE$2)</f>
        <v>0.51109019408868328</v>
      </c>
      <c r="Y64">
        <f>(graph_data!AF64-graph_range!AF$2)/(graph_range!AF$3-graph_range!AF$2)</f>
        <v>0.41646857900458184</v>
      </c>
    </row>
    <row r="65" spans="1:25" x14ac:dyDescent="0.25">
      <c r="A65">
        <f t="shared" si="5"/>
        <v>0.85</v>
      </c>
      <c r="B65">
        <f t="shared" si="4"/>
        <v>1.85</v>
      </c>
      <c r="C65">
        <f t="shared" si="4"/>
        <v>2.85</v>
      </c>
      <c r="D65">
        <f t="shared" si="4"/>
        <v>-0.15</v>
      </c>
      <c r="E65">
        <f t="shared" si="4"/>
        <v>-0.15</v>
      </c>
      <c r="F65">
        <f t="shared" si="4"/>
        <v>3.85</v>
      </c>
      <c r="G65">
        <f t="shared" si="4"/>
        <v>4.8499999999999996</v>
      </c>
      <c r="H65">
        <f t="shared" si="4"/>
        <v>5.85</v>
      </c>
      <c r="I65">
        <f t="shared" si="4"/>
        <v>-0.15</v>
      </c>
      <c r="J65">
        <f t="shared" si="4"/>
        <v>-0.15</v>
      </c>
      <c r="K65">
        <f t="shared" si="4"/>
        <v>6.85</v>
      </c>
      <c r="L65">
        <f t="shared" si="3"/>
        <v>7.85</v>
      </c>
      <c r="N65">
        <f>(graph_data!U65-graph_range!U$2)/(graph_range!U$3-graph_range!U$2)</f>
        <v>0.79171382113821132</v>
      </c>
      <c r="O65">
        <f>(graph_data!V65-graph_range!V$2)/(graph_range!V$3-graph_range!V$2)</f>
        <v>0.20055890623915074</v>
      </c>
      <c r="P65">
        <f>(graph_data!W65-graph_range!W$2)/(graph_range!W$3-graph_range!W$2)</f>
        <v>0.68794038250685485</v>
      </c>
      <c r="S65">
        <f>(graph_data!Z65-graph_range!Z$2)/(graph_range!Z$3-graph_range!Z$2)</f>
        <v>0.20055890623914854</v>
      </c>
      <c r="T65">
        <f>(graph_data!AA65-graph_range!AA$2)/(graph_range!AA$3-graph_range!AA$2)</f>
        <v>0.35714285714285715</v>
      </c>
      <c r="U65">
        <f>(graph_data!AB65-graph_range!AB$2)/(graph_range!AB$3-graph_range!AB$2)</f>
        <v>0.19262267627659654</v>
      </c>
      <c r="W65">
        <f>graph_data!AD65</f>
        <v>1</v>
      </c>
      <c r="X65">
        <f>(graph_data!AE65-graph_range!AE$2)/(graph_range!AE$3-graph_range!AE$2)</f>
        <v>0.52657394617717479</v>
      </c>
      <c r="Y65">
        <f>(graph_data!AF65-graph_range!AF$2)/(graph_range!AF$3-graph_range!AF$2)</f>
        <v>0.51884552084801272</v>
      </c>
    </row>
    <row r="66" spans="1:25" x14ac:dyDescent="0.25">
      <c r="A66">
        <f t="shared" si="5"/>
        <v>0.85</v>
      </c>
      <c r="B66">
        <f t="shared" si="4"/>
        <v>1.85</v>
      </c>
      <c r="C66">
        <f t="shared" si="4"/>
        <v>2.85</v>
      </c>
      <c r="D66">
        <f t="shared" si="4"/>
        <v>-0.15</v>
      </c>
      <c r="E66">
        <f t="shared" si="4"/>
        <v>-0.15</v>
      </c>
      <c r="F66">
        <f t="shared" si="4"/>
        <v>3.85</v>
      </c>
      <c r="G66">
        <f t="shared" si="4"/>
        <v>4.8499999999999996</v>
      </c>
      <c r="H66">
        <f t="shared" si="4"/>
        <v>5.85</v>
      </c>
      <c r="I66">
        <f t="shared" si="4"/>
        <v>-0.15</v>
      </c>
      <c r="J66">
        <f t="shared" si="4"/>
        <v>-0.15</v>
      </c>
      <c r="K66">
        <f t="shared" si="4"/>
        <v>6.85</v>
      </c>
      <c r="L66">
        <f t="shared" si="3"/>
        <v>7.85</v>
      </c>
      <c r="N66">
        <f>(graph_data!U66-graph_range!U$2)/(graph_range!U$3-graph_range!U$2)</f>
        <v>0.87003794037940374</v>
      </c>
      <c r="O66">
        <f>(graph_data!V66-graph_range!V$2)/(graph_range!V$3-graph_range!V$2)</f>
        <v>0.17817878827622918</v>
      </c>
      <c r="P66">
        <f>(graph_data!W66-graph_range!W$2)/(graph_range!W$3-graph_range!W$2)</f>
        <v>0.78273485531017173</v>
      </c>
      <c r="S66">
        <f>(graph_data!Z66-graph_range!Z$2)/(graph_range!Z$3-graph_range!Z$2)</f>
        <v>0.17817878827622602</v>
      </c>
      <c r="T66">
        <f>(graph_data!AA66-graph_range!AA$2)/(graph_range!AA$3-graph_range!AA$2)</f>
        <v>0.35714285714285715</v>
      </c>
      <c r="U66">
        <f>(graph_data!AB66-graph_range!AB$2)/(graph_range!AB$3-graph_range!AB$2)</f>
        <v>0.14516817852804909</v>
      </c>
      <c r="W66">
        <f>graph_data!AD66</f>
        <v>1</v>
      </c>
      <c r="X66">
        <f>(graph_data!AE66-graph_range!AE$2)/(graph_range!AE$3-graph_range!AE$2)</f>
        <v>0.52147461958274799</v>
      </c>
      <c r="Y66">
        <f>(graph_data!AF66-graph_range!AF$2)/(graph_range!AF$3-graph_range!AF$2)</f>
        <v>0.61957224878015849</v>
      </c>
    </row>
    <row r="67" spans="1:25" x14ac:dyDescent="0.25">
      <c r="A67">
        <f t="shared" si="5"/>
        <v>0.85</v>
      </c>
      <c r="B67">
        <f t="shared" si="4"/>
        <v>1.85</v>
      </c>
      <c r="C67">
        <f t="shared" si="4"/>
        <v>2.85</v>
      </c>
      <c r="D67">
        <f t="shared" si="4"/>
        <v>-0.15</v>
      </c>
      <c r="E67">
        <f t="shared" si="4"/>
        <v>-0.15</v>
      </c>
      <c r="F67">
        <f t="shared" si="4"/>
        <v>3.85</v>
      </c>
      <c r="G67">
        <f t="shared" si="4"/>
        <v>4.8499999999999996</v>
      </c>
      <c r="H67">
        <f t="shared" si="4"/>
        <v>5.85</v>
      </c>
      <c r="I67">
        <f t="shared" si="4"/>
        <v>-0.15</v>
      </c>
      <c r="J67">
        <f t="shared" si="4"/>
        <v>-0.15</v>
      </c>
      <c r="K67">
        <f t="shared" si="4"/>
        <v>6.85</v>
      </c>
      <c r="L67">
        <f t="shared" si="3"/>
        <v>7.85</v>
      </c>
      <c r="N67">
        <f>(graph_data!U67-graph_range!U$2)/(graph_range!U$3-graph_range!U$2)</f>
        <v>0.80129756097560978</v>
      </c>
      <c r="O67">
        <f>(graph_data!V67-graph_range!V$2)/(graph_range!V$3-graph_range!V$2)</f>
        <v>0.36145287655168695</v>
      </c>
      <c r="P67">
        <f>(graph_data!W67-graph_range!W$2)/(graph_range!W$3-graph_range!W$2)</f>
        <v>0.73486005785470643</v>
      </c>
      <c r="S67">
        <f>(graph_data!Z67-graph_range!Z$2)/(graph_range!Z$3-graph_range!Z$2)</f>
        <v>0.36145287655168623</v>
      </c>
      <c r="T67">
        <f>(graph_data!AA67-graph_range!AA$2)/(graph_range!AA$3-graph_range!AA$2)</f>
        <v>0.21428571428571427</v>
      </c>
      <c r="U67">
        <f>(graph_data!AB67-graph_range!AB$2)/(graph_range!AB$3-graph_range!AB$2)</f>
        <v>0.33941311814395364</v>
      </c>
      <c r="W67">
        <f>graph_data!AD67</f>
        <v>1</v>
      </c>
      <c r="X67">
        <f>(graph_data!AE67-graph_range!AE$2)/(graph_range!AE$3-graph_range!AE$2)</f>
        <v>0.73993797831147989</v>
      </c>
      <c r="Y67">
        <f>(graph_data!AF67-graph_range!AF$2)/(graph_range!AF$3-graph_range!AF$2)</f>
        <v>0.41522422950152349</v>
      </c>
    </row>
    <row r="68" spans="1:25" x14ac:dyDescent="0.25">
      <c r="A68">
        <f t="shared" si="5"/>
        <v>0.85</v>
      </c>
      <c r="B68">
        <f t="shared" si="4"/>
        <v>1.85</v>
      </c>
      <c r="C68">
        <f t="shared" si="4"/>
        <v>2.85</v>
      </c>
      <c r="D68">
        <f t="shared" si="4"/>
        <v>-0.15</v>
      </c>
      <c r="E68">
        <f t="shared" si="4"/>
        <v>-0.15</v>
      </c>
      <c r="F68">
        <f t="shared" si="4"/>
        <v>3.85</v>
      </c>
      <c r="G68">
        <f t="shared" si="4"/>
        <v>4.8499999999999996</v>
      </c>
      <c r="H68">
        <f t="shared" si="4"/>
        <v>5.85</v>
      </c>
      <c r="I68">
        <f t="shared" si="4"/>
        <v>-0.15</v>
      </c>
      <c r="J68">
        <f t="shared" si="4"/>
        <v>-0.15</v>
      </c>
      <c r="K68">
        <f t="shared" si="4"/>
        <v>6.85</v>
      </c>
      <c r="L68">
        <f t="shared" si="3"/>
        <v>7.85</v>
      </c>
      <c r="N68">
        <f>(graph_data!U68-graph_range!U$2)/(graph_range!U$3-graph_range!U$2)</f>
        <v>0.73201300813008141</v>
      </c>
      <c r="O68">
        <f>(graph_data!V68-graph_range!V$2)/(graph_range!V$3-graph_range!V$2)</f>
        <v>8.8544760718115678E-2</v>
      </c>
      <c r="P68">
        <f>(graph_data!W68-graph_range!W$2)/(graph_range!W$3-graph_range!W$2)</f>
        <v>0.90116999665427988</v>
      </c>
      <c r="S68">
        <f>(graph_data!Z68-graph_range!Z$2)/(graph_range!Z$3-graph_range!Z$2)</f>
        <v>8.8544760718112805E-2</v>
      </c>
      <c r="T68">
        <f>(graph_data!AA68-graph_range!AA$2)/(graph_range!AA$3-graph_range!AA$2)</f>
        <v>0.5714285714285714</v>
      </c>
      <c r="U68">
        <f>(graph_data!AB68-graph_range!AB$2)/(graph_range!AB$3-graph_range!AB$2)</f>
        <v>5.1567700993726297E-2</v>
      </c>
      <c r="W68">
        <f>graph_data!AD68</f>
        <v>1</v>
      </c>
      <c r="X68">
        <f>(graph_data!AE68-graph_range!AE$2)/(graph_range!AE$3-graph_range!AE$2)</f>
        <v>0.4142973014563695</v>
      </c>
      <c r="Y68">
        <f>(graph_data!AF68-graph_range!AF$2)/(graph_range!AF$3-graph_range!AF$2)</f>
        <v>0.86759572623620784</v>
      </c>
    </row>
    <row r="69" spans="1:25" x14ac:dyDescent="0.25">
      <c r="A69">
        <f t="shared" si="5"/>
        <v>0.85</v>
      </c>
      <c r="B69">
        <f t="shared" si="4"/>
        <v>1.85</v>
      </c>
      <c r="C69">
        <f t="shared" si="4"/>
        <v>2.85</v>
      </c>
      <c r="D69">
        <f t="shared" si="4"/>
        <v>-0.15</v>
      </c>
      <c r="E69">
        <f t="shared" si="4"/>
        <v>-0.15</v>
      </c>
      <c r="F69">
        <f t="shared" si="4"/>
        <v>3.85</v>
      </c>
      <c r="G69">
        <f t="shared" si="4"/>
        <v>4.8499999999999996</v>
      </c>
      <c r="H69">
        <f t="shared" si="4"/>
        <v>5.85</v>
      </c>
      <c r="I69">
        <f t="shared" si="4"/>
        <v>-0.15</v>
      </c>
      <c r="J69">
        <f t="shared" si="4"/>
        <v>-0.15</v>
      </c>
      <c r="K69">
        <f t="shared" si="4"/>
        <v>6.85</v>
      </c>
      <c r="L69">
        <f t="shared" si="3"/>
        <v>7.85</v>
      </c>
      <c r="N69">
        <f>(graph_data!U69-graph_range!U$2)/(graph_range!U$3-graph_range!U$2)</f>
        <v>0.87448238482384821</v>
      </c>
      <c r="O69">
        <f>(graph_data!V69-graph_range!V$2)/(graph_range!V$3-graph_range!V$2)</f>
        <v>0.26328601765200554</v>
      </c>
      <c r="P69">
        <f>(graph_data!W69-graph_range!W$2)/(graph_range!W$3-graph_range!W$2)</f>
        <v>0.76762325962508948</v>
      </c>
      <c r="S69">
        <f>(graph_data!Z69-graph_range!Z$2)/(graph_range!Z$3-graph_range!Z$2)</f>
        <v>0.26328601765200349</v>
      </c>
      <c r="T69">
        <f>(graph_data!AA69-graph_range!AA$2)/(graph_range!AA$3-graph_range!AA$2)</f>
        <v>0.2857142857142857</v>
      </c>
      <c r="U69">
        <f>(graph_data!AB69-graph_range!AB$2)/(graph_range!AB$3-graph_range!AB$2)</f>
        <v>0.17904968984863182</v>
      </c>
      <c r="W69">
        <f>graph_data!AD69</f>
        <v>1</v>
      </c>
      <c r="X69">
        <f>(graph_data!AE69-graph_range!AE$2)/(graph_range!AE$3-graph_range!AE$2)</f>
        <v>0.47770567225574773</v>
      </c>
      <c r="Y69">
        <f>(graph_data!AF69-graph_range!AF$2)/(graph_range!AF$3-graph_range!AF$2)</f>
        <v>0.5153844654337647</v>
      </c>
    </row>
    <row r="70" spans="1:25" x14ac:dyDescent="0.25">
      <c r="A70">
        <f t="shared" si="5"/>
        <v>0.85</v>
      </c>
      <c r="B70">
        <f t="shared" si="4"/>
        <v>1.85</v>
      </c>
      <c r="C70">
        <f t="shared" si="4"/>
        <v>2.85</v>
      </c>
      <c r="D70">
        <f t="shared" si="4"/>
        <v>-0.15</v>
      </c>
      <c r="E70">
        <f t="shared" si="4"/>
        <v>-0.15</v>
      </c>
      <c r="F70">
        <f t="shared" si="4"/>
        <v>3.85</v>
      </c>
      <c r="G70">
        <f t="shared" si="4"/>
        <v>4.8499999999999996</v>
      </c>
      <c r="H70">
        <f t="shared" si="4"/>
        <v>5.85</v>
      </c>
      <c r="I70">
        <f t="shared" si="4"/>
        <v>-0.15</v>
      </c>
      <c r="J70">
        <f t="shared" si="4"/>
        <v>-0.15</v>
      </c>
      <c r="K70">
        <f t="shared" si="4"/>
        <v>6.85</v>
      </c>
      <c r="L70">
        <f t="shared" si="3"/>
        <v>7.85</v>
      </c>
      <c r="N70">
        <f>(graph_data!U70-graph_range!U$2)/(graph_range!U$3-graph_range!U$2)</f>
        <v>0.86037940379403788</v>
      </c>
      <c r="O70">
        <f>(graph_data!V70-graph_range!V$2)/(graph_range!V$3-graph_range!V$2)</f>
        <v>9.1289968715523445E-2</v>
      </c>
      <c r="P70">
        <f>(graph_data!W70-graph_range!W$2)/(graph_range!W$3-graph_range!W$2)</f>
        <v>0.83932165105423695</v>
      </c>
      <c r="S70">
        <f>(graph_data!Z70-graph_range!Z$2)/(graph_range!Z$3-graph_range!Z$2)</f>
        <v>9.1289968715523168E-2</v>
      </c>
      <c r="T70">
        <f>(graph_data!AA70-graph_range!AA$2)/(graph_range!AA$3-graph_range!AA$2)</f>
        <v>0.42857142857142855</v>
      </c>
      <c r="U70">
        <f>(graph_data!AB70-graph_range!AB$2)/(graph_range!AB$3-graph_range!AB$2)</f>
        <v>5.1934575188896041E-2</v>
      </c>
      <c r="W70">
        <f>graph_data!AD70</f>
        <v>1</v>
      </c>
      <c r="X70">
        <f>(graph_data!AE70-graph_range!AE$2)/(graph_range!AE$3-graph_range!AE$2)</f>
        <v>0.35377168083523447</v>
      </c>
      <c r="Y70">
        <f>(graph_data!AF70-graph_range!AF$2)/(graph_range!AF$3-graph_range!AF$2)</f>
        <v>0.80321415467149959</v>
      </c>
    </row>
    <row r="71" spans="1:25" x14ac:dyDescent="0.25">
      <c r="A71">
        <f t="shared" si="5"/>
        <v>0.85</v>
      </c>
      <c r="B71">
        <f t="shared" si="4"/>
        <v>1.85</v>
      </c>
      <c r="C71">
        <f t="shared" si="4"/>
        <v>2.85</v>
      </c>
      <c r="D71">
        <f t="shared" si="4"/>
        <v>-0.15</v>
      </c>
      <c r="E71">
        <f t="shared" si="4"/>
        <v>-0.15</v>
      </c>
      <c r="F71">
        <f t="shared" si="4"/>
        <v>3.85</v>
      </c>
      <c r="G71">
        <f t="shared" si="4"/>
        <v>4.8499999999999996</v>
      </c>
      <c r="H71">
        <f t="shared" si="4"/>
        <v>5.85</v>
      </c>
      <c r="I71">
        <f t="shared" si="4"/>
        <v>-0.15</v>
      </c>
      <c r="J71">
        <f t="shared" si="4"/>
        <v>-0.15</v>
      </c>
      <c r="K71">
        <f t="shared" si="4"/>
        <v>6.85</v>
      </c>
      <c r="L71">
        <f t="shared" si="3"/>
        <v>7.85</v>
      </c>
      <c r="N71">
        <f>(graph_data!U71-graph_range!U$2)/(graph_range!U$3-graph_range!U$2)</f>
        <v>0.87923035230352298</v>
      </c>
      <c r="O71">
        <f>(graph_data!V71-graph_range!V$2)/(graph_range!V$3-graph_range!V$2)</f>
        <v>0.2008687132089155</v>
      </c>
      <c r="P71">
        <f>(graph_data!W71-graph_range!W$2)/(graph_range!W$3-graph_range!W$2)</f>
        <v>0.71943567364315408</v>
      </c>
      <c r="S71">
        <f>(graph_data!Z71-graph_range!Z$2)/(graph_range!Z$3-graph_range!Z$2)</f>
        <v>0.20086871320891486</v>
      </c>
      <c r="T71">
        <f>(graph_data!AA71-graph_range!AA$2)/(graph_range!AA$3-graph_range!AA$2)</f>
        <v>0.2857142857142857</v>
      </c>
      <c r="U71">
        <f>(graph_data!AB71-graph_range!AB$2)/(graph_range!AB$3-graph_range!AB$2)</f>
        <v>0.16961287027287694</v>
      </c>
      <c r="W71">
        <f>graph_data!AD71</f>
        <v>1</v>
      </c>
      <c r="X71">
        <f>(graph_data!AE71-graph_range!AE$2)/(graph_range!AE$3-graph_range!AE$2)</f>
        <v>0.4912348624601871</v>
      </c>
      <c r="Y71">
        <f>(graph_data!AF71-graph_range!AF$2)/(graph_range!AF$3-graph_range!AF$2)</f>
        <v>0.5429272169168049</v>
      </c>
    </row>
    <row r="72" spans="1:25" x14ac:dyDescent="0.25">
      <c r="A72">
        <f t="shared" si="5"/>
        <v>0.85</v>
      </c>
      <c r="B72">
        <f t="shared" si="4"/>
        <v>1.85</v>
      </c>
      <c r="C72">
        <f t="shared" si="4"/>
        <v>2.85</v>
      </c>
      <c r="D72">
        <f t="shared" si="4"/>
        <v>-0.15</v>
      </c>
      <c r="E72">
        <f t="shared" si="4"/>
        <v>-0.15</v>
      </c>
      <c r="F72">
        <f t="shared" si="4"/>
        <v>3.85</v>
      </c>
      <c r="G72">
        <f t="shared" si="4"/>
        <v>4.8499999999999996</v>
      </c>
      <c r="H72">
        <f t="shared" si="4"/>
        <v>5.85</v>
      </c>
      <c r="I72">
        <f t="shared" si="4"/>
        <v>-0.15</v>
      </c>
      <c r="J72">
        <f t="shared" si="4"/>
        <v>-0.15</v>
      </c>
      <c r="K72">
        <f t="shared" si="4"/>
        <v>6.85</v>
      </c>
      <c r="L72">
        <f t="shared" si="3"/>
        <v>7.85</v>
      </c>
      <c r="N72">
        <f>(graph_data!U72-graph_range!U$2)/(graph_range!U$3-graph_range!U$2)</f>
        <v>0.82587750677506777</v>
      </c>
      <c r="O72">
        <f>(graph_data!V72-graph_range!V$2)/(graph_range!V$3-graph_range!V$2)</f>
        <v>0.10962446091176314</v>
      </c>
      <c r="P72">
        <f>(graph_data!W72-graph_range!W$2)/(graph_range!W$3-graph_range!W$2)</f>
        <v>0.72257193717195611</v>
      </c>
      <c r="S72">
        <f>(graph_data!Z72-graph_range!Z$2)/(graph_range!Z$3-graph_range!Z$2)</f>
        <v>0.10962446091176166</v>
      </c>
      <c r="T72">
        <f>(graph_data!AA72-graph_range!AA$2)/(graph_range!AA$3-graph_range!AA$2)</f>
        <v>0.5</v>
      </c>
      <c r="U72">
        <f>(graph_data!AB72-graph_range!AB$2)/(graph_range!AB$3-graph_range!AB$2)</f>
        <v>8.8058095479960463E-2</v>
      </c>
      <c r="W72">
        <f>graph_data!AD72</f>
        <v>1</v>
      </c>
      <c r="X72">
        <f>(graph_data!AE72-graph_range!AE$2)/(graph_range!AE$3-graph_range!AE$2)</f>
        <v>0.36002811692065145</v>
      </c>
      <c r="Y72">
        <f>(graph_data!AF72-graph_range!AF$2)/(graph_range!AF$3-graph_range!AF$2)</f>
        <v>0.66305311406710021</v>
      </c>
    </row>
    <row r="73" spans="1:25" x14ac:dyDescent="0.25">
      <c r="A73">
        <f t="shared" si="5"/>
        <v>0.85</v>
      </c>
      <c r="B73">
        <f t="shared" si="4"/>
        <v>1.85</v>
      </c>
      <c r="C73">
        <f t="shared" si="4"/>
        <v>2.85</v>
      </c>
      <c r="D73">
        <f t="shared" si="4"/>
        <v>-0.15</v>
      </c>
      <c r="E73">
        <f t="shared" si="4"/>
        <v>-0.15</v>
      </c>
      <c r="F73">
        <f t="shared" si="4"/>
        <v>3.85</v>
      </c>
      <c r="G73">
        <f t="shared" si="4"/>
        <v>4.8499999999999996</v>
      </c>
      <c r="H73">
        <f t="shared" si="4"/>
        <v>5.85</v>
      </c>
      <c r="I73">
        <f t="shared" si="4"/>
        <v>-0.15</v>
      </c>
      <c r="J73">
        <f t="shared" si="4"/>
        <v>-0.15</v>
      </c>
      <c r="K73">
        <f t="shared" si="4"/>
        <v>6.85</v>
      </c>
      <c r="L73">
        <f t="shared" si="3"/>
        <v>7.85</v>
      </c>
      <c r="N73">
        <f>(graph_data!U73-graph_range!U$2)/(graph_range!U$3-graph_range!U$2)</f>
        <v>0.84662330623306226</v>
      </c>
      <c r="O73">
        <f>(graph_data!V73-graph_range!V$2)/(graph_range!V$3-graph_range!V$2)</f>
        <v>0.28443582824783792</v>
      </c>
      <c r="P73">
        <f>(graph_data!W73-graph_range!W$2)/(graph_range!W$3-graph_range!W$2)</f>
        <v>0.66852654820545954</v>
      </c>
      <c r="S73">
        <f>(graph_data!Z73-graph_range!Z$2)/(graph_range!Z$3-graph_range!Z$2)</f>
        <v>0.28443582824783747</v>
      </c>
      <c r="T73">
        <f>(graph_data!AA73-graph_range!AA$2)/(graph_range!AA$3-graph_range!AA$2)</f>
        <v>0.2857142857142857</v>
      </c>
      <c r="U73">
        <f>(graph_data!AB73-graph_range!AB$2)/(graph_range!AB$3-graph_range!AB$2)</f>
        <v>0.23243260283245906</v>
      </c>
      <c r="W73">
        <f>graph_data!AD73</f>
        <v>1</v>
      </c>
      <c r="X73">
        <f>(graph_data!AE73-graph_range!AE$2)/(graph_range!AE$3-graph_range!AE$2)</f>
        <v>0.48233371225684873</v>
      </c>
      <c r="Y73">
        <f>(graph_data!AF73-graph_range!AF$2)/(graph_range!AF$3-graph_range!AF$2)</f>
        <v>0.42886871875582128</v>
      </c>
    </row>
    <row r="74" spans="1:25" x14ac:dyDescent="0.25">
      <c r="A74">
        <f t="shared" si="5"/>
        <v>0.85</v>
      </c>
      <c r="B74">
        <f t="shared" si="4"/>
        <v>1.85</v>
      </c>
      <c r="C74">
        <f t="shared" si="4"/>
        <v>2.85</v>
      </c>
      <c r="D74">
        <f t="shared" si="4"/>
        <v>-0.15</v>
      </c>
      <c r="E74">
        <f t="shared" si="4"/>
        <v>-0.15</v>
      </c>
      <c r="F74">
        <f t="shared" si="4"/>
        <v>3.85</v>
      </c>
      <c r="G74">
        <f t="shared" si="4"/>
        <v>4.8499999999999996</v>
      </c>
      <c r="H74">
        <f t="shared" si="4"/>
        <v>5.85</v>
      </c>
      <c r="I74">
        <f t="shared" si="4"/>
        <v>-0.15</v>
      </c>
      <c r="J74">
        <f t="shared" si="4"/>
        <v>-0.15</v>
      </c>
      <c r="K74">
        <f t="shared" si="4"/>
        <v>6.85</v>
      </c>
      <c r="L74">
        <f t="shared" si="3"/>
        <v>7.85</v>
      </c>
      <c r="N74">
        <f>(graph_data!U74-graph_range!U$2)/(graph_range!U$3-graph_range!U$2)</f>
        <v>0.87551219512195111</v>
      </c>
      <c r="O74">
        <f>(graph_data!V74-graph_range!V$2)/(graph_range!V$3-graph_range!V$2)</f>
        <v>0.13516528503205602</v>
      </c>
      <c r="P74">
        <f>(graph_data!W74-graph_range!W$2)/(graph_range!W$3-graph_range!W$2)</f>
        <v>0.74937958954325612</v>
      </c>
      <c r="S74">
        <f>(graph_data!Z74-graph_range!Z$2)/(graph_range!Z$3-graph_range!Z$2)</f>
        <v>0.13516528503205366</v>
      </c>
      <c r="T74">
        <f>(graph_data!AA74-graph_range!AA$2)/(graph_range!AA$3-graph_range!AA$2)</f>
        <v>0.42857142857142855</v>
      </c>
      <c r="U74">
        <f>(graph_data!AB74-graph_range!AB$2)/(graph_range!AB$3-graph_range!AB$2)</f>
        <v>8.3877088448340936E-2</v>
      </c>
      <c r="W74">
        <f>graph_data!AD74</f>
        <v>1</v>
      </c>
      <c r="X74">
        <f>(graph_data!AE74-graph_range!AE$2)/(graph_range!AE$3-graph_range!AE$2)</f>
        <v>0.32806393251806826</v>
      </c>
      <c r="Y74">
        <f>(graph_data!AF74-graph_range!AF$2)/(graph_range!AF$3-graph_range!AF$2)</f>
        <v>0.64935515908752417</v>
      </c>
    </row>
    <row r="75" spans="1:25" x14ac:dyDescent="0.25">
      <c r="A75">
        <f t="shared" si="5"/>
        <v>0.85</v>
      </c>
      <c r="B75">
        <f t="shared" si="4"/>
        <v>1.85</v>
      </c>
      <c r="C75">
        <f t="shared" si="4"/>
        <v>2.85</v>
      </c>
      <c r="D75">
        <f t="shared" si="4"/>
        <v>-0.15</v>
      </c>
      <c r="E75">
        <f t="shared" si="4"/>
        <v>-0.15</v>
      </c>
      <c r="F75">
        <f t="shared" si="4"/>
        <v>3.85</v>
      </c>
      <c r="G75">
        <f t="shared" si="4"/>
        <v>4.8499999999999996</v>
      </c>
      <c r="H75">
        <f t="shared" si="4"/>
        <v>5.85</v>
      </c>
      <c r="I75">
        <f t="shared" si="4"/>
        <v>-0.15</v>
      </c>
      <c r="J75">
        <f t="shared" si="4"/>
        <v>-0.15</v>
      </c>
      <c r="K75">
        <f t="shared" si="4"/>
        <v>6.85</v>
      </c>
      <c r="L75">
        <f t="shared" si="3"/>
        <v>7.85</v>
      </c>
      <c r="N75">
        <f>(graph_data!U75-graph_range!U$2)/(graph_range!U$3-graph_range!U$2)</f>
        <v>0.98358807588075892</v>
      </c>
      <c r="O75">
        <f>(graph_data!V75-graph_range!V$2)/(graph_range!V$3-graph_range!V$2)</f>
        <v>2.509629331029109E-2</v>
      </c>
      <c r="P75">
        <f>(graph_data!W75-graph_range!W$2)/(graph_range!W$3-graph_range!W$2)</f>
        <v>0.75441073713643214</v>
      </c>
      <c r="S75">
        <f>(graph_data!Z75-graph_range!Z$2)/(graph_range!Z$3-graph_range!Z$2)</f>
        <v>2.5096293310290813E-2</v>
      </c>
      <c r="T75">
        <f>(graph_data!AA75-graph_range!AA$2)/(graph_range!AA$3-graph_range!AA$2)</f>
        <v>0.5</v>
      </c>
      <c r="U75">
        <f>(graph_data!AB75-graph_range!AB$2)/(graph_range!AB$3-graph_range!AB$2)</f>
        <v>1.6067866834450446E-2</v>
      </c>
      <c r="W75">
        <f>graph_data!AD75</f>
        <v>1</v>
      </c>
      <c r="X75">
        <f>(graph_data!AE75-graph_range!AE$2)/(graph_range!AE$3-graph_range!AE$2)</f>
        <v>0.22620022547519189</v>
      </c>
      <c r="Y75">
        <f>(graph_data!AF75-graph_range!AF$2)/(graph_range!AF$3-graph_range!AF$2)</f>
        <v>0.85352728399846656</v>
      </c>
    </row>
    <row r="76" spans="1:25" x14ac:dyDescent="0.25">
      <c r="A76">
        <f t="shared" si="5"/>
        <v>0.85</v>
      </c>
      <c r="B76">
        <f t="shared" si="4"/>
        <v>1.85</v>
      </c>
      <c r="C76">
        <f t="shared" si="4"/>
        <v>2.85</v>
      </c>
      <c r="D76">
        <f t="shared" si="4"/>
        <v>-0.15</v>
      </c>
      <c r="E76">
        <f t="shared" si="4"/>
        <v>-0.15</v>
      </c>
      <c r="F76">
        <f t="shared" si="4"/>
        <v>3.85</v>
      </c>
      <c r="G76">
        <f t="shared" si="4"/>
        <v>4.8499999999999996</v>
      </c>
      <c r="H76">
        <f t="shared" si="4"/>
        <v>5.85</v>
      </c>
      <c r="I76">
        <f t="shared" si="4"/>
        <v>-0.15</v>
      </c>
      <c r="J76">
        <f t="shared" si="4"/>
        <v>-0.15</v>
      </c>
      <c r="K76">
        <f t="shared" si="4"/>
        <v>6.85</v>
      </c>
      <c r="L76">
        <f t="shared" si="3"/>
        <v>7.85</v>
      </c>
      <c r="N76">
        <f>(graph_data!U76-graph_range!U$2)/(graph_range!U$3-graph_range!U$2)</f>
        <v>0.91744173441734411</v>
      </c>
      <c r="O76">
        <f>(graph_data!V76-graph_range!V$2)/(graph_range!V$3-graph_range!V$2)</f>
        <v>0.51613696505859574</v>
      </c>
      <c r="P76">
        <f>(graph_data!W76-graph_range!W$2)/(graph_range!W$3-graph_range!W$2)</f>
        <v>0.66954590367118771</v>
      </c>
      <c r="S76">
        <f>(graph_data!Z76-graph_range!Z$2)/(graph_range!Z$3-graph_range!Z$2)</f>
        <v>0.51613696505859319</v>
      </c>
      <c r="T76">
        <f>(graph_data!AA76-graph_range!AA$2)/(graph_range!AA$3-graph_range!AA$2)</f>
        <v>0.14285714285714285</v>
      </c>
      <c r="U76">
        <f>(graph_data!AB76-graph_range!AB$2)/(graph_range!AB$3-graph_range!AB$2)</f>
        <v>0.45214132917977395</v>
      </c>
      <c r="W76">
        <f>graph_data!AD76</f>
        <v>1</v>
      </c>
      <c r="X76">
        <f>(graph_data!AE76-graph_range!AE$2)/(graph_range!AE$3-graph_range!AE$2)</f>
        <v>0.67236551833664371</v>
      </c>
      <c r="Y76">
        <f>(graph_data!AF76-graph_range!AF$2)/(graph_range!AF$3-graph_range!AF$2)</f>
        <v>0.29458143524262792</v>
      </c>
    </row>
    <row r="77" spans="1:25" x14ac:dyDescent="0.25">
      <c r="A77">
        <f t="shared" si="5"/>
        <v>0.85</v>
      </c>
      <c r="B77">
        <f t="shared" si="4"/>
        <v>1.85</v>
      </c>
      <c r="C77">
        <f t="shared" si="4"/>
        <v>2.85</v>
      </c>
      <c r="D77">
        <f t="shared" si="4"/>
        <v>-0.15</v>
      </c>
      <c r="E77">
        <f t="shared" si="4"/>
        <v>-0.15</v>
      </c>
      <c r="F77">
        <f t="shared" si="4"/>
        <v>3.85</v>
      </c>
      <c r="G77">
        <f t="shared" si="4"/>
        <v>4.8499999999999996</v>
      </c>
      <c r="H77">
        <f t="shared" si="4"/>
        <v>5.85</v>
      </c>
      <c r="I77">
        <f t="shared" si="4"/>
        <v>-0.15</v>
      </c>
      <c r="J77">
        <f t="shared" si="4"/>
        <v>-0.15</v>
      </c>
      <c r="K77">
        <f t="shared" si="4"/>
        <v>6.85</v>
      </c>
      <c r="L77">
        <f t="shared" si="3"/>
        <v>7.85</v>
      </c>
      <c r="N77">
        <f>(graph_data!U77-graph_range!U$2)/(graph_range!U$3-graph_range!U$2)</f>
        <v>0.8668184281842819</v>
      </c>
      <c r="O77">
        <f>(graph_data!V77-graph_range!V$2)/(graph_range!V$3-graph_range!V$2)</f>
        <v>0.12273443105456849</v>
      </c>
      <c r="P77">
        <f>(graph_data!W77-graph_range!W$2)/(graph_range!W$3-graph_range!W$2)</f>
        <v>0.79176802038934346</v>
      </c>
      <c r="S77">
        <f>(graph_data!Z77-graph_range!Z$2)/(graph_range!Z$3-graph_range!Z$2)</f>
        <v>0.12273443105456669</v>
      </c>
      <c r="T77">
        <f>(graph_data!AA77-graph_range!AA$2)/(graph_range!AA$3-graph_range!AA$2)</f>
        <v>0.42857142857142855</v>
      </c>
      <c r="U77">
        <f>(graph_data!AB77-graph_range!AB$2)/(graph_range!AB$3-graph_range!AB$2)</f>
        <v>6.9426321538599706E-2</v>
      </c>
      <c r="W77">
        <f>graph_data!AD77</f>
        <v>1</v>
      </c>
      <c r="X77">
        <f>(graph_data!AE77-graph_range!AE$2)/(graph_range!AE$3-graph_range!AE$2)</f>
        <v>0.33159271083271141</v>
      </c>
      <c r="Y77">
        <f>(graph_data!AF77-graph_range!AF$2)/(graph_range!AF$3-graph_range!AF$2)</f>
        <v>0.70536858960620497</v>
      </c>
    </row>
    <row r="78" spans="1:25" x14ac:dyDescent="0.25">
      <c r="A78">
        <f t="shared" si="5"/>
        <v>0.95</v>
      </c>
      <c r="B78">
        <f t="shared" si="4"/>
        <v>1.95</v>
      </c>
      <c r="C78">
        <f t="shared" si="4"/>
        <v>2.95</v>
      </c>
      <c r="D78">
        <f t="shared" si="4"/>
        <v>-0.05</v>
      </c>
      <c r="E78">
        <f t="shared" si="4"/>
        <v>-0.05</v>
      </c>
      <c r="F78">
        <f t="shared" si="4"/>
        <v>3.95</v>
      </c>
      <c r="G78">
        <f t="shared" si="4"/>
        <v>4.95</v>
      </c>
      <c r="H78">
        <f t="shared" si="4"/>
        <v>5.95</v>
      </c>
      <c r="I78">
        <f t="shared" si="4"/>
        <v>-0.05</v>
      </c>
      <c r="J78">
        <f t="shared" si="4"/>
        <v>-0.05</v>
      </c>
      <c r="K78">
        <f t="shared" si="4"/>
        <v>6.95</v>
      </c>
      <c r="L78">
        <f t="shared" si="3"/>
        <v>7.95</v>
      </c>
      <c r="N78" t="e">
        <f>(graph_data!U78-graph_range!U$2)/(graph_range!U$3-graph_range!U$2)</f>
        <v>#N/A</v>
      </c>
      <c r="O78" t="e">
        <f>(graph_data!V78-graph_range!V$2)/(graph_range!V$3-graph_range!V$2)</f>
        <v>#N/A</v>
      </c>
      <c r="P78" t="e">
        <f>(graph_data!W78-graph_range!W$2)/(graph_range!W$3-graph_range!W$2)</f>
        <v>#N/A</v>
      </c>
      <c r="S78" t="e">
        <f>(graph_data!Z78-graph_range!Z$2)/(graph_range!Z$3-graph_range!Z$2)</f>
        <v>#N/A</v>
      </c>
      <c r="T78" t="e">
        <f>(graph_data!AA78-graph_range!AA$2)/(graph_range!AA$3-graph_range!AA$2)</f>
        <v>#N/A</v>
      </c>
      <c r="U78" t="e">
        <f>(graph_data!AB78-graph_range!AB$2)/(graph_range!AB$3-graph_range!AB$2)</f>
        <v>#N/A</v>
      </c>
      <c r="W78">
        <f>graph_data!AD78</f>
        <v>2</v>
      </c>
      <c r="X78" t="e">
        <f>(graph_data!AE78-graph_range!AE$2)/(graph_range!AE$3-graph_range!AE$2)</f>
        <v>#N/A</v>
      </c>
      <c r="Y78" t="e">
        <f>(graph_data!AF78-graph_range!AF$2)/(graph_range!AF$3-graph_range!AF$2)</f>
        <v>#N/A</v>
      </c>
    </row>
    <row r="79" spans="1:25" x14ac:dyDescent="0.25">
      <c r="A79">
        <f t="shared" si="5"/>
        <v>0.95</v>
      </c>
      <c r="B79">
        <f t="shared" si="4"/>
        <v>1.95</v>
      </c>
      <c r="C79">
        <f t="shared" si="4"/>
        <v>2.95</v>
      </c>
      <c r="D79">
        <f t="shared" si="4"/>
        <v>-0.05</v>
      </c>
      <c r="E79">
        <f t="shared" si="4"/>
        <v>-0.05</v>
      </c>
      <c r="F79">
        <f t="shared" si="4"/>
        <v>3.95</v>
      </c>
      <c r="G79">
        <f t="shared" si="4"/>
        <v>4.95</v>
      </c>
      <c r="H79">
        <f t="shared" si="4"/>
        <v>5.95</v>
      </c>
      <c r="I79">
        <f t="shared" si="4"/>
        <v>-0.05</v>
      </c>
      <c r="J79">
        <f t="shared" si="4"/>
        <v>-0.05</v>
      </c>
      <c r="K79">
        <f t="shared" si="4"/>
        <v>6.95</v>
      </c>
      <c r="L79">
        <f t="shared" si="3"/>
        <v>7.95</v>
      </c>
      <c r="N79">
        <f>(graph_data!U79-graph_range!U$2)/(graph_range!U$3-graph_range!U$2)</f>
        <v>0.82140596205962069</v>
      </c>
      <c r="O79">
        <f>(graph_data!V79-graph_range!V$2)/(graph_range!V$3-graph_range!V$2)</f>
        <v>0.9714398960012961</v>
      </c>
      <c r="P79">
        <f>(graph_data!W79-graph_range!W$2)/(graph_range!W$3-graph_range!W$2)</f>
        <v>0.76511815865862864</v>
      </c>
      <c r="S79">
        <f>(graph_data!Z79-graph_range!Z$2)/(graph_range!Z$3-graph_range!Z$2)</f>
        <v>0.97143989600129388</v>
      </c>
      <c r="T79">
        <f>(graph_data!AA79-graph_range!AA$2)/(graph_range!AA$3-graph_range!AA$2)</f>
        <v>7.1428571428571425E-2</v>
      </c>
      <c r="U79">
        <f>(graph_data!AB79-graph_range!AB$2)/(graph_range!AB$3-graph_range!AB$2)</f>
        <v>0.85445013642964285</v>
      </c>
      <c r="W79">
        <f>graph_data!AD79</f>
        <v>2</v>
      </c>
      <c r="X79">
        <f>(graph_data!AE79-graph_range!AE$2)/(graph_range!AE$3-graph_range!AE$2)</f>
        <v>0.98048190299026194</v>
      </c>
      <c r="Y79">
        <f>(graph_data!AF79-graph_range!AF$2)/(graph_range!AF$3-graph_range!AF$2)</f>
        <v>0.19540285349524897</v>
      </c>
    </row>
    <row r="80" spans="1:25" x14ac:dyDescent="0.25">
      <c r="A80">
        <f t="shared" si="5"/>
        <v>0.95</v>
      </c>
      <c r="B80">
        <f t="shared" si="4"/>
        <v>1.95</v>
      </c>
      <c r="C80">
        <f t="shared" si="4"/>
        <v>2.95</v>
      </c>
      <c r="D80">
        <f t="shared" si="4"/>
        <v>-0.05</v>
      </c>
      <c r="E80">
        <f t="shared" si="4"/>
        <v>-0.05</v>
      </c>
      <c r="F80">
        <f t="shared" si="4"/>
        <v>3.95</v>
      </c>
      <c r="G80">
        <f t="shared" si="4"/>
        <v>4.95</v>
      </c>
      <c r="H80">
        <f t="shared" si="4"/>
        <v>5.95</v>
      </c>
      <c r="I80">
        <f t="shared" si="4"/>
        <v>-0.05</v>
      </c>
      <c r="J80">
        <f t="shared" si="4"/>
        <v>-0.05</v>
      </c>
      <c r="K80">
        <f t="shared" si="4"/>
        <v>6.95</v>
      </c>
      <c r="L80">
        <f t="shared" si="3"/>
        <v>7.95</v>
      </c>
      <c r="N80">
        <f>(graph_data!U80-graph_range!U$2)/(graph_range!U$3-graph_range!U$2)</f>
        <v>0.81921409214092122</v>
      </c>
      <c r="O80">
        <f>(graph_data!V80-graph_range!V$2)/(graph_range!V$3-graph_range!V$2)</f>
        <v>0.83624109877562358</v>
      </c>
      <c r="P80">
        <f>(graph_data!W80-graph_range!W$2)/(graph_range!W$3-graph_range!W$2)</f>
        <v>0.75859288730061825</v>
      </c>
      <c r="S80">
        <f>(graph_data!Z80-graph_range!Z$2)/(graph_range!Z$3-graph_range!Z$2)</f>
        <v>0.83624109877562236</v>
      </c>
      <c r="T80">
        <f>(graph_data!AA80-graph_range!AA$2)/(graph_range!AA$3-graph_range!AA$2)</f>
        <v>7.1428571428571425E-2</v>
      </c>
      <c r="U80">
        <f>(graph_data!AB80-graph_range!AB$2)/(graph_range!AB$3-graph_range!AB$2)</f>
        <v>0.77028919605770574</v>
      </c>
      <c r="W80">
        <f>graph_data!AD80</f>
        <v>2</v>
      </c>
      <c r="X80">
        <f>(graph_data!AE80-graph_range!AE$2)/(graph_range!AE$3-graph_range!AE$2)</f>
        <v>0.99301161222828926</v>
      </c>
      <c r="Y80">
        <f>(graph_data!AF80-graph_range!AF$2)/(graph_range!AF$3-graph_range!AF$2)</f>
        <v>0.22531036858706752</v>
      </c>
    </row>
    <row r="81" spans="1:25" x14ac:dyDescent="0.25">
      <c r="A81">
        <f t="shared" si="5"/>
        <v>0.95</v>
      </c>
      <c r="B81">
        <f t="shared" si="4"/>
        <v>1.95</v>
      </c>
      <c r="C81">
        <f t="shared" si="4"/>
        <v>2.95</v>
      </c>
      <c r="D81">
        <f t="shared" si="4"/>
        <v>-0.05</v>
      </c>
      <c r="E81">
        <f t="shared" si="4"/>
        <v>-0.05</v>
      </c>
      <c r="F81">
        <f t="shared" si="4"/>
        <v>3.95</v>
      </c>
      <c r="G81">
        <f t="shared" si="4"/>
        <v>4.95</v>
      </c>
      <c r="H81">
        <f t="shared" si="4"/>
        <v>5.95</v>
      </c>
      <c r="I81">
        <f t="shared" si="4"/>
        <v>-0.05</v>
      </c>
      <c r="J81">
        <f t="shared" si="4"/>
        <v>-0.05</v>
      </c>
      <c r="K81">
        <f t="shared" si="4"/>
        <v>6.95</v>
      </c>
      <c r="L81">
        <f t="shared" si="3"/>
        <v>7.95</v>
      </c>
      <c r="N81">
        <f>(graph_data!U81-graph_range!U$2)/(graph_range!U$3-graph_range!U$2)</f>
        <v>0.74095934959349585</v>
      </c>
      <c r="O81">
        <f>(graph_data!V81-graph_range!V$2)/(graph_range!V$3-graph_range!V$2)</f>
        <v>0.92082442889435789</v>
      </c>
      <c r="P81">
        <f>(graph_data!W81-graph_range!W$2)/(graph_range!W$3-graph_range!W$2)</f>
        <v>0.71768880557791304</v>
      </c>
      <c r="S81">
        <f>(graph_data!Z81-graph_range!Z$2)/(graph_range!Z$3-graph_range!Z$2)</f>
        <v>0.92082442889435701</v>
      </c>
      <c r="T81">
        <f>(graph_data!AA81-graph_range!AA$2)/(graph_range!AA$3-graph_range!AA$2)</f>
        <v>0.14285714285714285</v>
      </c>
      <c r="U81">
        <f>(graph_data!AB81-graph_range!AB$2)/(graph_range!AB$3-graph_range!AB$2)</f>
        <v>0.87172991102213737</v>
      </c>
      <c r="W81">
        <f>graph_data!AD81</f>
        <v>2</v>
      </c>
      <c r="X81">
        <f>(graph_data!AE81-graph_range!AE$2)/(graph_range!AE$3-graph_range!AE$2)</f>
        <v>0.9794636739506325</v>
      </c>
      <c r="Y81">
        <f>(graph_data!AF81-graph_range!AF$2)/(graph_range!AF$3-graph_range!AF$2)</f>
        <v>0.19017936287089149</v>
      </c>
    </row>
    <row r="82" spans="1:25" x14ac:dyDescent="0.25">
      <c r="A82">
        <f t="shared" si="5"/>
        <v>0.95</v>
      </c>
      <c r="B82">
        <f t="shared" si="4"/>
        <v>1.95</v>
      </c>
      <c r="C82">
        <f t="shared" si="4"/>
        <v>2.95</v>
      </c>
      <c r="D82">
        <f t="shared" si="4"/>
        <v>-0.05</v>
      </c>
      <c r="E82">
        <f t="shared" si="4"/>
        <v>-0.05</v>
      </c>
      <c r="F82">
        <f t="shared" si="4"/>
        <v>3.95</v>
      </c>
      <c r="G82">
        <f t="shared" si="4"/>
        <v>4.95</v>
      </c>
      <c r="H82">
        <f t="shared" si="4"/>
        <v>5.95</v>
      </c>
      <c r="I82">
        <f t="shared" si="4"/>
        <v>-0.05</v>
      </c>
      <c r="J82">
        <f t="shared" si="4"/>
        <v>-0.05</v>
      </c>
      <c r="K82">
        <f t="shared" si="4"/>
        <v>6.95</v>
      </c>
      <c r="L82">
        <f t="shared" si="3"/>
        <v>7.95</v>
      </c>
      <c r="N82">
        <f>(graph_data!U82-graph_range!U$2)/(graph_range!U$3-graph_range!U$2)</f>
        <v>0.82621355013550135</v>
      </c>
      <c r="O82">
        <f>(graph_data!V82-graph_range!V$2)/(graph_range!V$3-graph_range!V$2)</f>
        <v>0.84277236010708456</v>
      </c>
      <c r="P82">
        <f>(graph_data!W82-graph_range!W$2)/(graph_range!W$3-graph_range!W$2)</f>
        <v>0.75527090558422483</v>
      </c>
      <c r="S82">
        <f>(graph_data!Z82-graph_range!Z$2)/(graph_range!Z$3-graph_range!Z$2)</f>
        <v>0.84277236010708301</v>
      </c>
      <c r="T82">
        <f>(graph_data!AA82-graph_range!AA$2)/(graph_range!AA$3-graph_range!AA$2)</f>
        <v>7.1428571428571425E-2</v>
      </c>
      <c r="U82">
        <f>(graph_data!AB82-graph_range!AB$2)/(graph_range!AB$3-graph_range!AB$2)</f>
        <v>0.78005348482248249</v>
      </c>
      <c r="W82">
        <f>graph_data!AD82</f>
        <v>2</v>
      </c>
      <c r="X82">
        <f>(graph_data!AE82-graph_range!AE$2)/(graph_range!AE$3-graph_range!AE$2)</f>
        <v>0.99537378166583712</v>
      </c>
      <c r="Y82">
        <f>(graph_data!AF82-graph_range!AF$2)/(graph_range!AF$3-graph_range!AF$2)</f>
        <v>0.22236508905882565</v>
      </c>
    </row>
    <row r="83" spans="1:25" x14ac:dyDescent="0.25">
      <c r="A83">
        <f t="shared" si="5"/>
        <v>0.95</v>
      </c>
      <c r="B83">
        <f t="shared" si="4"/>
        <v>1.95</v>
      </c>
      <c r="C83">
        <f t="shared" si="4"/>
        <v>2.95</v>
      </c>
      <c r="D83">
        <f t="shared" si="4"/>
        <v>-0.05</v>
      </c>
      <c r="E83">
        <f t="shared" si="4"/>
        <v>-0.05</v>
      </c>
      <c r="F83">
        <f t="shared" si="4"/>
        <v>3.95</v>
      </c>
      <c r="G83">
        <f t="shared" si="4"/>
        <v>4.95</v>
      </c>
      <c r="H83">
        <f t="shared" si="4"/>
        <v>5.95</v>
      </c>
      <c r="I83">
        <f t="shared" si="4"/>
        <v>-0.05</v>
      </c>
      <c r="J83">
        <f t="shared" si="4"/>
        <v>-0.05</v>
      </c>
      <c r="K83">
        <f t="shared" si="4"/>
        <v>6.95</v>
      </c>
      <c r="L83">
        <f t="shared" si="3"/>
        <v>7.95</v>
      </c>
      <c r="N83">
        <f>(graph_data!U83-graph_range!U$2)/(graph_range!U$3-graph_range!U$2)</f>
        <v>0.74942764227642278</v>
      </c>
      <c r="O83">
        <f>(graph_data!V83-graph_range!V$2)/(graph_range!V$3-graph_range!V$2)</f>
        <v>0.83965018091762655</v>
      </c>
      <c r="P83">
        <f>(graph_data!W83-graph_range!W$2)/(graph_range!W$3-graph_range!W$2)</f>
        <v>0.70916392185425503</v>
      </c>
      <c r="S83">
        <f>(graph_data!Z83-graph_range!Z$2)/(graph_range!Z$3-graph_range!Z$2)</f>
        <v>0.83965018091762478</v>
      </c>
      <c r="T83">
        <f>(graph_data!AA83-graph_range!AA$2)/(graph_range!AA$3-graph_range!AA$2)</f>
        <v>0.14285714285714285</v>
      </c>
      <c r="U83">
        <f>(graph_data!AB83-graph_range!AB$2)/(graph_range!AB$3-graph_range!AB$2)</f>
        <v>0.82565187090213421</v>
      </c>
      <c r="W83">
        <f>graph_data!AD83</f>
        <v>2</v>
      </c>
      <c r="X83">
        <f>(graph_data!AE83-graph_range!AE$2)/(graph_range!AE$3-graph_range!AE$2)</f>
        <v>0.98963759467190959</v>
      </c>
      <c r="Y83">
        <f>(graph_data!AF83-graph_range!AF$2)/(graph_range!AF$3-graph_range!AF$2)</f>
        <v>0.20602730598005603</v>
      </c>
    </row>
    <row r="84" spans="1:25" x14ac:dyDescent="0.25">
      <c r="A84">
        <f t="shared" si="5"/>
        <v>0.95</v>
      </c>
      <c r="B84">
        <f t="shared" si="4"/>
        <v>1.95</v>
      </c>
      <c r="C84">
        <f t="shared" si="4"/>
        <v>2.95</v>
      </c>
      <c r="D84">
        <f t="shared" si="4"/>
        <v>-0.05</v>
      </c>
      <c r="E84">
        <f t="shared" si="4"/>
        <v>-0.05</v>
      </c>
      <c r="F84">
        <f t="shared" si="4"/>
        <v>3.95</v>
      </c>
      <c r="G84">
        <f t="shared" si="4"/>
        <v>4.95</v>
      </c>
      <c r="H84">
        <f t="shared" ref="B84:K146" si="6">H$2+($W84-2.5)/10</f>
        <v>5.95</v>
      </c>
      <c r="I84">
        <f t="shared" si="6"/>
        <v>-0.05</v>
      </c>
      <c r="J84">
        <f t="shared" si="6"/>
        <v>-0.05</v>
      </c>
      <c r="K84">
        <f t="shared" si="6"/>
        <v>6.95</v>
      </c>
      <c r="L84">
        <f t="shared" si="3"/>
        <v>7.95</v>
      </c>
      <c r="N84">
        <f>(graph_data!U84-graph_range!U$2)/(graph_range!U$3-graph_range!U$2)</f>
        <v>0.81596531165311648</v>
      </c>
      <c r="O84">
        <f>(graph_data!V84-graph_range!V$2)/(graph_range!V$3-graph_range!V$2)</f>
        <v>0.90186713548377151</v>
      </c>
      <c r="P84">
        <f>(graph_data!W84-graph_range!W$2)/(graph_range!W$3-graph_range!W$2)</f>
        <v>0.75189865428321989</v>
      </c>
      <c r="S84">
        <f>(graph_data!Z84-graph_range!Z$2)/(graph_range!Z$3-graph_range!Z$2)</f>
        <v>0.9018671354837694</v>
      </c>
      <c r="T84">
        <f>(graph_data!AA84-graph_range!AA$2)/(graph_range!AA$3-graph_range!AA$2)</f>
        <v>7.1428571428571425E-2</v>
      </c>
      <c r="U84">
        <f>(graph_data!AB84-graph_range!AB$2)/(graph_range!AB$3-graph_range!AB$2)</f>
        <v>0.8244751558909601</v>
      </c>
      <c r="W84">
        <f>graph_data!AD84</f>
        <v>2</v>
      </c>
      <c r="X84">
        <f>(graph_data!AE84-graph_range!AE$2)/(graph_range!AE$3-graph_range!AE$2)</f>
        <v>0.99023052993866778</v>
      </c>
      <c r="Y84">
        <f>(graph_data!AF84-graph_range!AF$2)/(graph_range!AF$3-graph_range!AF$2)</f>
        <v>0.20651909488178902</v>
      </c>
    </row>
    <row r="85" spans="1:25" x14ac:dyDescent="0.25">
      <c r="A85">
        <f t="shared" si="5"/>
        <v>0.95</v>
      </c>
      <c r="B85">
        <f t="shared" si="6"/>
        <v>1.95</v>
      </c>
      <c r="C85">
        <f t="shared" si="6"/>
        <v>2.95</v>
      </c>
      <c r="D85">
        <f t="shared" si="6"/>
        <v>-0.05</v>
      </c>
      <c r="E85">
        <f t="shared" si="6"/>
        <v>-0.05</v>
      </c>
      <c r="F85">
        <f t="shared" si="6"/>
        <v>3.95</v>
      </c>
      <c r="G85">
        <f t="shared" si="6"/>
        <v>4.95</v>
      </c>
      <c r="H85">
        <f t="shared" si="6"/>
        <v>5.95</v>
      </c>
      <c r="I85">
        <f t="shared" si="6"/>
        <v>-0.05</v>
      </c>
      <c r="J85">
        <f t="shared" si="6"/>
        <v>-0.05</v>
      </c>
      <c r="K85">
        <f t="shared" si="6"/>
        <v>6.95</v>
      </c>
      <c r="L85">
        <f t="shared" si="3"/>
        <v>7.95</v>
      </c>
      <c r="N85">
        <f>(graph_data!U85-graph_range!U$2)/(graph_range!U$3-graph_range!U$2)</f>
        <v>0.9200975609756098</v>
      </c>
      <c r="O85">
        <f>(graph_data!V85-graph_range!V$2)/(graph_range!V$3-graph_range!V$2)</f>
        <v>0.90527380667659341</v>
      </c>
      <c r="P85">
        <f>(graph_data!W85-graph_range!W$2)/(graph_range!W$3-graph_range!W$2)</f>
        <v>0.73360052548472443</v>
      </c>
      <c r="S85">
        <f>(graph_data!Z85-graph_range!Z$2)/(graph_range!Z$3-graph_range!Z$2)</f>
        <v>0.90527380667659374</v>
      </c>
      <c r="T85">
        <f>(graph_data!AA85-graph_range!AA$2)/(graph_range!AA$3-graph_range!AA$2)</f>
        <v>0</v>
      </c>
      <c r="U85">
        <f>(graph_data!AB85-graph_range!AB$2)/(graph_range!AB$3-graph_range!AB$2)</f>
        <v>0.83468920524314849</v>
      </c>
      <c r="W85">
        <f>graph_data!AD85</f>
        <v>2</v>
      </c>
      <c r="X85">
        <f>(graph_data!AE85-graph_range!AE$2)/(graph_range!AE$3-graph_range!AE$2)</f>
        <v>0.96987680165724111</v>
      </c>
      <c r="Y85">
        <f>(graph_data!AF85-graph_range!AF$2)/(graph_range!AF$3-graph_range!AF$2)</f>
        <v>0.19925689568539567</v>
      </c>
    </row>
    <row r="86" spans="1:25" x14ac:dyDescent="0.25">
      <c r="A86">
        <f t="shared" si="5"/>
        <v>0.95</v>
      </c>
      <c r="B86">
        <f t="shared" si="6"/>
        <v>1.95</v>
      </c>
      <c r="C86">
        <f t="shared" si="6"/>
        <v>2.95</v>
      </c>
      <c r="D86">
        <f t="shared" si="6"/>
        <v>-0.05</v>
      </c>
      <c r="E86">
        <f t="shared" si="6"/>
        <v>-0.05</v>
      </c>
      <c r="F86">
        <f t="shared" si="6"/>
        <v>3.95</v>
      </c>
      <c r="G86">
        <f t="shared" si="6"/>
        <v>4.95</v>
      </c>
      <c r="H86">
        <f t="shared" si="6"/>
        <v>5.95</v>
      </c>
      <c r="I86">
        <f t="shared" si="6"/>
        <v>-0.05</v>
      </c>
      <c r="J86">
        <f t="shared" si="6"/>
        <v>-0.05</v>
      </c>
      <c r="K86">
        <f t="shared" si="6"/>
        <v>6.95</v>
      </c>
      <c r="L86">
        <f t="shared" si="3"/>
        <v>7.95</v>
      </c>
      <c r="N86">
        <f>(graph_data!U86-graph_range!U$2)/(graph_range!U$3-graph_range!U$2)</f>
        <v>0.82414417344173452</v>
      </c>
      <c r="O86">
        <f>(graph_data!V86-graph_range!V$2)/(graph_range!V$3-graph_range!V$2)</f>
        <v>0.8219417591828232</v>
      </c>
      <c r="P86">
        <f>(graph_data!W86-graph_range!W$2)/(graph_range!W$3-graph_range!W$2)</f>
        <v>0.75748695643917074</v>
      </c>
      <c r="S86">
        <f>(graph_data!Z86-graph_range!Z$2)/(graph_range!Z$3-graph_range!Z$2)</f>
        <v>0.82194175918282208</v>
      </c>
      <c r="T86">
        <f>(graph_data!AA86-graph_range!AA$2)/(graph_range!AA$3-graph_range!AA$2)</f>
        <v>7.1428571428571425E-2</v>
      </c>
      <c r="U86">
        <f>(graph_data!AB86-graph_range!AB$2)/(graph_range!AB$3-graph_range!AB$2)</f>
        <v>0.76334304462915881</v>
      </c>
      <c r="W86">
        <f>graph_data!AD86</f>
        <v>2</v>
      </c>
      <c r="X86">
        <f>(graph_data!AE86-graph_range!AE$2)/(graph_range!AE$3-graph_range!AE$2)</f>
        <v>0.99719592969695181</v>
      </c>
      <c r="Y86">
        <f>(graph_data!AF86-graph_range!AF$2)/(graph_range!AF$3-graph_range!AF$2)</f>
        <v>0.22870716952793094</v>
      </c>
    </row>
    <row r="87" spans="1:25" x14ac:dyDescent="0.25">
      <c r="A87">
        <f t="shared" si="5"/>
        <v>0.95</v>
      </c>
      <c r="B87">
        <f t="shared" si="6"/>
        <v>1.95</v>
      </c>
      <c r="C87">
        <f t="shared" si="6"/>
        <v>2.95</v>
      </c>
      <c r="D87">
        <f t="shared" si="6"/>
        <v>-0.05</v>
      </c>
      <c r="E87">
        <f t="shared" si="6"/>
        <v>-0.05</v>
      </c>
      <c r="F87">
        <f t="shared" si="6"/>
        <v>3.95</v>
      </c>
      <c r="G87">
        <f t="shared" si="6"/>
        <v>4.95</v>
      </c>
      <c r="H87">
        <f t="shared" si="6"/>
        <v>5.95</v>
      </c>
      <c r="I87">
        <f t="shared" si="6"/>
        <v>-0.05</v>
      </c>
      <c r="J87">
        <f t="shared" si="6"/>
        <v>-0.05</v>
      </c>
      <c r="K87">
        <f t="shared" si="6"/>
        <v>6.95</v>
      </c>
      <c r="L87">
        <f t="shared" si="3"/>
        <v>7.95</v>
      </c>
      <c r="N87">
        <f>(graph_data!U87-graph_range!U$2)/(graph_range!U$3-graph_range!U$2)</f>
        <v>0.81938861788617878</v>
      </c>
      <c r="O87">
        <f>(graph_data!V87-graph_range!V$2)/(graph_range!V$3-graph_range!V$2)</f>
        <v>0.88804275287963763</v>
      </c>
      <c r="P87">
        <f>(graph_data!W87-graph_range!W$2)/(graph_range!W$3-graph_range!W$2)</f>
        <v>0.75009034561456511</v>
      </c>
      <c r="S87">
        <f>(graph_data!Z87-graph_range!Z$2)/(graph_range!Z$3-graph_range!Z$2)</f>
        <v>0.88804275287963463</v>
      </c>
      <c r="T87">
        <f>(graph_data!AA87-graph_range!AA$2)/(graph_range!AA$3-graph_range!AA$2)</f>
        <v>7.1428571428571425E-2</v>
      </c>
      <c r="U87">
        <f>(graph_data!AB87-graph_range!AB$2)/(graph_range!AB$3-graph_range!AB$2)</f>
        <v>0.81535901153765</v>
      </c>
      <c r="W87">
        <f>graph_data!AD87</f>
        <v>2</v>
      </c>
      <c r="X87">
        <f>(graph_data!AE87-graph_range!AE$2)/(graph_range!AE$3-graph_range!AE$2)</f>
        <v>0.98890227237254391</v>
      </c>
      <c r="Y87">
        <f>(graph_data!AF87-graph_range!AF$2)/(graph_range!AF$3-graph_range!AF$2)</f>
        <v>0.2091651137258321</v>
      </c>
    </row>
    <row r="88" spans="1:25" x14ac:dyDescent="0.25">
      <c r="A88">
        <f t="shared" si="5"/>
        <v>0.95</v>
      </c>
      <c r="B88">
        <f t="shared" si="6"/>
        <v>1.95</v>
      </c>
      <c r="C88">
        <f t="shared" si="6"/>
        <v>2.95</v>
      </c>
      <c r="D88">
        <f t="shared" si="6"/>
        <v>-0.05</v>
      </c>
      <c r="E88">
        <f t="shared" si="6"/>
        <v>-0.05</v>
      </c>
      <c r="F88">
        <f t="shared" si="6"/>
        <v>3.95</v>
      </c>
      <c r="G88">
        <f t="shared" si="6"/>
        <v>4.95</v>
      </c>
      <c r="H88">
        <f t="shared" si="6"/>
        <v>5.95</v>
      </c>
      <c r="I88">
        <f t="shared" si="6"/>
        <v>-0.05</v>
      </c>
      <c r="J88">
        <f t="shared" si="6"/>
        <v>-0.05</v>
      </c>
      <c r="K88">
        <f t="shared" si="6"/>
        <v>6.95</v>
      </c>
      <c r="L88">
        <f t="shared" si="3"/>
        <v>7.95</v>
      </c>
      <c r="N88">
        <f>(graph_data!U88-graph_range!U$2)/(graph_range!U$3-graph_range!U$2)</f>
        <v>0.7593333333333333</v>
      </c>
      <c r="O88">
        <f>(graph_data!V88-graph_range!V$2)/(graph_range!V$3-graph_range!V$2)</f>
        <v>0.83516099354251372</v>
      </c>
      <c r="P88">
        <f>(graph_data!W88-graph_range!W$2)/(graph_range!W$3-graph_range!W$2)</f>
        <v>0.71879334006201034</v>
      </c>
      <c r="S88">
        <f>(graph_data!Z88-graph_range!Z$2)/(graph_range!Z$3-graph_range!Z$2)</f>
        <v>0.83516099354251183</v>
      </c>
      <c r="T88">
        <f>(graph_data!AA88-graph_range!AA$2)/(graph_range!AA$3-graph_range!AA$2)</f>
        <v>0.14285714285714285</v>
      </c>
      <c r="U88">
        <f>(graph_data!AB88-graph_range!AB$2)/(graph_range!AB$3-graph_range!AB$2)</f>
        <v>0.81138725867660866</v>
      </c>
      <c r="W88">
        <f>graph_data!AD88</f>
        <v>2</v>
      </c>
      <c r="X88">
        <f>(graph_data!AE88-graph_range!AE$2)/(graph_range!AE$3-graph_range!AE$2)</f>
        <v>0.99029237884784416</v>
      </c>
      <c r="Y88">
        <f>(graph_data!AF88-graph_range!AF$2)/(graph_range!AF$3-graph_range!AF$2)</f>
        <v>0.210736235148832</v>
      </c>
    </row>
    <row r="89" spans="1:25" x14ac:dyDescent="0.25">
      <c r="A89">
        <f t="shared" si="5"/>
        <v>0.95</v>
      </c>
      <c r="B89">
        <f t="shared" si="6"/>
        <v>1.95</v>
      </c>
      <c r="C89">
        <f t="shared" si="6"/>
        <v>2.95</v>
      </c>
      <c r="D89">
        <f t="shared" si="6"/>
        <v>-0.05</v>
      </c>
      <c r="E89">
        <f t="shared" si="6"/>
        <v>-0.05</v>
      </c>
      <c r="F89">
        <f t="shared" si="6"/>
        <v>3.95</v>
      </c>
      <c r="G89">
        <f t="shared" si="6"/>
        <v>4.95</v>
      </c>
      <c r="H89">
        <f t="shared" si="6"/>
        <v>5.95</v>
      </c>
      <c r="I89">
        <f t="shared" si="6"/>
        <v>-0.05</v>
      </c>
      <c r="J89">
        <f t="shared" si="6"/>
        <v>-0.05</v>
      </c>
      <c r="K89">
        <f t="shared" si="6"/>
        <v>6.95</v>
      </c>
      <c r="L89">
        <f t="shared" si="3"/>
        <v>7.95</v>
      </c>
      <c r="N89">
        <f>(graph_data!U89-graph_range!U$2)/(graph_range!U$3-graph_range!U$2)</f>
        <v>0.87803794037940364</v>
      </c>
      <c r="O89">
        <f>(graph_data!V89-graph_range!V$2)/(graph_range!V$3-graph_range!V$2)</f>
        <v>0.67255452602667853</v>
      </c>
      <c r="P89">
        <f>(graph_data!W89-graph_range!W$2)/(graph_range!W$3-graph_range!W$2)</f>
        <v>0.69313071711796648</v>
      </c>
      <c r="S89">
        <f>(graph_data!Z89-graph_range!Z$2)/(graph_range!Z$3-graph_range!Z$2)</f>
        <v>0.67255452602667831</v>
      </c>
      <c r="T89">
        <f>(graph_data!AA89-graph_range!AA$2)/(graph_range!AA$3-graph_range!AA$2)</f>
        <v>0.14285714285714285</v>
      </c>
      <c r="U89">
        <f>(graph_data!AB89-graph_range!AB$2)/(graph_range!AB$3-graph_range!AB$2)</f>
        <v>0.51930240638219782</v>
      </c>
      <c r="W89">
        <f>graph_data!AD89</f>
        <v>2</v>
      </c>
      <c r="X89">
        <f>(graph_data!AE89-graph_range!AE$2)/(graph_range!AE$3-graph_range!AE$2)</f>
        <v>0.64727059140037002</v>
      </c>
      <c r="Y89">
        <f>(graph_data!AF89-graph_range!AF$2)/(graph_range!AF$3-graph_range!AF$2)</f>
        <v>0.24693275722061397</v>
      </c>
    </row>
    <row r="90" spans="1:25" x14ac:dyDescent="0.25">
      <c r="A90">
        <f t="shared" si="5"/>
        <v>0.95</v>
      </c>
      <c r="B90">
        <f t="shared" si="6"/>
        <v>1.95</v>
      </c>
      <c r="C90">
        <f t="shared" si="6"/>
        <v>2.95</v>
      </c>
      <c r="D90">
        <f t="shared" si="6"/>
        <v>-0.05</v>
      </c>
      <c r="E90">
        <f t="shared" si="6"/>
        <v>-0.05</v>
      </c>
      <c r="F90">
        <f t="shared" si="6"/>
        <v>3.95</v>
      </c>
      <c r="G90">
        <f t="shared" si="6"/>
        <v>4.95</v>
      </c>
      <c r="H90">
        <f t="shared" si="6"/>
        <v>5.95</v>
      </c>
      <c r="I90">
        <f t="shared" si="6"/>
        <v>-0.05</v>
      </c>
      <c r="J90">
        <f t="shared" si="6"/>
        <v>-0.05</v>
      </c>
      <c r="K90">
        <f t="shared" si="6"/>
        <v>6.95</v>
      </c>
      <c r="L90">
        <f t="shared" si="3"/>
        <v>7.95</v>
      </c>
      <c r="N90">
        <f>(graph_data!U90-graph_range!U$2)/(graph_range!U$3-graph_range!U$2)</f>
        <v>0.99029810298102983</v>
      </c>
      <c r="O90">
        <f>(graph_data!V90-graph_range!V$2)/(graph_range!V$3-graph_range!V$2)</f>
        <v>0.8116590609256501</v>
      </c>
      <c r="P90">
        <f>(graph_data!W90-graph_range!W$2)/(graph_range!W$3-graph_range!W$2)</f>
        <v>0.65644648774790582</v>
      </c>
      <c r="S90">
        <f>(graph_data!Z90-graph_range!Z$2)/(graph_range!Z$3-graph_range!Z$2)</f>
        <v>0.81165906092564688</v>
      </c>
      <c r="T90">
        <f>(graph_data!AA90-graph_range!AA$2)/(graph_range!AA$3-graph_range!AA$2)</f>
        <v>7.1428571428571425E-2</v>
      </c>
      <c r="U90">
        <f>(graph_data!AB90-graph_range!AB$2)/(graph_range!AB$3-graph_range!AB$2)</f>
        <v>0.60491861439497485</v>
      </c>
      <c r="W90">
        <f>graph_data!AD90</f>
        <v>2</v>
      </c>
      <c r="X90">
        <f>(graph_data!AE90-graph_range!AE$2)/(graph_range!AE$3-graph_range!AE$2)</f>
        <v>0.59353295038746234</v>
      </c>
      <c r="Y90">
        <f>(graph_data!AF90-graph_range!AF$2)/(graph_range!AF$3-graph_range!AF$2)</f>
        <v>0.19304070789391872</v>
      </c>
    </row>
    <row r="91" spans="1:25" x14ac:dyDescent="0.25">
      <c r="A91">
        <f t="shared" si="5"/>
        <v>0.95</v>
      </c>
      <c r="B91">
        <f t="shared" si="6"/>
        <v>1.95</v>
      </c>
      <c r="C91">
        <f t="shared" si="6"/>
        <v>2.95</v>
      </c>
      <c r="D91">
        <f t="shared" si="6"/>
        <v>-0.05</v>
      </c>
      <c r="E91">
        <f t="shared" si="6"/>
        <v>-0.05</v>
      </c>
      <c r="F91">
        <f t="shared" si="6"/>
        <v>3.95</v>
      </c>
      <c r="G91">
        <f t="shared" si="6"/>
        <v>4.95</v>
      </c>
      <c r="H91">
        <f t="shared" si="6"/>
        <v>5.95</v>
      </c>
      <c r="I91">
        <f t="shared" si="6"/>
        <v>-0.05</v>
      </c>
      <c r="J91">
        <f t="shared" si="6"/>
        <v>-0.05</v>
      </c>
      <c r="K91">
        <f t="shared" si="6"/>
        <v>6.95</v>
      </c>
      <c r="L91">
        <f t="shared" si="3"/>
        <v>7.95</v>
      </c>
      <c r="N91">
        <f>(graph_data!U91-graph_range!U$2)/(graph_range!U$3-graph_range!U$2)</f>
        <v>0.74605962059620601</v>
      </c>
      <c r="O91">
        <f>(graph_data!V91-graph_range!V$2)/(graph_range!V$3-graph_range!V$2)</f>
        <v>0.8572983289229037</v>
      </c>
      <c r="P91">
        <f>(graph_data!W91-graph_range!W$2)/(graph_range!W$3-graph_range!W$2)</f>
        <v>0.70592851553358094</v>
      </c>
      <c r="S91">
        <f>(graph_data!Z91-graph_range!Z$2)/(graph_range!Z$3-graph_range!Z$2)</f>
        <v>0.85729832892290359</v>
      </c>
      <c r="T91">
        <f>(graph_data!AA91-graph_range!AA$2)/(graph_range!AA$3-graph_range!AA$2)</f>
        <v>0.14285714285714285</v>
      </c>
      <c r="U91">
        <f>(graph_data!AB91-graph_range!AB$2)/(graph_range!AB$3-graph_range!AB$2)</f>
        <v>0.84033091508886981</v>
      </c>
      <c r="W91">
        <f>graph_data!AD91</f>
        <v>2</v>
      </c>
      <c r="X91">
        <f>(graph_data!AE91-graph_range!AE$2)/(graph_range!AE$3-graph_range!AE$2)</f>
        <v>0.98500376757636188</v>
      </c>
      <c r="Y91">
        <f>(graph_data!AF91-graph_range!AF$2)/(graph_range!AF$3-graph_range!AF$2)</f>
        <v>0.20054000147810869</v>
      </c>
    </row>
    <row r="92" spans="1:25" x14ac:dyDescent="0.25">
      <c r="A92">
        <f t="shared" si="5"/>
        <v>0.95</v>
      </c>
      <c r="B92">
        <f t="shared" si="6"/>
        <v>1.95</v>
      </c>
      <c r="C92">
        <f t="shared" si="6"/>
        <v>2.95</v>
      </c>
      <c r="D92">
        <f t="shared" si="6"/>
        <v>-0.05</v>
      </c>
      <c r="E92">
        <f t="shared" si="6"/>
        <v>-0.05</v>
      </c>
      <c r="F92">
        <f t="shared" si="6"/>
        <v>3.95</v>
      </c>
      <c r="G92">
        <f t="shared" si="6"/>
        <v>4.95</v>
      </c>
      <c r="H92">
        <f t="shared" si="6"/>
        <v>5.95</v>
      </c>
      <c r="I92">
        <f t="shared" si="6"/>
        <v>-0.05</v>
      </c>
      <c r="J92">
        <f t="shared" si="6"/>
        <v>-0.05</v>
      </c>
      <c r="K92">
        <f t="shared" si="6"/>
        <v>6.95</v>
      </c>
      <c r="L92">
        <f t="shared" si="3"/>
        <v>7.95</v>
      </c>
      <c r="N92">
        <f>(graph_data!U92-graph_range!U$2)/(graph_range!U$3-graph_range!U$2)</f>
        <v>0.80495392953929545</v>
      </c>
      <c r="O92">
        <f>(graph_data!V92-graph_range!V$2)/(graph_range!V$3-graph_range!V$2)</f>
        <v>0.92911327217880391</v>
      </c>
      <c r="P92">
        <f>(graph_data!W92-graph_range!W$2)/(graph_range!W$3-graph_range!W$2)</f>
        <v>0.74136298717511184</v>
      </c>
      <c r="S92">
        <f>(graph_data!Z92-graph_range!Z$2)/(graph_range!Z$3-graph_range!Z$2)</f>
        <v>0.92911327217880268</v>
      </c>
      <c r="T92">
        <f>(graph_data!AA92-graph_range!AA$2)/(graph_range!AA$3-graph_range!AA$2)</f>
        <v>7.1428571428571425E-2</v>
      </c>
      <c r="U92">
        <f>(graph_data!AB92-graph_range!AB$2)/(graph_range!AB$3-graph_range!AB$2)</f>
        <v>0.85287801256367479</v>
      </c>
      <c r="W92">
        <f>graph_data!AD92</f>
        <v>2</v>
      </c>
      <c r="X92">
        <f>(graph_data!AE92-graph_range!AE$2)/(graph_range!AE$3-graph_range!AE$2)</f>
        <v>0.98410200753409294</v>
      </c>
      <c r="Y92">
        <f>(graph_data!AF92-graph_range!AF$2)/(graph_range!AF$3-graph_range!AF$2)</f>
        <v>0.19657779125644262</v>
      </c>
    </row>
    <row r="93" spans="1:25" x14ac:dyDescent="0.25">
      <c r="A93">
        <f t="shared" si="5"/>
        <v>0.95</v>
      </c>
      <c r="B93">
        <f t="shared" si="6"/>
        <v>1.95</v>
      </c>
      <c r="C93">
        <f t="shared" si="6"/>
        <v>2.95</v>
      </c>
      <c r="D93">
        <f t="shared" si="6"/>
        <v>-0.05</v>
      </c>
      <c r="E93">
        <f t="shared" si="6"/>
        <v>-0.05</v>
      </c>
      <c r="F93">
        <f t="shared" si="6"/>
        <v>3.95</v>
      </c>
      <c r="G93">
        <f t="shared" si="6"/>
        <v>4.95</v>
      </c>
      <c r="H93">
        <f t="shared" si="6"/>
        <v>5.95</v>
      </c>
      <c r="I93">
        <f t="shared" si="6"/>
        <v>-0.05</v>
      </c>
      <c r="J93">
        <f t="shared" si="6"/>
        <v>-0.05</v>
      </c>
      <c r="K93">
        <f t="shared" si="6"/>
        <v>6.95</v>
      </c>
      <c r="L93">
        <f t="shared" si="3"/>
        <v>7.95</v>
      </c>
      <c r="N93">
        <f>(graph_data!U93-graph_range!U$2)/(graph_range!U$3-graph_range!U$2)</f>
        <v>0.75208455284552844</v>
      </c>
      <c r="O93">
        <f>(graph_data!V93-graph_range!V$2)/(graph_range!V$3-graph_range!V$2)</f>
        <v>0.8046528426055225</v>
      </c>
      <c r="P93">
        <f>(graph_data!W93-graph_range!W$2)/(graph_range!W$3-graph_range!W$2)</f>
        <v>0.72017156450676878</v>
      </c>
      <c r="S93">
        <f>(graph_data!Z93-graph_range!Z$2)/(graph_range!Z$3-graph_range!Z$2)</f>
        <v>0.80465284260552083</v>
      </c>
      <c r="T93">
        <f>(graph_data!AA93-graph_range!AA$2)/(graph_range!AA$3-graph_range!AA$2)</f>
        <v>0.14285714285714285</v>
      </c>
      <c r="U93">
        <f>(graph_data!AB93-graph_range!AB$2)/(graph_range!AB$3-graph_range!AB$2)</f>
        <v>0.7909985649783795</v>
      </c>
      <c r="W93">
        <f>graph_data!AD93</f>
        <v>2</v>
      </c>
      <c r="X93">
        <f>(graph_data!AE93-graph_range!AE$2)/(graph_range!AE$3-graph_range!AE$2)</f>
        <v>0.99806760379287351</v>
      </c>
      <c r="Y93">
        <f>(graph_data!AF93-graph_range!AF$2)/(graph_range!AF$3-graph_range!AF$2)</f>
        <v>0.21914704124370643</v>
      </c>
    </row>
    <row r="94" spans="1:25" x14ac:dyDescent="0.25">
      <c r="A94">
        <f t="shared" si="5"/>
        <v>0.95</v>
      </c>
      <c r="B94">
        <f t="shared" si="6"/>
        <v>1.95</v>
      </c>
      <c r="C94">
        <f t="shared" si="6"/>
        <v>2.95</v>
      </c>
      <c r="D94">
        <f t="shared" si="6"/>
        <v>-0.05</v>
      </c>
      <c r="E94">
        <f t="shared" si="6"/>
        <v>-0.05</v>
      </c>
      <c r="F94">
        <f t="shared" si="6"/>
        <v>3.95</v>
      </c>
      <c r="G94">
        <f t="shared" si="6"/>
        <v>4.95</v>
      </c>
      <c r="H94">
        <f t="shared" si="6"/>
        <v>5.95</v>
      </c>
      <c r="I94">
        <f t="shared" si="6"/>
        <v>-0.05</v>
      </c>
      <c r="J94">
        <f t="shared" si="6"/>
        <v>-0.05</v>
      </c>
      <c r="K94">
        <f t="shared" si="6"/>
        <v>6.95</v>
      </c>
      <c r="L94">
        <f t="shared" si="3"/>
        <v>7.95</v>
      </c>
      <c r="N94">
        <f>(graph_data!U94-graph_range!U$2)/(graph_range!U$3-graph_range!U$2)</f>
        <v>0.72683902439024395</v>
      </c>
      <c r="O94">
        <f>(graph_data!V94-graph_range!V$2)/(graph_range!V$3-graph_range!V$2)</f>
        <v>0.46414243502009767</v>
      </c>
      <c r="P94">
        <f>(graph_data!W94-graph_range!W$2)/(graph_range!W$3-graph_range!W$2)</f>
        <v>0.51465553884247017</v>
      </c>
      <c r="S94">
        <f>(graph_data!Z94-graph_range!Z$2)/(graph_range!Z$3-graph_range!Z$2)</f>
        <v>0.46414243502009578</v>
      </c>
      <c r="T94">
        <f>(graph_data!AA94-graph_range!AA$2)/(graph_range!AA$3-graph_range!AA$2)</f>
        <v>0.2857142857142857</v>
      </c>
      <c r="U94">
        <f>(graph_data!AB94-graph_range!AB$2)/(graph_range!AB$3-graph_range!AB$2)</f>
        <v>0.55734182524803755</v>
      </c>
      <c r="W94">
        <f>graph_data!AD94</f>
        <v>2</v>
      </c>
      <c r="X94">
        <f>(graph_data!AE94-graph_range!AE$2)/(graph_range!AE$3-graph_range!AE$2)</f>
        <v>0.67411242728256893</v>
      </c>
      <c r="Y94">
        <f>(graph_data!AF94-graph_range!AF$2)/(graph_range!AF$3-graph_range!AF$2)</f>
        <v>0.23550982963261355</v>
      </c>
    </row>
    <row r="95" spans="1:25" x14ac:dyDescent="0.25">
      <c r="A95">
        <f t="shared" si="5"/>
        <v>0.95</v>
      </c>
      <c r="B95">
        <f t="shared" si="6"/>
        <v>1.95</v>
      </c>
      <c r="C95">
        <f t="shared" si="6"/>
        <v>2.95</v>
      </c>
      <c r="D95">
        <f t="shared" si="6"/>
        <v>-0.05</v>
      </c>
      <c r="E95">
        <f t="shared" si="6"/>
        <v>-0.05</v>
      </c>
      <c r="F95">
        <f t="shared" si="6"/>
        <v>3.95</v>
      </c>
      <c r="G95">
        <f t="shared" si="6"/>
        <v>4.95</v>
      </c>
      <c r="H95">
        <f t="shared" si="6"/>
        <v>5.95</v>
      </c>
      <c r="I95">
        <f t="shared" si="6"/>
        <v>-0.05</v>
      </c>
      <c r="J95">
        <f t="shared" si="6"/>
        <v>-0.05</v>
      </c>
      <c r="K95">
        <f t="shared" si="6"/>
        <v>6.95</v>
      </c>
      <c r="L95">
        <f t="shared" si="3"/>
        <v>7.95</v>
      </c>
      <c r="N95">
        <f>(graph_data!U95-graph_range!U$2)/(graph_range!U$3-graph_range!U$2)</f>
        <v>0.99300813008130073</v>
      </c>
      <c r="O95">
        <f>(graph_data!V95-graph_range!V$2)/(graph_range!V$3-graph_range!V$2)</f>
        <v>0.78540141339484792</v>
      </c>
      <c r="P95">
        <f>(graph_data!W95-graph_range!W$2)/(graph_range!W$3-graph_range!W$2)</f>
        <v>0.68220266797442064</v>
      </c>
      <c r="S95">
        <f>(graph_data!Z95-graph_range!Z$2)/(graph_range!Z$3-graph_range!Z$2)</f>
        <v>0.78540141339484737</v>
      </c>
      <c r="T95">
        <f>(graph_data!AA95-graph_range!AA$2)/(graph_range!AA$3-graph_range!AA$2)</f>
        <v>7.1428571428571425E-2</v>
      </c>
      <c r="U95">
        <f>(graph_data!AB95-graph_range!AB$2)/(graph_range!AB$3-graph_range!AB$2)</f>
        <v>0.56981283029717755</v>
      </c>
      <c r="W95">
        <f>graph_data!AD95</f>
        <v>2</v>
      </c>
      <c r="X95">
        <f>(graph_data!AE95-graph_range!AE$2)/(graph_range!AE$3-graph_range!AE$2)</f>
        <v>0.60101998141837065</v>
      </c>
      <c r="Y95">
        <f>(graph_data!AF95-graph_range!AF$2)/(graph_range!AF$3-graph_range!AF$2)</f>
        <v>0.20956457471155307</v>
      </c>
    </row>
    <row r="96" spans="1:25" x14ac:dyDescent="0.25">
      <c r="A96">
        <f t="shared" si="5"/>
        <v>0.95</v>
      </c>
      <c r="B96">
        <f t="shared" si="6"/>
        <v>1.95</v>
      </c>
      <c r="C96">
        <f t="shared" si="6"/>
        <v>2.95</v>
      </c>
      <c r="D96">
        <f t="shared" si="6"/>
        <v>-0.05</v>
      </c>
      <c r="E96">
        <f t="shared" si="6"/>
        <v>-0.05</v>
      </c>
      <c r="F96">
        <f t="shared" si="6"/>
        <v>3.95</v>
      </c>
      <c r="G96">
        <f t="shared" si="6"/>
        <v>4.95</v>
      </c>
      <c r="H96">
        <f t="shared" si="6"/>
        <v>5.95</v>
      </c>
      <c r="I96">
        <f t="shared" si="6"/>
        <v>-0.05</v>
      </c>
      <c r="J96">
        <f t="shared" si="6"/>
        <v>-0.05</v>
      </c>
      <c r="K96">
        <f t="shared" si="6"/>
        <v>6.95</v>
      </c>
      <c r="L96">
        <f t="shared" si="3"/>
        <v>7.95</v>
      </c>
      <c r="N96">
        <f>(graph_data!U96-graph_range!U$2)/(graph_range!U$3-graph_range!U$2)</f>
        <v>0.71132682926829272</v>
      </c>
      <c r="O96">
        <f>(graph_data!V96-graph_range!V$2)/(graph_range!V$3-graph_range!V$2)</f>
        <v>0.9240454570002391</v>
      </c>
      <c r="P96">
        <f>(graph_data!W96-graph_range!W$2)/(graph_range!W$3-graph_range!W$2)</f>
        <v>0.72681692431690614</v>
      </c>
      <c r="S96">
        <f>(graph_data!Z96-graph_range!Z$2)/(graph_range!Z$3-graph_range!Z$2)</f>
        <v>0.92404545700023788</v>
      </c>
      <c r="T96">
        <f>(graph_data!AA96-graph_range!AA$2)/(graph_range!AA$3-graph_range!AA$2)</f>
        <v>0.21428571428571427</v>
      </c>
      <c r="U96">
        <f>(graph_data!AB96-graph_range!AB$2)/(graph_range!AB$3-graph_range!AB$2)</f>
        <v>0.85629809533864598</v>
      </c>
      <c r="W96">
        <f>graph_data!AD96</f>
        <v>2</v>
      </c>
      <c r="X96">
        <f>(graph_data!AE96-graph_range!AE$2)/(graph_range!AE$3-graph_range!AE$2)</f>
        <v>0.96917389557160294</v>
      </c>
      <c r="Y96">
        <f>(graph_data!AF96-graph_range!AF$2)/(graph_range!AF$3-graph_range!AF$2)</f>
        <v>0.19265044736208239</v>
      </c>
    </row>
    <row r="97" spans="1:25" x14ac:dyDescent="0.25">
      <c r="A97">
        <f t="shared" si="5"/>
        <v>0.95</v>
      </c>
      <c r="B97">
        <f t="shared" si="6"/>
        <v>1.95</v>
      </c>
      <c r="C97">
        <f t="shared" si="6"/>
        <v>2.95</v>
      </c>
      <c r="D97">
        <f t="shared" si="6"/>
        <v>-0.05</v>
      </c>
      <c r="E97">
        <f t="shared" si="6"/>
        <v>-0.05</v>
      </c>
      <c r="F97">
        <f t="shared" si="6"/>
        <v>3.95</v>
      </c>
      <c r="G97">
        <f t="shared" si="6"/>
        <v>4.95</v>
      </c>
      <c r="H97">
        <f t="shared" si="6"/>
        <v>5.95</v>
      </c>
      <c r="I97">
        <f t="shared" si="6"/>
        <v>-0.05</v>
      </c>
      <c r="J97">
        <f t="shared" si="6"/>
        <v>-0.05</v>
      </c>
      <c r="K97">
        <f t="shared" si="6"/>
        <v>6.95</v>
      </c>
      <c r="L97">
        <f t="shared" si="3"/>
        <v>7.95</v>
      </c>
      <c r="N97">
        <f>(graph_data!U97-graph_range!U$2)/(graph_range!U$3-graph_range!U$2)</f>
        <v>0.73964661246612473</v>
      </c>
      <c r="O97">
        <f>(graph_data!V97-graph_range!V$2)/(graph_range!V$3-graph_range!V$2)</f>
        <v>0.71422778262110664</v>
      </c>
      <c r="P97">
        <f>(graph_data!W97-graph_range!W$2)/(graph_range!W$3-graph_range!W$2)</f>
        <v>0.66782696315295309</v>
      </c>
      <c r="S97">
        <f>(graph_data!Z97-graph_range!Z$2)/(graph_range!Z$3-graph_range!Z$2)</f>
        <v>0.71422778262110576</v>
      </c>
      <c r="T97">
        <f>(graph_data!AA97-graph_range!AA$2)/(graph_range!AA$3-graph_range!AA$2)</f>
        <v>0.14285714285714285</v>
      </c>
      <c r="U97">
        <f>(graph_data!AB97-graph_range!AB$2)/(graph_range!AB$3-graph_range!AB$2)</f>
        <v>0.77831422937871486</v>
      </c>
      <c r="W97">
        <f>graph_data!AD97</f>
        <v>2</v>
      </c>
      <c r="X97">
        <f>(graph_data!AE97-graph_range!AE$2)/(graph_range!AE$3-graph_range!AE$2)</f>
        <v>0.99753433827818649</v>
      </c>
      <c r="Y97">
        <f>(graph_data!AF97-graph_range!AF$2)/(graph_range!AF$3-graph_range!AF$2)</f>
        <v>0.22343173765819049</v>
      </c>
    </row>
    <row r="98" spans="1:25" x14ac:dyDescent="0.25">
      <c r="A98">
        <f t="shared" si="5"/>
        <v>0.95</v>
      </c>
      <c r="B98">
        <f t="shared" si="6"/>
        <v>1.95</v>
      </c>
      <c r="C98">
        <f t="shared" si="6"/>
        <v>2.95</v>
      </c>
      <c r="D98">
        <f t="shared" si="6"/>
        <v>-0.05</v>
      </c>
      <c r="E98">
        <f t="shared" si="6"/>
        <v>-0.05</v>
      </c>
      <c r="F98">
        <f t="shared" si="6"/>
        <v>3.95</v>
      </c>
      <c r="G98">
        <f t="shared" si="6"/>
        <v>4.95</v>
      </c>
      <c r="H98">
        <f t="shared" si="6"/>
        <v>5.95</v>
      </c>
      <c r="I98">
        <f t="shared" si="6"/>
        <v>-0.05</v>
      </c>
      <c r="J98">
        <f t="shared" si="6"/>
        <v>-0.05</v>
      </c>
      <c r="K98">
        <f t="shared" si="6"/>
        <v>6.95</v>
      </c>
      <c r="L98">
        <f t="shared" si="3"/>
        <v>7.95</v>
      </c>
      <c r="N98">
        <f>(graph_data!U98-graph_range!U$2)/(graph_range!U$3-graph_range!U$2)</f>
        <v>0.74117831978319781</v>
      </c>
      <c r="O98">
        <f>(graph_data!V98-graph_range!V$2)/(graph_range!V$3-graph_range!V$2)</f>
        <v>0.75531276761535904</v>
      </c>
      <c r="P98">
        <f>(graph_data!W98-graph_range!W$2)/(graph_range!W$3-graph_range!W$2)</f>
        <v>0.68789011292224356</v>
      </c>
      <c r="S98">
        <f>(graph_data!Z98-graph_range!Z$2)/(graph_range!Z$3-graph_range!Z$2)</f>
        <v>0.75531276761535771</v>
      </c>
      <c r="T98">
        <f>(graph_data!AA98-graph_range!AA$2)/(graph_range!AA$3-graph_range!AA$2)</f>
        <v>0.14285714285714285</v>
      </c>
      <c r="U98">
        <f>(graph_data!AB98-graph_range!AB$2)/(graph_range!AB$3-graph_range!AB$2)</f>
        <v>0.78706621712348623</v>
      </c>
      <c r="W98">
        <f>graph_data!AD98</f>
        <v>2</v>
      </c>
      <c r="X98">
        <f>(graph_data!AE98-graph_range!AE$2)/(graph_range!AE$3-graph_range!AE$2)</f>
        <v>0.99529230487316367</v>
      </c>
      <c r="Y98">
        <f>(graph_data!AF98-graph_range!AF$2)/(graph_range!AF$3-graph_range!AF$2)</f>
        <v>0.21991530773323312</v>
      </c>
    </row>
    <row r="99" spans="1:25" x14ac:dyDescent="0.25">
      <c r="A99">
        <f t="shared" si="5"/>
        <v>0.95</v>
      </c>
      <c r="B99">
        <f t="shared" si="6"/>
        <v>1.95</v>
      </c>
      <c r="C99">
        <f t="shared" si="6"/>
        <v>2.95</v>
      </c>
      <c r="D99">
        <f t="shared" si="6"/>
        <v>-0.05</v>
      </c>
      <c r="E99">
        <f t="shared" si="6"/>
        <v>-0.05</v>
      </c>
      <c r="F99">
        <f t="shared" si="6"/>
        <v>3.95</v>
      </c>
      <c r="G99">
        <f t="shared" si="6"/>
        <v>4.95</v>
      </c>
      <c r="H99">
        <f t="shared" si="6"/>
        <v>5.95</v>
      </c>
      <c r="I99">
        <f t="shared" si="6"/>
        <v>-0.05</v>
      </c>
      <c r="J99">
        <f t="shared" si="6"/>
        <v>-0.05</v>
      </c>
      <c r="K99">
        <f t="shared" si="6"/>
        <v>6.95</v>
      </c>
      <c r="L99">
        <f t="shared" si="3"/>
        <v>7.95</v>
      </c>
      <c r="N99">
        <f>(graph_data!U99-graph_range!U$2)/(graph_range!U$3-graph_range!U$2)</f>
        <v>0.83075663956639578</v>
      </c>
      <c r="O99">
        <f>(graph_data!V99-graph_range!V$2)/(graph_range!V$3-graph_range!V$2)</f>
        <v>0.84415624493700681</v>
      </c>
      <c r="P99">
        <f>(graph_data!W99-graph_range!W$2)/(graph_range!W$3-graph_range!W$2)</f>
        <v>0.74539432858546417</v>
      </c>
      <c r="S99">
        <f>(graph_data!Z99-graph_range!Z$2)/(graph_range!Z$3-graph_range!Z$2)</f>
        <v>0.84415624493700714</v>
      </c>
      <c r="T99">
        <f>(graph_data!AA99-graph_range!AA$2)/(graph_range!AA$3-graph_range!AA$2)</f>
        <v>7.1428571428571425E-2</v>
      </c>
      <c r="U99">
        <f>(graph_data!AB99-graph_range!AB$2)/(graph_range!AB$3-graph_range!AB$2)</f>
        <v>0.78964248924956704</v>
      </c>
      <c r="W99">
        <f>graph_data!AD99</f>
        <v>2</v>
      </c>
      <c r="X99">
        <f>(graph_data!AE99-graph_range!AE$2)/(graph_range!AE$3-graph_range!AE$2)</f>
        <v>0.99201497280276374</v>
      </c>
      <c r="Y99">
        <f>(graph_data!AF99-graph_range!AF$2)/(graph_range!AF$3-graph_range!AF$2)</f>
        <v>0.21834539567070538</v>
      </c>
    </row>
    <row r="100" spans="1:25" x14ac:dyDescent="0.25">
      <c r="A100">
        <f t="shared" si="5"/>
        <v>0.95</v>
      </c>
      <c r="B100">
        <f t="shared" si="6"/>
        <v>1.95</v>
      </c>
      <c r="C100">
        <f t="shared" si="6"/>
        <v>2.95</v>
      </c>
      <c r="D100">
        <f t="shared" si="6"/>
        <v>-0.05</v>
      </c>
      <c r="E100">
        <f t="shared" si="6"/>
        <v>-0.05</v>
      </c>
      <c r="F100">
        <f t="shared" si="6"/>
        <v>3.95</v>
      </c>
      <c r="G100">
        <f t="shared" si="6"/>
        <v>4.95</v>
      </c>
      <c r="H100">
        <f t="shared" si="6"/>
        <v>5.95</v>
      </c>
      <c r="I100">
        <f t="shared" si="6"/>
        <v>-0.05</v>
      </c>
      <c r="J100">
        <f t="shared" si="6"/>
        <v>-0.05</v>
      </c>
      <c r="K100">
        <f t="shared" si="6"/>
        <v>6.95</v>
      </c>
      <c r="L100">
        <f t="shared" ref="L100:L148" si="7">L$2+($W100-2.5)/10</f>
        <v>7.95</v>
      </c>
      <c r="N100">
        <f>(graph_data!U100-graph_range!U$2)/(graph_range!U$3-graph_range!U$2)</f>
        <v>0.91511111111111099</v>
      </c>
      <c r="O100">
        <f>(graph_data!V100-graph_range!V$2)/(graph_range!V$3-graph_range!V$2)</f>
        <v>0.92494956294313246</v>
      </c>
      <c r="P100">
        <f>(graph_data!W100-graph_range!W$2)/(graph_range!W$3-graph_range!W$2)</f>
        <v>0.73505275792904945</v>
      </c>
      <c r="S100">
        <f>(graph_data!Z100-graph_range!Z$2)/(graph_range!Z$3-graph_range!Z$2)</f>
        <v>0.92494956294313246</v>
      </c>
      <c r="T100">
        <f>(graph_data!AA100-graph_range!AA$2)/(graph_range!AA$3-graph_range!AA$2)</f>
        <v>0</v>
      </c>
      <c r="U100">
        <f>(graph_data!AB100-graph_range!AB$2)/(graph_range!AB$3-graph_range!AB$2)</f>
        <v>0.84817115251897857</v>
      </c>
      <c r="W100">
        <f>graph_data!AD100</f>
        <v>2</v>
      </c>
      <c r="X100">
        <f>(graph_data!AE100-graph_range!AE$2)/(graph_range!AE$3-graph_range!AE$2)</f>
        <v>0.97052781087181161</v>
      </c>
      <c r="Y100">
        <f>(graph_data!AF100-graph_range!AF$2)/(graph_range!AF$3-graph_range!AF$2)</f>
        <v>0.19531537271799815</v>
      </c>
    </row>
    <row r="101" spans="1:25" x14ac:dyDescent="0.25">
      <c r="A101">
        <f t="shared" si="5"/>
        <v>0.95</v>
      </c>
      <c r="B101">
        <f t="shared" si="6"/>
        <v>1.95</v>
      </c>
      <c r="C101">
        <f t="shared" si="6"/>
        <v>2.95</v>
      </c>
      <c r="D101">
        <f t="shared" si="6"/>
        <v>-0.05</v>
      </c>
      <c r="E101">
        <f t="shared" si="6"/>
        <v>-0.05</v>
      </c>
      <c r="F101">
        <f t="shared" si="6"/>
        <v>3.95</v>
      </c>
      <c r="G101">
        <f t="shared" si="6"/>
        <v>4.95</v>
      </c>
      <c r="H101">
        <f t="shared" si="6"/>
        <v>5.95</v>
      </c>
      <c r="I101">
        <f t="shared" si="6"/>
        <v>-0.05</v>
      </c>
      <c r="J101">
        <f t="shared" si="6"/>
        <v>-0.05</v>
      </c>
      <c r="K101">
        <f t="shared" si="6"/>
        <v>6.95</v>
      </c>
      <c r="L101">
        <f t="shared" si="7"/>
        <v>7.95</v>
      </c>
      <c r="N101">
        <f>(graph_data!U101-graph_range!U$2)/(graph_range!U$3-graph_range!U$2)</f>
        <v>0.80769864498644994</v>
      </c>
      <c r="O101">
        <f>(graph_data!V101-graph_range!V$2)/(graph_range!V$3-graph_range!V$2)</f>
        <v>1</v>
      </c>
      <c r="P101">
        <f>(graph_data!W101-graph_range!W$2)/(graph_range!W$3-graph_range!W$2)</f>
        <v>0.78263710889564986</v>
      </c>
      <c r="S101">
        <f>(graph_data!Z101-graph_range!Z$2)/(graph_range!Z$3-graph_range!Z$2)</f>
        <v>1</v>
      </c>
      <c r="T101">
        <f>(graph_data!AA101-graph_range!AA$2)/(graph_range!AA$3-graph_range!AA$2)</f>
        <v>7.1428571428571425E-2</v>
      </c>
      <c r="U101">
        <f>(graph_data!AB101-graph_range!AB$2)/(graph_range!AB$3-graph_range!AB$2)</f>
        <v>0.85634157672474009</v>
      </c>
      <c r="W101">
        <f>graph_data!AD101</f>
        <v>2</v>
      </c>
      <c r="X101">
        <f>(graph_data!AE101-graph_range!AE$2)/(graph_range!AE$3-graph_range!AE$2)</f>
        <v>0.98200330145879722</v>
      </c>
      <c r="Y101">
        <f>(graph_data!AF101-graph_range!AF$2)/(graph_range!AF$3-graph_range!AF$2)</f>
        <v>0.19514079787910807</v>
      </c>
    </row>
    <row r="102" spans="1:25" x14ac:dyDescent="0.25">
      <c r="A102">
        <f t="shared" si="5"/>
        <v>0.95</v>
      </c>
      <c r="B102">
        <f t="shared" si="6"/>
        <v>1.95</v>
      </c>
      <c r="C102">
        <f t="shared" si="6"/>
        <v>2.95</v>
      </c>
      <c r="D102">
        <f t="shared" si="6"/>
        <v>-0.05</v>
      </c>
      <c r="E102">
        <f t="shared" si="6"/>
        <v>-0.05</v>
      </c>
      <c r="F102">
        <f t="shared" si="6"/>
        <v>3.95</v>
      </c>
      <c r="G102">
        <f t="shared" si="6"/>
        <v>4.95</v>
      </c>
      <c r="H102">
        <f t="shared" si="6"/>
        <v>5.95</v>
      </c>
      <c r="I102">
        <f t="shared" si="6"/>
        <v>-0.05</v>
      </c>
      <c r="J102">
        <f t="shared" si="6"/>
        <v>-0.05</v>
      </c>
      <c r="K102">
        <f t="shared" si="6"/>
        <v>6.95</v>
      </c>
      <c r="L102">
        <f t="shared" si="7"/>
        <v>7.95</v>
      </c>
      <c r="N102">
        <f>(graph_data!U102-graph_range!U$2)/(graph_range!U$3-graph_range!U$2)</f>
        <v>0.78010189701897026</v>
      </c>
      <c r="O102">
        <f>(graph_data!V102-graph_range!V$2)/(graph_range!V$3-graph_range!V$2)</f>
        <v>0.49054232855258179</v>
      </c>
      <c r="P102">
        <f>(graph_data!W102-graph_range!W$2)/(graph_range!W$3-graph_range!W$2)</f>
        <v>0.36462735994754092</v>
      </c>
      <c r="S102">
        <f>(graph_data!Z102-graph_range!Z$2)/(graph_range!Z$3-graph_range!Z$2)</f>
        <v>0.49054232855258056</v>
      </c>
      <c r="T102">
        <f>(graph_data!AA102-graph_range!AA$2)/(graph_range!AA$3-graph_range!AA$2)</f>
        <v>0.21428571428571427</v>
      </c>
      <c r="U102">
        <f>(graph_data!AB102-graph_range!AB$2)/(graph_range!AB$3-graph_range!AB$2)</f>
        <v>0.75969332578387772</v>
      </c>
      <c r="W102">
        <f>graph_data!AD102</f>
        <v>2</v>
      </c>
      <c r="X102">
        <f>(graph_data!AE102-graph_range!AE$2)/(graph_range!AE$3-graph_range!AE$2)</f>
        <v>0.6155861568774188</v>
      </c>
      <c r="Y102">
        <f>(graph_data!AF102-graph_range!AF$2)/(graph_range!AF$3-graph_range!AF$2)</f>
        <v>0.14754551519974521</v>
      </c>
    </row>
    <row r="103" spans="1:25" x14ac:dyDescent="0.25">
      <c r="A103">
        <f t="shared" si="5"/>
        <v>0.95</v>
      </c>
      <c r="B103">
        <f t="shared" si="6"/>
        <v>1.95</v>
      </c>
      <c r="C103">
        <f t="shared" si="6"/>
        <v>2.95</v>
      </c>
      <c r="D103">
        <f t="shared" si="6"/>
        <v>-0.05</v>
      </c>
      <c r="E103">
        <f t="shared" si="6"/>
        <v>-0.05</v>
      </c>
      <c r="F103">
        <f t="shared" si="6"/>
        <v>3.95</v>
      </c>
      <c r="G103">
        <f t="shared" si="6"/>
        <v>4.95</v>
      </c>
      <c r="H103">
        <f t="shared" si="6"/>
        <v>5.95</v>
      </c>
      <c r="I103">
        <f t="shared" si="6"/>
        <v>-0.05</v>
      </c>
      <c r="J103">
        <f t="shared" si="6"/>
        <v>-0.05</v>
      </c>
      <c r="K103">
        <f t="shared" si="6"/>
        <v>6.95</v>
      </c>
      <c r="L103">
        <f t="shared" si="7"/>
        <v>7.95</v>
      </c>
      <c r="N103">
        <f>(graph_data!U103-graph_range!U$2)/(graph_range!U$3-graph_range!U$2)</f>
        <v>0.91744173441734411</v>
      </c>
      <c r="O103">
        <f>(graph_data!V103-graph_range!V$2)/(graph_range!V$3-graph_range!V$2)</f>
        <v>0.51613696505859574</v>
      </c>
      <c r="P103">
        <f>(graph_data!W103-graph_range!W$2)/(graph_range!W$3-graph_range!W$2)</f>
        <v>0.66954590367118771</v>
      </c>
      <c r="S103">
        <f>(graph_data!Z103-graph_range!Z$2)/(graph_range!Z$3-graph_range!Z$2)</f>
        <v>0.51613696505859319</v>
      </c>
      <c r="T103">
        <f>(graph_data!AA103-graph_range!AA$2)/(graph_range!AA$3-graph_range!AA$2)</f>
        <v>0.14285714285714285</v>
      </c>
      <c r="U103">
        <f>(graph_data!AB103-graph_range!AB$2)/(graph_range!AB$3-graph_range!AB$2)</f>
        <v>0.45214132917977395</v>
      </c>
      <c r="W103">
        <f>graph_data!AD103</f>
        <v>2</v>
      </c>
      <c r="X103">
        <f>(graph_data!AE103-graph_range!AE$2)/(graph_range!AE$3-graph_range!AE$2)</f>
        <v>0.67236551833664371</v>
      </c>
      <c r="Y103">
        <f>(graph_data!AF103-graph_range!AF$2)/(graph_range!AF$3-graph_range!AF$2)</f>
        <v>0.29458143524262792</v>
      </c>
    </row>
    <row r="104" spans="1:25" x14ac:dyDescent="0.25">
      <c r="A104">
        <f t="shared" si="5"/>
        <v>0.95</v>
      </c>
      <c r="B104">
        <f t="shared" si="6"/>
        <v>1.95</v>
      </c>
      <c r="C104">
        <f t="shared" si="6"/>
        <v>2.95</v>
      </c>
      <c r="D104">
        <f t="shared" si="6"/>
        <v>-0.05</v>
      </c>
      <c r="E104">
        <f t="shared" si="6"/>
        <v>-0.05</v>
      </c>
      <c r="F104">
        <f t="shared" si="6"/>
        <v>3.95</v>
      </c>
      <c r="G104">
        <f t="shared" si="6"/>
        <v>4.95</v>
      </c>
      <c r="H104">
        <f t="shared" si="6"/>
        <v>5.95</v>
      </c>
      <c r="I104">
        <f t="shared" si="6"/>
        <v>-0.05</v>
      </c>
      <c r="J104">
        <f t="shared" si="6"/>
        <v>-0.05</v>
      </c>
      <c r="K104">
        <f t="shared" si="6"/>
        <v>6.95</v>
      </c>
      <c r="L104">
        <f t="shared" si="7"/>
        <v>7.95</v>
      </c>
      <c r="N104">
        <f>(graph_data!U104-graph_range!U$2)/(graph_range!U$3-graph_range!U$2)</f>
        <v>0.97891598915989164</v>
      </c>
      <c r="O104">
        <f>(graph_data!V104-graph_range!V$2)/(graph_range!V$3-graph_range!V$2)</f>
        <v>0.69439049275943743</v>
      </c>
      <c r="P104">
        <f>(graph_data!W104-graph_range!W$2)/(graph_range!W$3-graph_range!W$2)</f>
        <v>0.62447084280309906</v>
      </c>
      <c r="S104">
        <f>(graph_data!Z104-graph_range!Z$2)/(graph_range!Z$3-graph_range!Z$2)</f>
        <v>0.69439049275943443</v>
      </c>
      <c r="T104">
        <f>(graph_data!AA104-graph_range!AA$2)/(graph_range!AA$3-graph_range!AA$2)</f>
        <v>7.1428571428571425E-2</v>
      </c>
      <c r="U104">
        <f>(graph_data!AB104-graph_range!AB$2)/(graph_range!AB$3-graph_range!AB$2)</f>
        <v>0.56832359282345157</v>
      </c>
      <c r="W104">
        <f>graph_data!AD104</f>
        <v>2</v>
      </c>
      <c r="X104">
        <f>(graph_data!AE104-graph_range!AE$2)/(graph_range!AE$3-graph_range!AE$2)</f>
        <v>0.60395385348086628</v>
      </c>
      <c r="Y104">
        <f>(graph_data!AF104-graph_range!AF$2)/(graph_range!AF$3-graph_range!AF$2)</f>
        <v>0.21102132068394694</v>
      </c>
    </row>
    <row r="105" spans="1:25" x14ac:dyDescent="0.25">
      <c r="A105">
        <f t="shared" si="5"/>
        <v>0.95</v>
      </c>
      <c r="B105">
        <f t="shared" si="6"/>
        <v>1.95</v>
      </c>
      <c r="C105">
        <f t="shared" si="6"/>
        <v>2.95</v>
      </c>
      <c r="D105">
        <f t="shared" si="6"/>
        <v>-0.05</v>
      </c>
      <c r="E105">
        <f t="shared" si="6"/>
        <v>-0.05</v>
      </c>
      <c r="F105">
        <f t="shared" si="6"/>
        <v>3.95</v>
      </c>
      <c r="G105">
        <f t="shared" si="6"/>
        <v>4.95</v>
      </c>
      <c r="H105">
        <f t="shared" si="6"/>
        <v>5.95</v>
      </c>
      <c r="I105">
        <f t="shared" si="6"/>
        <v>-0.05</v>
      </c>
      <c r="J105">
        <f t="shared" si="6"/>
        <v>-0.05</v>
      </c>
      <c r="K105">
        <f t="shared" si="6"/>
        <v>6.95</v>
      </c>
      <c r="L105">
        <f t="shared" si="7"/>
        <v>7.95</v>
      </c>
      <c r="N105" t="e">
        <f>(graph_data!U105-graph_range!U$2)/(graph_range!U$3-graph_range!U$2)</f>
        <v>#N/A</v>
      </c>
      <c r="O105" t="e">
        <f>(graph_data!V105-graph_range!V$2)/(graph_range!V$3-graph_range!V$2)</f>
        <v>#N/A</v>
      </c>
      <c r="P105" t="e">
        <f>(graph_data!W105-graph_range!W$2)/(graph_range!W$3-graph_range!W$2)</f>
        <v>#N/A</v>
      </c>
      <c r="S105" t="e">
        <f>(graph_data!Z105-graph_range!Z$2)/(graph_range!Z$3-graph_range!Z$2)</f>
        <v>#N/A</v>
      </c>
      <c r="T105" t="e">
        <f>(graph_data!AA105-graph_range!AA$2)/(graph_range!AA$3-graph_range!AA$2)</f>
        <v>#N/A</v>
      </c>
      <c r="U105" t="e">
        <f>(graph_data!AB105-graph_range!AB$2)/(graph_range!AB$3-graph_range!AB$2)</f>
        <v>#N/A</v>
      </c>
      <c r="W105">
        <f>graph_data!AD105</f>
        <v>2</v>
      </c>
      <c r="X105" t="e">
        <f>(graph_data!AE105-graph_range!AE$2)/(graph_range!AE$3-graph_range!AE$2)</f>
        <v>#N/A</v>
      </c>
      <c r="Y105" t="e">
        <f>(graph_data!AF105-graph_range!AF$2)/(graph_range!AF$3-graph_range!AF$2)</f>
        <v>#N/A</v>
      </c>
    </row>
    <row r="106" spans="1:25" x14ac:dyDescent="0.25">
      <c r="A106">
        <f t="shared" si="5"/>
        <v>0.95</v>
      </c>
      <c r="B106">
        <f t="shared" si="6"/>
        <v>1.95</v>
      </c>
      <c r="C106">
        <f t="shared" si="6"/>
        <v>2.95</v>
      </c>
      <c r="D106">
        <f t="shared" si="6"/>
        <v>-0.05</v>
      </c>
      <c r="E106">
        <f t="shared" si="6"/>
        <v>-0.05</v>
      </c>
      <c r="F106">
        <f t="shared" si="6"/>
        <v>3.95</v>
      </c>
      <c r="G106">
        <f t="shared" si="6"/>
        <v>4.95</v>
      </c>
      <c r="H106">
        <f t="shared" si="6"/>
        <v>5.95</v>
      </c>
      <c r="I106">
        <f t="shared" si="6"/>
        <v>-0.05</v>
      </c>
      <c r="J106">
        <f t="shared" si="6"/>
        <v>-0.05</v>
      </c>
      <c r="K106">
        <f t="shared" si="6"/>
        <v>6.95</v>
      </c>
      <c r="L106">
        <f t="shared" si="7"/>
        <v>7.95</v>
      </c>
      <c r="N106">
        <f>(graph_data!U106-graph_range!U$2)/(graph_range!U$3-graph_range!U$2)</f>
        <v>0.68142655826558263</v>
      </c>
      <c r="O106">
        <f>(graph_data!V106-graph_range!V$2)/(graph_range!V$3-graph_range!V$2)</f>
        <v>0.61333920319093949</v>
      </c>
      <c r="P106">
        <f>(graph_data!W106-graph_range!W$2)/(graph_range!W$3-graph_range!W$2)</f>
        <v>0.53660100527998211</v>
      </c>
      <c r="S106">
        <f>(graph_data!Z106-graph_range!Z$2)/(graph_range!Z$3-graph_range!Z$2)</f>
        <v>0.61333920319093616</v>
      </c>
      <c r="T106">
        <f>(graph_data!AA106-graph_range!AA$2)/(graph_range!AA$3-graph_range!AA$2)</f>
        <v>0.21428571428571427</v>
      </c>
      <c r="U106">
        <f>(graph_data!AB106-graph_range!AB$2)/(graph_range!AB$3-graph_range!AB$2)</f>
        <v>0.85394874169624424</v>
      </c>
      <c r="W106">
        <f>graph_data!AD106</f>
        <v>2</v>
      </c>
      <c r="X106">
        <f>(graph_data!AE106-graph_range!AE$2)/(graph_range!AE$3-graph_range!AE$2)</f>
        <v>0.98235738933409289</v>
      </c>
      <c r="Y106">
        <f>(graph_data!AF106-graph_range!AF$2)/(graph_range!AF$3-graph_range!AF$2)</f>
        <v>0.1959181663913542</v>
      </c>
    </row>
    <row r="107" spans="1:25" x14ac:dyDescent="0.25">
      <c r="A107">
        <f t="shared" si="5"/>
        <v>0.95</v>
      </c>
      <c r="B107">
        <f t="shared" si="6"/>
        <v>1.95</v>
      </c>
      <c r="C107">
        <f t="shared" si="6"/>
        <v>2.95</v>
      </c>
      <c r="D107">
        <f t="shared" si="6"/>
        <v>-0.05</v>
      </c>
      <c r="E107">
        <f t="shared" si="6"/>
        <v>-0.05</v>
      </c>
      <c r="F107">
        <f t="shared" si="6"/>
        <v>3.95</v>
      </c>
      <c r="G107">
        <f t="shared" si="6"/>
        <v>4.95</v>
      </c>
      <c r="H107">
        <f t="shared" si="6"/>
        <v>5.95</v>
      </c>
      <c r="I107">
        <f t="shared" si="6"/>
        <v>-0.05</v>
      </c>
      <c r="J107">
        <f t="shared" si="6"/>
        <v>-0.05</v>
      </c>
      <c r="K107">
        <f t="shared" si="6"/>
        <v>6.95</v>
      </c>
      <c r="L107">
        <f t="shared" si="7"/>
        <v>7.95</v>
      </c>
      <c r="N107">
        <f>(graph_data!U107-graph_range!U$2)/(graph_range!U$3-graph_range!U$2)</f>
        <v>0.67534634146341466</v>
      </c>
      <c r="O107">
        <f>(graph_data!V107-graph_range!V$2)/(graph_range!V$3-graph_range!V$2)</f>
        <v>0.56670421318191289</v>
      </c>
      <c r="P107">
        <f>(graph_data!W107-graph_range!W$2)/(graph_range!W$3-graph_range!W$2)</f>
        <v>0.54664794031548081</v>
      </c>
      <c r="S107">
        <f>(graph_data!Z107-graph_range!Z$2)/(graph_range!Z$3-graph_range!Z$2)</f>
        <v>0.56670421318191166</v>
      </c>
      <c r="T107">
        <f>(graph_data!AA107-graph_range!AA$2)/(graph_range!AA$3-graph_range!AA$2)</f>
        <v>0.21428571428571427</v>
      </c>
      <c r="U107">
        <f>(graph_data!AB107-graph_range!AB$2)/(graph_range!AB$3-graph_range!AB$2)</f>
        <v>0.8043310449895108</v>
      </c>
      <c r="W107">
        <f>graph_data!AD107</f>
        <v>2</v>
      </c>
      <c r="X107">
        <f>(graph_data!AE107-graph_range!AE$2)/(graph_range!AE$3-graph_range!AE$2)</f>
        <v>1</v>
      </c>
      <c r="Y107">
        <f>(graph_data!AF107-graph_range!AF$2)/(graph_range!AF$3-graph_range!AF$2)</f>
        <v>0.21505055203589846</v>
      </c>
    </row>
    <row r="108" spans="1:25" x14ac:dyDescent="0.25">
      <c r="A108">
        <f t="shared" si="5"/>
        <v>0.95</v>
      </c>
      <c r="B108">
        <f t="shared" si="6"/>
        <v>1.95</v>
      </c>
      <c r="C108">
        <f t="shared" si="6"/>
        <v>2.95</v>
      </c>
      <c r="D108">
        <f t="shared" si="6"/>
        <v>-0.05</v>
      </c>
      <c r="E108">
        <f t="shared" si="6"/>
        <v>-0.05</v>
      </c>
      <c r="F108">
        <f t="shared" si="6"/>
        <v>3.95</v>
      </c>
      <c r="G108">
        <f t="shared" si="6"/>
        <v>4.95</v>
      </c>
      <c r="H108">
        <f t="shared" si="6"/>
        <v>5.95</v>
      </c>
      <c r="I108">
        <f t="shared" si="6"/>
        <v>-0.05</v>
      </c>
      <c r="J108">
        <f t="shared" si="6"/>
        <v>-0.05</v>
      </c>
      <c r="K108">
        <f t="shared" si="6"/>
        <v>6.95</v>
      </c>
      <c r="L108">
        <f t="shared" si="7"/>
        <v>7.95</v>
      </c>
      <c r="N108">
        <f>(graph_data!U108-graph_range!U$2)/(graph_range!U$3-graph_range!U$2)</f>
        <v>0.6824910569105691</v>
      </c>
      <c r="O108">
        <f>(graph_data!V108-graph_range!V$2)/(graph_range!V$3-graph_range!V$2)</f>
        <v>0.61216507093976869</v>
      </c>
      <c r="P108">
        <f>(graph_data!W108-graph_range!W$2)/(graph_range!W$3-graph_range!W$2)</f>
        <v>0.53845539440119716</v>
      </c>
      <c r="S108">
        <f>(graph_data!Z108-graph_range!Z$2)/(graph_range!Z$3-graph_range!Z$2)</f>
        <v>0.61216507093976669</v>
      </c>
      <c r="T108">
        <f>(graph_data!AA108-graph_range!AA$2)/(graph_range!AA$3-graph_range!AA$2)</f>
        <v>0.21428571428571427</v>
      </c>
      <c r="U108">
        <f>(graph_data!AB108-graph_range!AB$2)/(graph_range!AB$3-graph_range!AB$2)</f>
        <v>0.8494755941018044</v>
      </c>
      <c r="W108">
        <f>graph_data!AD108</f>
        <v>2</v>
      </c>
      <c r="X108">
        <f>(graph_data!AE108-graph_range!AE$2)/(graph_range!AE$3-graph_range!AE$2)</f>
        <v>0.98163265189483317</v>
      </c>
      <c r="Y108">
        <f>(graph_data!AF108-graph_range!AF$2)/(graph_range!AF$3-graph_range!AF$2)</f>
        <v>0.19710907205649766</v>
      </c>
    </row>
    <row r="109" spans="1:25" x14ac:dyDescent="0.25">
      <c r="A109">
        <f t="shared" si="5"/>
        <v>0.95</v>
      </c>
      <c r="B109">
        <f t="shared" si="6"/>
        <v>1.95</v>
      </c>
      <c r="C109">
        <f t="shared" si="6"/>
        <v>2.95</v>
      </c>
      <c r="D109">
        <f t="shared" si="6"/>
        <v>-0.05</v>
      </c>
      <c r="E109">
        <f t="shared" si="6"/>
        <v>-0.05</v>
      </c>
      <c r="F109">
        <f t="shared" si="6"/>
        <v>3.95</v>
      </c>
      <c r="G109">
        <f t="shared" si="6"/>
        <v>4.95</v>
      </c>
      <c r="H109">
        <f t="shared" si="6"/>
        <v>5.95</v>
      </c>
      <c r="I109">
        <f t="shared" si="6"/>
        <v>-0.05</v>
      </c>
      <c r="J109">
        <f t="shared" si="6"/>
        <v>-0.05</v>
      </c>
      <c r="K109">
        <f t="shared" si="6"/>
        <v>6.95</v>
      </c>
      <c r="L109">
        <f t="shared" si="7"/>
        <v>7.95</v>
      </c>
      <c r="N109">
        <f>(graph_data!U109-graph_range!U$2)/(graph_range!U$3-graph_range!U$2)</f>
        <v>0.67336368563685634</v>
      </c>
      <c r="O109">
        <f>(graph_data!V109-graph_range!V$2)/(graph_range!V$3-graph_range!V$2)</f>
        <v>0.55609121488693614</v>
      </c>
      <c r="P109">
        <f>(graph_data!W109-graph_range!W$2)/(graph_range!W$3-graph_range!W$2)</f>
        <v>0.55115405002493933</v>
      </c>
      <c r="S109">
        <f>(graph_data!Z109-graph_range!Z$2)/(graph_range!Z$3-graph_range!Z$2)</f>
        <v>0.55609121488693403</v>
      </c>
      <c r="T109">
        <f>(graph_data!AA109-graph_range!AA$2)/(graph_range!AA$3-graph_range!AA$2)</f>
        <v>0.21428571428571427</v>
      </c>
      <c r="U109">
        <f>(graph_data!AB109-graph_range!AB$2)/(graph_range!AB$3-graph_range!AB$2)</f>
        <v>0.78686783329943144</v>
      </c>
      <c r="W109">
        <f>graph_data!AD109</f>
        <v>2</v>
      </c>
      <c r="X109">
        <f>(graph_data!AE109-graph_range!AE$2)/(graph_range!AE$3-graph_range!AE$2)</f>
        <v>0.99890636066652649</v>
      </c>
      <c r="Y109">
        <f>(graph_data!AF109-graph_range!AF$2)/(graph_range!AF$3-graph_range!AF$2)</f>
        <v>0.22074184478111056</v>
      </c>
    </row>
    <row r="110" spans="1:25" x14ac:dyDescent="0.25">
      <c r="A110">
        <f t="shared" si="5"/>
        <v>1.05</v>
      </c>
      <c r="B110">
        <f t="shared" si="5"/>
        <v>2.0499999999999998</v>
      </c>
      <c r="C110">
        <f t="shared" si="5"/>
        <v>3.05</v>
      </c>
      <c r="D110">
        <f t="shared" si="5"/>
        <v>0.05</v>
      </c>
      <c r="E110">
        <f t="shared" si="5"/>
        <v>0.05</v>
      </c>
      <c r="F110">
        <f t="shared" si="5"/>
        <v>4.05</v>
      </c>
      <c r="G110">
        <f t="shared" si="5"/>
        <v>5.05</v>
      </c>
      <c r="H110">
        <f t="shared" si="5"/>
        <v>6.05</v>
      </c>
      <c r="I110">
        <f t="shared" si="5"/>
        <v>0.05</v>
      </c>
      <c r="J110">
        <f t="shared" si="5"/>
        <v>0.05</v>
      </c>
      <c r="K110">
        <f t="shared" si="5"/>
        <v>7.05</v>
      </c>
      <c r="L110">
        <f t="shared" si="7"/>
        <v>8.0500000000000007</v>
      </c>
      <c r="N110" t="e">
        <f>(graph_data!U110-graph_range!U$2)/(graph_range!U$3-graph_range!U$2)</f>
        <v>#N/A</v>
      </c>
      <c r="O110" t="e">
        <f>(graph_data!V110-graph_range!V$2)/(graph_range!V$3-graph_range!V$2)</f>
        <v>#N/A</v>
      </c>
      <c r="P110" t="e">
        <f>(graph_data!W110-graph_range!W$2)/(graph_range!W$3-graph_range!W$2)</f>
        <v>#N/A</v>
      </c>
      <c r="S110" t="e">
        <f>(graph_data!Z110-graph_range!Z$2)/(graph_range!Z$3-graph_range!Z$2)</f>
        <v>#N/A</v>
      </c>
      <c r="T110" t="e">
        <f>(graph_data!AA110-graph_range!AA$2)/(graph_range!AA$3-graph_range!AA$2)</f>
        <v>#N/A</v>
      </c>
      <c r="U110" t="e">
        <f>(graph_data!AB110-graph_range!AB$2)/(graph_range!AB$3-graph_range!AB$2)</f>
        <v>#N/A</v>
      </c>
      <c r="W110">
        <f>graph_data!AD110</f>
        <v>3</v>
      </c>
      <c r="X110" t="e">
        <f>(graph_data!AE110-graph_range!AE$2)/(graph_range!AE$3-graph_range!AE$2)</f>
        <v>#N/A</v>
      </c>
      <c r="Y110" t="e">
        <f>(graph_data!AF110-graph_range!AF$2)/(graph_range!AF$3-graph_range!AF$2)</f>
        <v>#N/A</v>
      </c>
    </row>
    <row r="111" spans="1:25" x14ac:dyDescent="0.25">
      <c r="A111">
        <f t="shared" si="5"/>
        <v>1.05</v>
      </c>
      <c r="B111">
        <f t="shared" si="5"/>
        <v>2.0499999999999998</v>
      </c>
      <c r="C111">
        <f t="shared" si="5"/>
        <v>3.05</v>
      </c>
      <c r="D111">
        <f t="shared" si="5"/>
        <v>0.05</v>
      </c>
      <c r="E111">
        <f t="shared" si="5"/>
        <v>0.05</v>
      </c>
      <c r="F111">
        <f t="shared" si="5"/>
        <v>4.05</v>
      </c>
      <c r="G111">
        <f t="shared" si="5"/>
        <v>5.05</v>
      </c>
      <c r="H111">
        <f t="shared" si="5"/>
        <v>6.05</v>
      </c>
      <c r="I111">
        <f t="shared" si="5"/>
        <v>0.05</v>
      </c>
      <c r="J111">
        <f t="shared" si="5"/>
        <v>0.05</v>
      </c>
      <c r="K111">
        <f t="shared" si="5"/>
        <v>7.05</v>
      </c>
      <c r="L111">
        <f t="shared" si="7"/>
        <v>8.0500000000000007</v>
      </c>
      <c r="N111">
        <f>(graph_data!U111-graph_range!U$2)/(graph_range!U$3-graph_range!U$2)</f>
        <v>0.45610298102981028</v>
      </c>
      <c r="O111">
        <f>(graph_data!V111-graph_range!V$2)/(graph_range!V$3-graph_range!V$2)</f>
        <v>0.21246128015615237</v>
      </c>
      <c r="P111">
        <f>(graph_data!W111-graph_range!W$2)/(graph_range!W$3-graph_range!W$2)</f>
        <v>0.27560690748776634</v>
      </c>
      <c r="S111">
        <f>(graph_data!Z111-graph_range!Z$2)/(graph_range!Z$3-graph_range!Z$2)</f>
        <v>0.21246128015614973</v>
      </c>
      <c r="T111">
        <f>(graph_data!AA111-graph_range!AA$2)/(graph_range!AA$3-graph_range!AA$2)</f>
        <v>0.6428571428571429</v>
      </c>
      <c r="U111">
        <f>(graph_data!AB111-graph_range!AB$2)/(graph_range!AB$3-graph_range!AB$2)</f>
        <v>0.64934300305008341</v>
      </c>
      <c r="W111">
        <f>graph_data!AD111</f>
        <v>3</v>
      </c>
      <c r="X111">
        <f>(graph_data!AE111-graph_range!AE$2)/(graph_range!AE$3-graph_range!AE$2)</f>
        <v>0.66127003895375036</v>
      </c>
      <c r="Y111">
        <f>(graph_data!AF111-graph_range!AF$2)/(graph_range!AF$3-graph_range!AF$2)</f>
        <v>0.19328713298815356</v>
      </c>
    </row>
    <row r="112" spans="1:25" x14ac:dyDescent="0.25">
      <c r="A112">
        <f t="shared" si="5"/>
        <v>1.05</v>
      </c>
      <c r="B112">
        <f t="shared" si="5"/>
        <v>2.0499999999999998</v>
      </c>
      <c r="C112">
        <f t="shared" si="5"/>
        <v>3.05</v>
      </c>
      <c r="D112">
        <f t="shared" si="5"/>
        <v>0.05</v>
      </c>
      <c r="E112">
        <f t="shared" si="5"/>
        <v>0.05</v>
      </c>
      <c r="F112">
        <f t="shared" si="5"/>
        <v>4.05</v>
      </c>
      <c r="G112">
        <f t="shared" si="5"/>
        <v>5.05</v>
      </c>
      <c r="H112">
        <f t="shared" si="5"/>
        <v>6.05</v>
      </c>
      <c r="I112">
        <f t="shared" si="5"/>
        <v>0.05</v>
      </c>
      <c r="J112">
        <f t="shared" si="5"/>
        <v>0.05</v>
      </c>
      <c r="K112">
        <f t="shared" si="5"/>
        <v>7.05</v>
      </c>
      <c r="L112">
        <f t="shared" si="7"/>
        <v>8.0500000000000007</v>
      </c>
      <c r="N112">
        <f>(graph_data!U112-graph_range!U$2)/(graph_range!U$3-graph_range!U$2)</f>
        <v>0.42935176151761517</v>
      </c>
      <c r="O112">
        <f>(graph_data!V112-graph_range!V$2)/(graph_range!V$3-graph_range!V$2)</f>
        <v>0.2846482328706883</v>
      </c>
      <c r="P112">
        <f>(graph_data!W112-graph_range!W$2)/(graph_range!W$3-graph_range!W$2)</f>
        <v>0.25002667080739105</v>
      </c>
      <c r="S112">
        <f>(graph_data!Z112-graph_range!Z$2)/(graph_range!Z$3-graph_range!Z$2)</f>
        <v>0.28464823287068713</v>
      </c>
      <c r="T112">
        <f>(graph_data!AA112-graph_range!AA$2)/(graph_range!AA$3-graph_range!AA$2)</f>
        <v>0.5714285714285714</v>
      </c>
      <c r="U112">
        <f>(graph_data!AB112-graph_range!AB$2)/(graph_range!AB$3-graph_range!AB$2)</f>
        <v>0.92057581312569892</v>
      </c>
      <c r="W112">
        <f>graph_data!AD112</f>
        <v>3</v>
      </c>
      <c r="X112">
        <f>(graph_data!AE112-graph_range!AE$2)/(graph_range!AE$3-graph_range!AE$2)</f>
        <v>0.80418126121231881</v>
      </c>
      <c r="Y112">
        <f>(graph_data!AF112-graph_range!AF$2)/(graph_range!AF$3-graph_range!AF$2)</f>
        <v>0.14474740098544533</v>
      </c>
    </row>
    <row r="113" spans="1:25" x14ac:dyDescent="0.25">
      <c r="A113">
        <f t="shared" si="5"/>
        <v>1.05</v>
      </c>
      <c r="B113">
        <f t="shared" si="5"/>
        <v>2.0499999999999998</v>
      </c>
      <c r="C113">
        <f t="shared" si="5"/>
        <v>3.05</v>
      </c>
      <c r="D113">
        <f t="shared" si="5"/>
        <v>0.05</v>
      </c>
      <c r="E113">
        <f t="shared" si="5"/>
        <v>0.05</v>
      </c>
      <c r="F113">
        <f t="shared" si="5"/>
        <v>4.05</v>
      </c>
      <c r="G113">
        <f t="shared" si="5"/>
        <v>5.05</v>
      </c>
      <c r="H113">
        <f t="shared" si="5"/>
        <v>6.05</v>
      </c>
      <c r="I113">
        <f t="shared" si="5"/>
        <v>0.05</v>
      </c>
      <c r="J113">
        <f t="shared" si="5"/>
        <v>0.05</v>
      </c>
      <c r="K113">
        <f t="shared" si="5"/>
        <v>7.05</v>
      </c>
      <c r="L113">
        <f t="shared" si="7"/>
        <v>8.0500000000000007</v>
      </c>
      <c r="N113">
        <f>(graph_data!U113-graph_range!U$2)/(graph_range!U$3-graph_range!U$2)</f>
        <v>0.37126504065040655</v>
      </c>
      <c r="O113">
        <f>(graph_data!V113-graph_range!V$2)/(graph_range!V$3-graph_range!V$2)</f>
        <v>0.20264051976206829</v>
      </c>
      <c r="P113">
        <f>(graph_data!W113-graph_range!W$2)/(graph_range!W$3-graph_range!W$2)</f>
        <v>0.16692406555824099</v>
      </c>
      <c r="S113">
        <f>(graph_data!Z113-graph_range!Z$2)/(graph_range!Z$3-graph_range!Z$2)</f>
        <v>0.20264051976206671</v>
      </c>
      <c r="T113">
        <f>(graph_data!AA113-graph_range!AA$2)/(graph_range!AA$3-graph_range!AA$2)</f>
        <v>0.7857142857142857</v>
      </c>
      <c r="U113">
        <f>(graph_data!AB113-graph_range!AB$2)/(graph_range!AB$3-graph_range!AB$2)</f>
        <v>0.84972153569189957</v>
      </c>
      <c r="W113">
        <f>graph_data!AD113</f>
        <v>3</v>
      </c>
      <c r="X113">
        <f>(graph_data!AE113-graph_range!AE$2)/(graph_range!AE$3-graph_range!AE$2)</f>
        <v>0.5596531627808029</v>
      </c>
      <c r="Y113">
        <f>(graph_data!AF113-graph_range!AF$2)/(graph_range!AF$3-graph_range!AF$2)</f>
        <v>0.11415207729021928</v>
      </c>
    </row>
    <row r="114" spans="1:25" x14ac:dyDescent="0.25">
      <c r="A114">
        <f t="shared" si="5"/>
        <v>1.05</v>
      </c>
      <c r="B114">
        <f t="shared" si="5"/>
        <v>2.0499999999999998</v>
      </c>
      <c r="C114">
        <f t="shared" si="5"/>
        <v>3.05</v>
      </c>
      <c r="D114">
        <f t="shared" si="5"/>
        <v>0.05</v>
      </c>
      <c r="E114">
        <f t="shared" si="5"/>
        <v>0.05</v>
      </c>
      <c r="F114">
        <f t="shared" si="5"/>
        <v>4.05</v>
      </c>
      <c r="G114">
        <f t="shared" si="5"/>
        <v>5.05</v>
      </c>
      <c r="H114">
        <f t="shared" si="5"/>
        <v>6.05</v>
      </c>
      <c r="I114">
        <f t="shared" si="5"/>
        <v>0.05</v>
      </c>
      <c r="J114">
        <f t="shared" si="5"/>
        <v>0.05</v>
      </c>
      <c r="K114">
        <f t="shared" si="5"/>
        <v>7.05</v>
      </c>
      <c r="L114">
        <f t="shared" si="7"/>
        <v>8.0500000000000007</v>
      </c>
      <c r="N114">
        <f>(graph_data!U114-graph_range!U$2)/(graph_range!U$3-graph_range!U$2)</f>
        <v>0.40503089430894312</v>
      </c>
      <c r="O114">
        <f>(graph_data!V114-graph_range!V$2)/(graph_range!V$3-graph_range!V$2)</f>
        <v>0.29549605761589914</v>
      </c>
      <c r="P114">
        <f>(graph_data!W114-graph_range!W$2)/(graph_range!W$3-graph_range!W$2)</f>
        <v>0.28649446168815323</v>
      </c>
      <c r="S114">
        <f>(graph_data!Z114-graph_range!Z$2)/(graph_range!Z$3-graph_range!Z$2)</f>
        <v>0.2954960576158987</v>
      </c>
      <c r="T114">
        <f>(graph_data!AA114-graph_range!AA$2)/(graph_range!AA$3-graph_range!AA$2)</f>
        <v>0.5714285714285714</v>
      </c>
      <c r="U114">
        <f>(graph_data!AB114-graph_range!AB$2)/(graph_range!AB$3-graph_range!AB$2)</f>
        <v>0.84537339708248049</v>
      </c>
      <c r="W114">
        <f>graph_data!AD114</f>
        <v>3</v>
      </c>
      <c r="X114">
        <f>(graph_data!AE114-graph_range!AE$2)/(graph_range!AE$3-graph_range!AE$2)</f>
        <v>0.81393023949520982</v>
      </c>
      <c r="Y114">
        <f>(graph_data!AF114-graph_range!AF$2)/(graph_range!AF$3-graph_range!AF$2)</f>
        <v>0.16525647841602117</v>
      </c>
    </row>
    <row r="115" spans="1:25" x14ac:dyDescent="0.25">
      <c r="A115">
        <f t="shared" si="5"/>
        <v>1.05</v>
      </c>
      <c r="B115">
        <f t="shared" si="5"/>
        <v>2.0499999999999998</v>
      </c>
      <c r="C115">
        <f t="shared" si="5"/>
        <v>3.05</v>
      </c>
      <c r="D115">
        <f t="shared" si="5"/>
        <v>0.05</v>
      </c>
      <c r="E115">
        <f t="shared" si="5"/>
        <v>0.05</v>
      </c>
      <c r="F115">
        <f t="shared" si="5"/>
        <v>4.05</v>
      </c>
      <c r="G115">
        <f t="shared" si="5"/>
        <v>5.05</v>
      </c>
      <c r="H115">
        <f t="shared" si="5"/>
        <v>6.05</v>
      </c>
      <c r="I115">
        <f t="shared" si="5"/>
        <v>0.05</v>
      </c>
      <c r="J115">
        <f t="shared" si="5"/>
        <v>0.05</v>
      </c>
      <c r="K115">
        <f t="shared" si="5"/>
        <v>7.05</v>
      </c>
      <c r="L115">
        <f t="shared" si="7"/>
        <v>8.0500000000000007</v>
      </c>
      <c r="N115">
        <f>(graph_data!U115-graph_range!U$2)/(graph_range!U$3-graph_range!U$2)</f>
        <v>0.39305582655826554</v>
      </c>
      <c r="O115">
        <f>(graph_data!V115-graph_range!V$2)/(graph_range!V$3-graph_range!V$2)</f>
        <v>0.2337258519330026</v>
      </c>
      <c r="P115">
        <f>(graph_data!W115-graph_range!W$2)/(graph_range!W$3-graph_range!W$2)</f>
        <v>0.18120342034253695</v>
      </c>
      <c r="S115">
        <f>(graph_data!Z115-graph_range!Z$2)/(graph_range!Z$3-graph_range!Z$2)</f>
        <v>0.2337258519329998</v>
      </c>
      <c r="T115">
        <f>(graph_data!AA115-graph_range!AA$2)/(graph_range!AA$3-graph_range!AA$2)</f>
        <v>0.6428571428571429</v>
      </c>
      <c r="U115">
        <f>(graph_data!AB115-graph_range!AB$2)/(graph_range!AB$3-graph_range!AB$2)</f>
        <v>1</v>
      </c>
      <c r="W115">
        <f>graph_data!AD115</f>
        <v>3</v>
      </c>
      <c r="X115">
        <f>(graph_data!AE115-graph_range!AE$2)/(graph_range!AE$3-graph_range!AE$2)</f>
        <v>0.7235943380108717</v>
      </c>
      <c r="Y115">
        <f>(graph_data!AF115-graph_range!AF$2)/(graph_range!AF$3-graph_range!AF$2)</f>
        <v>0.11405763290779862</v>
      </c>
    </row>
    <row r="116" spans="1:25" x14ac:dyDescent="0.25">
      <c r="A116">
        <f t="shared" si="5"/>
        <v>1.05</v>
      </c>
      <c r="B116">
        <f t="shared" si="5"/>
        <v>2.0499999999999998</v>
      </c>
      <c r="C116">
        <f t="shared" si="5"/>
        <v>3.05</v>
      </c>
      <c r="D116">
        <f t="shared" si="5"/>
        <v>0.05</v>
      </c>
      <c r="E116">
        <f t="shared" si="5"/>
        <v>0.05</v>
      </c>
      <c r="F116">
        <f t="shared" si="5"/>
        <v>4.05</v>
      </c>
      <c r="G116">
        <f t="shared" si="5"/>
        <v>5.05</v>
      </c>
      <c r="H116">
        <f t="shared" si="5"/>
        <v>6.05</v>
      </c>
      <c r="I116">
        <f t="shared" si="5"/>
        <v>0.05</v>
      </c>
      <c r="J116">
        <f t="shared" si="5"/>
        <v>0.05</v>
      </c>
      <c r="K116">
        <f t="shared" si="5"/>
        <v>7.05</v>
      </c>
      <c r="L116">
        <f t="shared" si="7"/>
        <v>8.0500000000000007</v>
      </c>
      <c r="N116">
        <f>(graph_data!U116-graph_range!U$2)/(graph_range!U$3-graph_range!U$2)</f>
        <v>0.44770298102981027</v>
      </c>
      <c r="O116">
        <f>(graph_data!V116-graph_range!V$2)/(graph_range!V$3-graph_range!V$2)</f>
        <v>0.16228557017983752</v>
      </c>
      <c r="P116">
        <f>(graph_data!W116-graph_range!W$2)/(graph_range!W$3-graph_range!W$2)</f>
        <v>0.15256092813292618</v>
      </c>
      <c r="S116">
        <f>(graph_data!Z116-graph_range!Z$2)/(graph_range!Z$3-graph_range!Z$2)</f>
        <v>0.16228557017983761</v>
      </c>
      <c r="T116">
        <f>(graph_data!AA116-graph_range!AA$2)/(graph_range!AA$3-graph_range!AA$2)</f>
        <v>0.7142857142857143</v>
      </c>
      <c r="U116">
        <f>(graph_data!AB116-graph_range!AB$2)/(graph_range!AB$3-graph_range!AB$2)</f>
        <v>0.88559775559955334</v>
      </c>
      <c r="W116">
        <f>graph_data!AD116</f>
        <v>3</v>
      </c>
      <c r="X116">
        <f>(graph_data!AE116-graph_range!AE$2)/(graph_range!AE$3-graph_range!AE$2)</f>
        <v>0.61791711820507211</v>
      </c>
      <c r="Y116">
        <f>(graph_data!AF116-graph_range!AF$2)/(graph_range!AF$3-graph_range!AF$2)</f>
        <v>0.11775166290884993</v>
      </c>
    </row>
    <row r="117" spans="1:25" x14ac:dyDescent="0.25">
      <c r="A117">
        <f t="shared" si="5"/>
        <v>1.05</v>
      </c>
      <c r="B117">
        <f t="shared" si="5"/>
        <v>2.0499999999999998</v>
      </c>
      <c r="C117">
        <f t="shared" si="5"/>
        <v>3.05</v>
      </c>
      <c r="D117">
        <f t="shared" si="5"/>
        <v>0.05</v>
      </c>
      <c r="E117">
        <f t="shared" si="5"/>
        <v>0.05</v>
      </c>
      <c r="F117">
        <f t="shared" si="5"/>
        <v>4.05</v>
      </c>
      <c r="G117">
        <f t="shared" si="5"/>
        <v>5.05</v>
      </c>
      <c r="H117">
        <f t="shared" si="5"/>
        <v>6.05</v>
      </c>
      <c r="I117">
        <f t="shared" si="5"/>
        <v>0.05</v>
      </c>
      <c r="J117">
        <f t="shared" si="5"/>
        <v>0.05</v>
      </c>
      <c r="K117">
        <f t="shared" si="5"/>
        <v>7.05</v>
      </c>
      <c r="L117">
        <f t="shared" si="7"/>
        <v>8.0500000000000007</v>
      </c>
      <c r="N117">
        <f>(graph_data!U117-graph_range!U$2)/(graph_range!U$3-graph_range!U$2)</f>
        <v>0.48394363143631436</v>
      </c>
      <c r="O117">
        <f>(graph_data!V117-graph_range!V$2)/(graph_range!V$3-graph_range!V$2)</f>
        <v>3.8717432898462384E-2</v>
      </c>
      <c r="P117">
        <f>(graph_data!W117-graph_range!W$2)/(graph_range!W$3-graph_range!W$2)</f>
        <v>0.11376258345449233</v>
      </c>
      <c r="S117">
        <f>(graph_data!Z117-graph_range!Z$2)/(graph_range!Z$3-graph_range!Z$2)</f>
        <v>3.8717432898461641E-2</v>
      </c>
      <c r="T117">
        <f>(graph_data!AA117-graph_range!AA$2)/(graph_range!AA$3-graph_range!AA$2)</f>
        <v>0.9285714285714286</v>
      </c>
      <c r="U117">
        <f>(graph_data!AB117-graph_range!AB$2)/(graph_range!AB$3-graph_range!AB$2)</f>
        <v>0.61589222921049624</v>
      </c>
      <c r="W117">
        <f>graph_data!AD117</f>
        <v>3</v>
      </c>
      <c r="X117">
        <f>(graph_data!AE117-graph_range!AE$2)/(graph_range!AE$3-graph_range!AE$2)</f>
        <v>0.39838801186482614</v>
      </c>
      <c r="Y117">
        <f>(graph_data!AF117-graph_range!AF$2)/(graph_range!AF$3-graph_range!AF$2)</f>
        <v>0.1385373558039078</v>
      </c>
    </row>
    <row r="118" spans="1:25" x14ac:dyDescent="0.25">
      <c r="A118">
        <f t="shared" si="5"/>
        <v>1.05</v>
      </c>
      <c r="B118">
        <f t="shared" si="5"/>
        <v>2.0499999999999998</v>
      </c>
      <c r="C118">
        <f t="shared" si="5"/>
        <v>3.05</v>
      </c>
      <c r="D118">
        <f t="shared" si="5"/>
        <v>0.05</v>
      </c>
      <c r="E118">
        <f t="shared" si="5"/>
        <v>0.05</v>
      </c>
      <c r="F118">
        <f t="shared" si="5"/>
        <v>4.05</v>
      </c>
      <c r="G118">
        <f t="shared" si="5"/>
        <v>5.05</v>
      </c>
      <c r="H118">
        <f t="shared" si="5"/>
        <v>6.05</v>
      </c>
      <c r="I118">
        <f t="shared" si="5"/>
        <v>0.05</v>
      </c>
      <c r="J118">
        <f t="shared" si="5"/>
        <v>0.05</v>
      </c>
      <c r="K118">
        <f t="shared" si="5"/>
        <v>7.05</v>
      </c>
      <c r="L118">
        <f t="shared" si="7"/>
        <v>8.0500000000000007</v>
      </c>
      <c r="N118">
        <f>(graph_data!U118-graph_range!U$2)/(graph_range!U$3-graph_range!U$2)</f>
        <v>0.39118265582655831</v>
      </c>
      <c r="O118">
        <f>(graph_data!V118-graph_range!V$2)/(graph_range!V$3-graph_range!V$2)</f>
        <v>0</v>
      </c>
      <c r="P118">
        <f>(graph_data!W118-graph_range!W$2)/(graph_range!W$3-graph_range!W$2)</f>
        <v>0.11571192623552866</v>
      </c>
      <c r="S118">
        <f>(graph_data!Z118-graph_range!Z$2)/(graph_range!Z$3-graph_range!Z$2)</f>
        <v>0</v>
      </c>
      <c r="T118">
        <f>(graph_data!AA118-graph_range!AA$2)/(graph_range!AA$3-graph_range!AA$2)</f>
        <v>1</v>
      </c>
      <c r="U118">
        <f>(graph_data!AB118-graph_range!AB$2)/(graph_range!AB$3-graph_range!AB$2)</f>
        <v>0.62681285108671536</v>
      </c>
      <c r="W118">
        <f>graph_data!AD118</f>
        <v>3</v>
      </c>
      <c r="X118">
        <f>(graph_data!AE118-graph_range!AE$2)/(graph_range!AE$3-graph_range!AE$2)</f>
        <v>0.51338095693311903</v>
      </c>
      <c r="Y118">
        <f>(graph_data!AF118-graph_range!AF$2)/(graph_range!AF$3-graph_range!AF$2)</f>
        <v>0.16434460355581457</v>
      </c>
    </row>
    <row r="119" spans="1:25" x14ac:dyDescent="0.25">
      <c r="A119">
        <f t="shared" si="5"/>
        <v>1.05</v>
      </c>
      <c r="B119">
        <f t="shared" si="5"/>
        <v>2.0499999999999998</v>
      </c>
      <c r="C119">
        <f t="shared" si="5"/>
        <v>3.05</v>
      </c>
      <c r="D119">
        <f t="shared" si="5"/>
        <v>0.05</v>
      </c>
      <c r="E119">
        <f t="shared" si="5"/>
        <v>0.05</v>
      </c>
      <c r="F119">
        <f t="shared" si="5"/>
        <v>4.05</v>
      </c>
      <c r="G119">
        <f t="shared" si="5"/>
        <v>5.05</v>
      </c>
      <c r="H119">
        <f t="shared" si="5"/>
        <v>6.05</v>
      </c>
      <c r="I119">
        <f t="shared" si="5"/>
        <v>0.05</v>
      </c>
      <c r="J119">
        <f t="shared" si="5"/>
        <v>0.05</v>
      </c>
      <c r="K119">
        <f t="shared" si="5"/>
        <v>7.05</v>
      </c>
      <c r="L119">
        <f t="shared" si="7"/>
        <v>8.0500000000000007</v>
      </c>
      <c r="N119">
        <f>(graph_data!U119-graph_range!U$2)/(graph_range!U$3-graph_range!U$2)</f>
        <v>0.46329539295392946</v>
      </c>
      <c r="O119">
        <f>(graph_data!V119-graph_range!V$2)/(graph_range!V$3-graph_range!V$2)</f>
        <v>0.32692711989939599</v>
      </c>
      <c r="P119">
        <f>(graph_data!W119-graph_range!W$2)/(graph_range!W$3-graph_range!W$2)</f>
        <v>0.33713129354253679</v>
      </c>
      <c r="S119">
        <f>(graph_data!Z119-graph_range!Z$2)/(graph_range!Z$3-graph_range!Z$2)</f>
        <v>0.32692711989939377</v>
      </c>
      <c r="T119">
        <f>(graph_data!AA119-graph_range!AA$2)/(graph_range!AA$3-graph_range!AA$2)</f>
        <v>0.5</v>
      </c>
      <c r="U119">
        <f>(graph_data!AB119-graph_range!AB$2)/(graph_range!AB$3-graph_range!AB$2)</f>
        <v>0.81925467197302637</v>
      </c>
      <c r="W119">
        <f>graph_data!AD119</f>
        <v>3</v>
      </c>
      <c r="X119">
        <f>(graph_data!AE119-graph_range!AE$2)/(graph_range!AE$3-graph_range!AE$2)</f>
        <v>0.88098363762804277</v>
      </c>
      <c r="Y119">
        <f>(graph_data!AF119-graph_range!AF$2)/(graph_range!AF$3-graph_range!AF$2)</f>
        <v>0.18603981009686638</v>
      </c>
    </row>
    <row r="120" spans="1:25" x14ac:dyDescent="0.25">
      <c r="A120">
        <f t="shared" si="5"/>
        <v>1.05</v>
      </c>
      <c r="B120">
        <f t="shared" si="5"/>
        <v>2.0499999999999998</v>
      </c>
      <c r="C120">
        <f t="shared" si="5"/>
        <v>3.05</v>
      </c>
      <c r="D120">
        <f t="shared" si="5"/>
        <v>0.05</v>
      </c>
      <c r="E120">
        <f t="shared" si="5"/>
        <v>0.05</v>
      </c>
      <c r="F120">
        <f t="shared" si="5"/>
        <v>4.05</v>
      </c>
      <c r="G120">
        <f t="shared" si="5"/>
        <v>5.05</v>
      </c>
      <c r="H120">
        <f t="shared" si="5"/>
        <v>6.05</v>
      </c>
      <c r="I120">
        <f t="shared" si="5"/>
        <v>0.05</v>
      </c>
      <c r="J120">
        <f t="shared" si="5"/>
        <v>0.05</v>
      </c>
      <c r="K120">
        <f t="shared" si="5"/>
        <v>7.05</v>
      </c>
      <c r="L120">
        <f t="shared" si="7"/>
        <v>8.0500000000000007</v>
      </c>
      <c r="N120">
        <f>(graph_data!U120-graph_range!U$2)/(graph_range!U$3-graph_range!U$2)</f>
        <v>0.44420813008130078</v>
      </c>
      <c r="O120">
        <f>(graph_data!V120-graph_range!V$2)/(graph_range!V$3-graph_range!V$2)</f>
        <v>0.22252144780391461</v>
      </c>
      <c r="P120">
        <f>(graph_data!W120-graph_range!W$2)/(graph_range!W$3-graph_range!W$2)</f>
        <v>0.27181993211371874</v>
      </c>
      <c r="S120">
        <f>(graph_data!Z120-graph_range!Z$2)/(graph_range!Z$3-graph_range!Z$2)</f>
        <v>0.22252144780391347</v>
      </c>
      <c r="T120">
        <f>(graph_data!AA120-graph_range!AA$2)/(graph_range!AA$3-graph_range!AA$2)</f>
        <v>0.6428571428571429</v>
      </c>
      <c r="U120">
        <f>(graph_data!AB120-graph_range!AB$2)/(graph_range!AB$3-graph_range!AB$2)</f>
        <v>0.67121957542872313</v>
      </c>
      <c r="W120">
        <f>graph_data!AD120</f>
        <v>3</v>
      </c>
      <c r="X120">
        <f>(graph_data!AE120-graph_range!AE$2)/(graph_range!AE$3-graph_range!AE$2)</f>
        <v>0.66240472229422664</v>
      </c>
      <c r="Y120">
        <f>(graph_data!AF120-graph_range!AF$2)/(graph_range!AF$3-graph_range!AF$2)</f>
        <v>0.1856691614864846</v>
      </c>
    </row>
    <row r="121" spans="1:25" x14ac:dyDescent="0.25">
      <c r="A121">
        <f t="shared" si="5"/>
        <v>1.05</v>
      </c>
      <c r="B121">
        <f t="shared" si="5"/>
        <v>2.0499999999999998</v>
      </c>
      <c r="C121">
        <f t="shared" si="5"/>
        <v>3.05</v>
      </c>
      <c r="D121">
        <f t="shared" si="5"/>
        <v>0.05</v>
      </c>
      <c r="E121">
        <f t="shared" si="5"/>
        <v>0.05</v>
      </c>
      <c r="F121">
        <f t="shared" si="5"/>
        <v>4.05</v>
      </c>
      <c r="G121">
        <f t="shared" si="5"/>
        <v>5.05</v>
      </c>
      <c r="H121">
        <f t="shared" si="5"/>
        <v>6.05</v>
      </c>
      <c r="I121">
        <f t="shared" si="5"/>
        <v>0.05</v>
      </c>
      <c r="J121">
        <f t="shared" si="5"/>
        <v>0.05</v>
      </c>
      <c r="K121">
        <f t="shared" si="5"/>
        <v>7.05</v>
      </c>
      <c r="L121">
        <f t="shared" si="7"/>
        <v>8.0500000000000007</v>
      </c>
      <c r="N121">
        <f>(graph_data!U121-graph_range!U$2)/(graph_range!U$3-graph_range!U$2)</f>
        <v>0.3597322493224932</v>
      </c>
      <c r="O121">
        <f>(graph_data!V121-graph_range!V$2)/(graph_range!V$3-graph_range!V$2)</f>
        <v>0.18339077821582045</v>
      </c>
      <c r="P121">
        <f>(graph_data!W121-graph_range!W$2)/(graph_range!W$3-graph_range!W$2)</f>
        <v>0.16005528537205355</v>
      </c>
      <c r="S121">
        <f>(graph_data!Z121-graph_range!Z$2)/(graph_range!Z$3-graph_range!Z$2)</f>
        <v>0.18339077821582014</v>
      </c>
      <c r="T121">
        <f>(graph_data!AA121-graph_range!AA$2)/(graph_range!AA$3-graph_range!AA$2)</f>
        <v>0.7857142857142857</v>
      </c>
      <c r="U121">
        <f>(graph_data!AB121-graph_range!AB$2)/(graph_range!AB$3-graph_range!AB$2)</f>
        <v>0.84801217370107174</v>
      </c>
      <c r="W121">
        <f>graph_data!AD121</f>
        <v>3</v>
      </c>
      <c r="X121">
        <f>(graph_data!AE121-graph_range!AE$2)/(graph_range!AE$3-graph_range!AE$2)</f>
        <v>0.56611629217601978</v>
      </c>
      <c r="Y121">
        <f>(graph_data!AF121-graph_range!AF$2)/(graph_range!AF$3-graph_range!AF$2)</f>
        <v>0.11579189103100974</v>
      </c>
    </row>
    <row r="122" spans="1:25" x14ac:dyDescent="0.25">
      <c r="A122">
        <f t="shared" si="5"/>
        <v>1.05</v>
      </c>
      <c r="B122">
        <f t="shared" si="5"/>
        <v>2.0499999999999998</v>
      </c>
      <c r="C122">
        <f t="shared" si="5"/>
        <v>3.05</v>
      </c>
      <c r="D122">
        <f t="shared" si="5"/>
        <v>0.05</v>
      </c>
      <c r="E122">
        <f t="shared" si="5"/>
        <v>0.05</v>
      </c>
      <c r="F122">
        <f t="shared" si="5"/>
        <v>4.05</v>
      </c>
      <c r="G122">
        <f t="shared" si="5"/>
        <v>5.05</v>
      </c>
      <c r="H122">
        <f t="shared" si="5"/>
        <v>6.05</v>
      </c>
      <c r="I122">
        <f t="shared" si="5"/>
        <v>0.05</v>
      </c>
      <c r="J122">
        <f t="shared" si="5"/>
        <v>0.05</v>
      </c>
      <c r="K122">
        <f t="shared" si="5"/>
        <v>7.05</v>
      </c>
      <c r="L122">
        <f t="shared" si="7"/>
        <v>8.0500000000000007</v>
      </c>
      <c r="N122">
        <f>(graph_data!U122-graph_range!U$2)/(graph_range!U$3-graph_range!U$2)</f>
        <v>0.44953387533875333</v>
      </c>
      <c r="O122">
        <f>(graph_data!V122-graph_range!V$2)/(graph_range!V$3-graph_range!V$2)</f>
        <v>0.1810256370692116</v>
      </c>
      <c r="P122">
        <f>(graph_data!W122-graph_range!W$2)/(graph_range!W$3-graph_range!W$2)</f>
        <v>0.16373473969012711</v>
      </c>
      <c r="S122">
        <f>(graph_data!Z122-graph_range!Z$2)/(graph_range!Z$3-graph_range!Z$2)</f>
        <v>0.18102563706921176</v>
      </c>
      <c r="T122">
        <f>(graph_data!AA122-graph_range!AA$2)/(graph_range!AA$3-graph_range!AA$2)</f>
        <v>0.7142857142857143</v>
      </c>
      <c r="U122">
        <f>(graph_data!AB122-graph_range!AB$2)/(graph_range!AB$3-graph_range!AB$2)</f>
        <v>0.87039421719305643</v>
      </c>
      <c r="W122">
        <f>graph_data!AD122</f>
        <v>3</v>
      </c>
      <c r="X122">
        <f>(graph_data!AE122-graph_range!AE$2)/(graph_range!AE$3-graph_range!AE$2)</f>
        <v>0.61074689198107457</v>
      </c>
      <c r="Y122">
        <f>(graph_data!AF122-graph_range!AF$2)/(graph_range!AF$3-graph_range!AF$2)</f>
        <v>0.11962821098085695</v>
      </c>
    </row>
    <row r="123" spans="1:25" x14ac:dyDescent="0.25">
      <c r="A123">
        <f t="shared" si="5"/>
        <v>1.05</v>
      </c>
      <c r="B123">
        <f t="shared" si="5"/>
        <v>2.0499999999999998</v>
      </c>
      <c r="C123">
        <f t="shared" si="5"/>
        <v>3.05</v>
      </c>
      <c r="D123">
        <f t="shared" si="5"/>
        <v>0.05</v>
      </c>
      <c r="E123">
        <f t="shared" si="5"/>
        <v>0.05</v>
      </c>
      <c r="F123">
        <f t="shared" si="5"/>
        <v>4.05</v>
      </c>
      <c r="G123">
        <f t="shared" si="5"/>
        <v>5.05</v>
      </c>
      <c r="H123">
        <f t="shared" si="5"/>
        <v>6.05</v>
      </c>
      <c r="I123">
        <f t="shared" si="5"/>
        <v>0.05</v>
      </c>
      <c r="J123">
        <f t="shared" si="5"/>
        <v>0.05</v>
      </c>
      <c r="K123">
        <f t="shared" si="5"/>
        <v>7.05</v>
      </c>
      <c r="L123">
        <f t="shared" si="7"/>
        <v>8.0500000000000007</v>
      </c>
      <c r="N123">
        <f>(graph_data!U123-graph_range!U$2)/(graph_range!U$3-graph_range!U$2)</f>
        <v>0.45543631436314358</v>
      </c>
      <c r="O123">
        <f>(graph_data!V123-graph_range!V$2)/(graph_range!V$3-graph_range!V$2)</f>
        <v>0.24861008779712543</v>
      </c>
      <c r="P123">
        <f>(graph_data!W123-graph_range!W$2)/(graph_range!W$3-graph_range!W$2)</f>
        <v>0.20567353702941391</v>
      </c>
      <c r="S123">
        <f>(graph_data!Z123-graph_range!Z$2)/(graph_range!Z$3-graph_range!Z$2)</f>
        <v>0.24861008779712199</v>
      </c>
      <c r="T123">
        <f>(graph_data!AA123-graph_range!AA$2)/(graph_range!AA$3-graph_range!AA$2)</f>
        <v>0.6428571428571429</v>
      </c>
      <c r="U123">
        <f>(graph_data!AB123-graph_range!AB$2)/(graph_range!AB$3-graph_range!AB$2)</f>
        <v>0.84917665957240684</v>
      </c>
      <c r="W123">
        <f>graph_data!AD123</f>
        <v>3</v>
      </c>
      <c r="X123">
        <f>(graph_data!AE123-graph_range!AE$2)/(graph_range!AE$3-graph_range!AE$2)</f>
        <v>0.62268234834535785</v>
      </c>
      <c r="Y123">
        <f>(graph_data!AF123-graph_range!AF$2)/(graph_range!AF$3-graph_range!AF$2)</f>
        <v>0.12665606308805646</v>
      </c>
    </row>
    <row r="124" spans="1:25" x14ac:dyDescent="0.25">
      <c r="A124">
        <f t="shared" ref="A124:K148" si="8">A$2+($W124-2.5)/10</f>
        <v>1.05</v>
      </c>
      <c r="B124">
        <f t="shared" si="8"/>
        <v>2.0499999999999998</v>
      </c>
      <c r="C124">
        <f t="shared" si="8"/>
        <v>3.05</v>
      </c>
      <c r="D124">
        <f t="shared" si="8"/>
        <v>0.05</v>
      </c>
      <c r="E124">
        <f t="shared" si="8"/>
        <v>0.05</v>
      </c>
      <c r="F124">
        <f t="shared" si="8"/>
        <v>4.05</v>
      </c>
      <c r="G124">
        <f t="shared" si="8"/>
        <v>5.05</v>
      </c>
      <c r="H124">
        <f t="shared" si="8"/>
        <v>6.05</v>
      </c>
      <c r="I124">
        <f t="shared" si="8"/>
        <v>0.05</v>
      </c>
      <c r="J124">
        <f t="shared" si="8"/>
        <v>0.05</v>
      </c>
      <c r="K124">
        <f t="shared" si="8"/>
        <v>7.05</v>
      </c>
      <c r="L124">
        <f t="shared" si="7"/>
        <v>8.0500000000000007</v>
      </c>
      <c r="N124">
        <f>(graph_data!U124-graph_range!U$2)/(graph_range!U$3-graph_range!U$2)</f>
        <v>0.40937886178861788</v>
      </c>
      <c r="O124">
        <f>(graph_data!V124-graph_range!V$2)/(graph_range!V$3-graph_range!V$2)</f>
        <v>4.4178473888456027E-2</v>
      </c>
      <c r="P124">
        <f>(graph_data!W124-graph_range!W$2)/(graph_range!W$3-graph_range!W$2)</f>
        <v>0.1093234998578488</v>
      </c>
      <c r="S124">
        <f>(graph_data!Z124-graph_range!Z$2)/(graph_range!Z$3-graph_range!Z$2)</f>
        <v>4.4178473888452134E-2</v>
      </c>
      <c r="T124">
        <f>(graph_data!AA124-graph_range!AA$2)/(graph_range!AA$3-graph_range!AA$2)</f>
        <v>0.9285714285714286</v>
      </c>
      <c r="U124">
        <f>(graph_data!AB124-graph_range!AB$2)/(graph_range!AB$3-graph_range!AB$2)</f>
        <v>0.72927130224441405</v>
      </c>
      <c r="W124">
        <f>graph_data!AD124</f>
        <v>3</v>
      </c>
      <c r="X124">
        <f>(graph_data!AE124-graph_range!AE$2)/(graph_range!AE$3-graph_range!AE$2)</f>
        <v>0.50253624662895835</v>
      </c>
      <c r="Y124">
        <f>(graph_data!AF124-graph_range!AF$2)/(graph_range!AF$3-graph_range!AF$2)</f>
        <v>0.13087434315197333</v>
      </c>
    </row>
    <row r="125" spans="1:25" x14ac:dyDescent="0.25">
      <c r="A125">
        <f t="shared" si="8"/>
        <v>1.05</v>
      </c>
      <c r="B125">
        <f t="shared" si="8"/>
        <v>2.0499999999999998</v>
      </c>
      <c r="C125">
        <f t="shared" si="8"/>
        <v>3.05</v>
      </c>
      <c r="D125">
        <f t="shared" si="8"/>
        <v>0.05</v>
      </c>
      <c r="E125">
        <f t="shared" si="8"/>
        <v>0.05</v>
      </c>
      <c r="F125">
        <f t="shared" si="8"/>
        <v>4.05</v>
      </c>
      <c r="G125">
        <f t="shared" si="8"/>
        <v>5.05</v>
      </c>
      <c r="H125">
        <f t="shared" si="8"/>
        <v>6.05</v>
      </c>
      <c r="I125">
        <f t="shared" si="8"/>
        <v>0.05</v>
      </c>
      <c r="J125">
        <f t="shared" si="8"/>
        <v>0.05</v>
      </c>
      <c r="K125">
        <f t="shared" si="8"/>
        <v>7.05</v>
      </c>
      <c r="L125">
        <f t="shared" si="7"/>
        <v>8.0500000000000007</v>
      </c>
      <c r="N125">
        <f>(graph_data!U125-graph_range!U$2)/(graph_range!U$3-graph_range!U$2)</f>
        <v>0.4992878048780488</v>
      </c>
      <c r="O125">
        <f>(graph_data!V125-graph_range!V$2)/(graph_range!V$3-graph_range!V$2)</f>
        <v>3.1889865912650361E-2</v>
      </c>
      <c r="P125">
        <f>(graph_data!W125-graph_range!W$2)/(graph_range!W$3-graph_range!W$2)</f>
        <v>0.15486913989299278</v>
      </c>
      <c r="S125">
        <f>(graph_data!Z125-graph_range!Z$2)/(graph_range!Z$3-graph_range!Z$2)</f>
        <v>3.188986591265032E-2</v>
      </c>
      <c r="T125">
        <f>(graph_data!AA125-graph_range!AA$2)/(graph_range!AA$3-graph_range!AA$2)</f>
        <v>0.9285714285714286</v>
      </c>
      <c r="U125">
        <f>(graph_data!AB125-graph_range!AB$2)/(graph_range!AB$3-graph_range!AB$2)</f>
        <v>0.51471783773589164</v>
      </c>
      <c r="W125">
        <f>graph_data!AD125</f>
        <v>3</v>
      </c>
      <c r="X125">
        <f>(graph_data!AE125-graph_range!AE$2)/(graph_range!AE$3-graph_range!AE$2)</f>
        <v>0.43778106081587637</v>
      </c>
      <c r="Y125">
        <f>(graph_data!AF125-graph_range!AF$2)/(graph_range!AF$3-graph_range!AF$2)</f>
        <v>0.18701534564825928</v>
      </c>
    </row>
    <row r="126" spans="1:25" x14ac:dyDescent="0.25">
      <c r="A126">
        <f t="shared" si="8"/>
        <v>1.05</v>
      </c>
      <c r="B126">
        <f t="shared" si="8"/>
        <v>2.0499999999999998</v>
      </c>
      <c r="C126">
        <f t="shared" si="8"/>
        <v>3.05</v>
      </c>
      <c r="D126">
        <f t="shared" si="8"/>
        <v>0.05</v>
      </c>
      <c r="E126">
        <f t="shared" si="8"/>
        <v>0.05</v>
      </c>
      <c r="F126">
        <f t="shared" si="8"/>
        <v>4.05</v>
      </c>
      <c r="G126">
        <f t="shared" si="8"/>
        <v>5.05</v>
      </c>
      <c r="H126">
        <f t="shared" si="8"/>
        <v>6.05</v>
      </c>
      <c r="I126">
        <f t="shared" si="8"/>
        <v>0.05</v>
      </c>
      <c r="J126">
        <f t="shared" si="8"/>
        <v>0.05</v>
      </c>
      <c r="K126">
        <f t="shared" si="8"/>
        <v>7.05</v>
      </c>
      <c r="L126">
        <f t="shared" si="7"/>
        <v>8.0500000000000007</v>
      </c>
      <c r="N126">
        <f>(graph_data!U126-graph_range!U$2)/(graph_range!U$3-graph_range!U$2)</f>
        <v>0.46546341463414626</v>
      </c>
      <c r="O126">
        <f>(graph_data!V126-graph_range!V$2)/(graph_range!V$3-graph_range!V$2)</f>
        <v>0.12489343604619767</v>
      </c>
      <c r="P126">
        <f>(graph_data!W126-graph_range!W$2)/(graph_range!W$3-graph_range!W$2)</f>
        <v>0.12645146443678237</v>
      </c>
      <c r="S126">
        <f>(graph_data!Z126-graph_range!Z$2)/(graph_range!Z$3-graph_range!Z$2)</f>
        <v>0.12489343604619518</v>
      </c>
      <c r="T126">
        <f>(graph_data!AA126-graph_range!AA$2)/(graph_range!AA$3-graph_range!AA$2)</f>
        <v>0.7857142857142857</v>
      </c>
      <c r="U126">
        <f>(graph_data!AB126-graph_range!AB$2)/(graph_range!AB$3-graph_range!AB$2)</f>
        <v>0.79678023053559144</v>
      </c>
      <c r="W126">
        <f>graph_data!AD126</f>
        <v>3</v>
      </c>
      <c r="X126">
        <f>(graph_data!AE126-graph_range!AE$2)/(graph_range!AE$3-graph_range!AE$2)</f>
        <v>0.48269030545042269</v>
      </c>
      <c r="Y126">
        <f>(graph_data!AF126-graph_range!AF$2)/(graph_range!AF$3-graph_range!AF$2)</f>
        <v>0.110205531113255</v>
      </c>
    </row>
    <row r="127" spans="1:25" x14ac:dyDescent="0.25">
      <c r="A127">
        <f t="shared" si="8"/>
        <v>1.05</v>
      </c>
      <c r="B127">
        <f t="shared" si="8"/>
        <v>2.0499999999999998</v>
      </c>
      <c r="C127">
        <f t="shared" si="8"/>
        <v>3.05</v>
      </c>
      <c r="D127">
        <f t="shared" si="8"/>
        <v>0.05</v>
      </c>
      <c r="E127">
        <f t="shared" si="8"/>
        <v>0.05</v>
      </c>
      <c r="F127">
        <f t="shared" si="8"/>
        <v>4.05</v>
      </c>
      <c r="G127">
        <f t="shared" si="8"/>
        <v>5.05</v>
      </c>
      <c r="H127">
        <f t="shared" si="8"/>
        <v>6.05</v>
      </c>
      <c r="I127">
        <f t="shared" si="8"/>
        <v>0.05</v>
      </c>
      <c r="J127">
        <f t="shared" si="8"/>
        <v>0.05</v>
      </c>
      <c r="K127">
        <f t="shared" si="8"/>
        <v>7.05</v>
      </c>
      <c r="L127">
        <f t="shared" si="7"/>
        <v>8.0500000000000007</v>
      </c>
      <c r="N127">
        <f>(graph_data!U127-graph_range!U$2)/(graph_range!U$3-graph_range!U$2)</f>
        <v>0.44515338753387529</v>
      </c>
      <c r="O127">
        <f>(graph_data!V127-graph_range!V$2)/(graph_range!V$3-graph_range!V$2)</f>
        <v>3.740925187282533E-2</v>
      </c>
      <c r="P127">
        <f>(graph_data!W127-graph_range!W$2)/(graph_range!W$3-graph_range!W$2)</f>
        <v>3.8101831656097956E-2</v>
      </c>
      <c r="S127">
        <f>(graph_data!Z127-graph_range!Z$2)/(graph_range!Z$3-graph_range!Z$2)</f>
        <v>3.740925187282481E-2</v>
      </c>
      <c r="T127">
        <f>(graph_data!AA127-graph_range!AA$2)/(graph_range!AA$3-graph_range!AA$2)</f>
        <v>1</v>
      </c>
      <c r="U127">
        <f>(graph_data!AB127-graph_range!AB$2)/(graph_range!AB$3-graph_range!AB$2)</f>
        <v>0.96088305803501362</v>
      </c>
      <c r="W127">
        <f>graph_data!AD127</f>
        <v>3</v>
      </c>
      <c r="X127">
        <f>(graph_data!AE127-graph_range!AE$2)/(graph_range!AE$3-graph_range!AE$2)</f>
        <v>0.36405174384156896</v>
      </c>
      <c r="Y127">
        <f>(graph_data!AF127-graph_range!AF$2)/(graph_range!AF$3-graph_range!AF$2)</f>
        <v>5.8151966861379287E-2</v>
      </c>
    </row>
    <row r="128" spans="1:25" x14ac:dyDescent="0.25">
      <c r="A128">
        <f t="shared" si="8"/>
        <v>1.1499999999999999</v>
      </c>
      <c r="B128">
        <f t="shared" si="8"/>
        <v>2.15</v>
      </c>
      <c r="C128">
        <f t="shared" si="8"/>
        <v>3.15</v>
      </c>
      <c r="D128">
        <f t="shared" si="8"/>
        <v>0.15</v>
      </c>
      <c r="E128">
        <f t="shared" si="8"/>
        <v>0.15</v>
      </c>
      <c r="F128">
        <f t="shared" si="8"/>
        <v>4.1500000000000004</v>
      </c>
      <c r="G128">
        <f t="shared" si="8"/>
        <v>5.15</v>
      </c>
      <c r="H128">
        <f t="shared" si="8"/>
        <v>6.15</v>
      </c>
      <c r="I128">
        <f t="shared" si="8"/>
        <v>0.15</v>
      </c>
      <c r="J128">
        <f t="shared" si="8"/>
        <v>0.15</v>
      </c>
      <c r="K128">
        <f t="shared" si="8"/>
        <v>7.15</v>
      </c>
      <c r="L128">
        <f t="shared" si="7"/>
        <v>8.15</v>
      </c>
      <c r="N128" t="e">
        <f>(graph_data!U128-graph_range!U$2)/(graph_range!U$3-graph_range!U$2)</f>
        <v>#N/A</v>
      </c>
      <c r="O128" t="e">
        <f>(graph_data!V128-graph_range!V$2)/(graph_range!V$3-graph_range!V$2)</f>
        <v>#N/A</v>
      </c>
      <c r="P128" t="e">
        <f>(graph_data!W128-graph_range!W$2)/(graph_range!W$3-graph_range!W$2)</f>
        <v>#N/A</v>
      </c>
      <c r="S128" t="e">
        <f>(graph_data!Z128-graph_range!Z$2)/(graph_range!Z$3-graph_range!Z$2)</f>
        <v>#N/A</v>
      </c>
      <c r="T128" t="e">
        <f>(graph_data!AA128-graph_range!AA$2)/(graph_range!AA$3-graph_range!AA$2)</f>
        <v>#N/A</v>
      </c>
      <c r="U128" t="e">
        <f>(graph_data!AB128-graph_range!AB$2)/(graph_range!AB$3-graph_range!AB$2)</f>
        <v>#N/A</v>
      </c>
      <c r="W128">
        <f>graph_data!AD128</f>
        <v>4</v>
      </c>
      <c r="X128" t="e">
        <f>(graph_data!AE128-graph_range!AE$2)/(graph_range!AE$3-graph_range!AE$2)</f>
        <v>#N/A</v>
      </c>
      <c r="Y128" t="e">
        <f>(graph_data!AF128-graph_range!AF$2)/(graph_range!AF$3-graph_range!AF$2)</f>
        <v>#N/A</v>
      </c>
    </row>
    <row r="129" spans="1:25" x14ac:dyDescent="0.25">
      <c r="A129">
        <f t="shared" si="8"/>
        <v>1.1499999999999999</v>
      </c>
      <c r="B129">
        <f t="shared" si="8"/>
        <v>2.15</v>
      </c>
      <c r="C129">
        <f t="shared" si="8"/>
        <v>3.15</v>
      </c>
      <c r="D129">
        <f t="shared" si="8"/>
        <v>0.15</v>
      </c>
      <c r="E129">
        <f t="shared" si="8"/>
        <v>0.15</v>
      </c>
      <c r="F129">
        <f t="shared" si="8"/>
        <v>4.1500000000000004</v>
      </c>
      <c r="G129">
        <f t="shared" si="8"/>
        <v>5.15</v>
      </c>
      <c r="H129">
        <f t="shared" si="8"/>
        <v>6.15</v>
      </c>
      <c r="I129">
        <f t="shared" si="8"/>
        <v>0.15</v>
      </c>
      <c r="J129">
        <f t="shared" si="8"/>
        <v>0.15</v>
      </c>
      <c r="K129">
        <f t="shared" si="8"/>
        <v>7.15</v>
      </c>
      <c r="L129">
        <f t="shared" si="7"/>
        <v>8.15</v>
      </c>
      <c r="N129" t="e">
        <f>(graph_data!U129-graph_range!U$2)/(graph_range!U$3-graph_range!U$2)</f>
        <v>#N/A</v>
      </c>
      <c r="O129" t="e">
        <f>(graph_data!V129-graph_range!V$2)/(graph_range!V$3-graph_range!V$2)</f>
        <v>#N/A</v>
      </c>
      <c r="P129" t="e">
        <f>(graph_data!W129-graph_range!W$2)/(graph_range!W$3-graph_range!W$2)</f>
        <v>#N/A</v>
      </c>
      <c r="S129" t="e">
        <f>(graph_data!Z129-graph_range!Z$2)/(graph_range!Z$3-graph_range!Z$2)</f>
        <v>#N/A</v>
      </c>
      <c r="T129" t="e">
        <f>(graph_data!AA129-graph_range!AA$2)/(graph_range!AA$3-graph_range!AA$2)</f>
        <v>#N/A</v>
      </c>
      <c r="U129" t="e">
        <f>(graph_data!AB129-graph_range!AB$2)/(graph_range!AB$3-graph_range!AB$2)</f>
        <v>#N/A</v>
      </c>
      <c r="W129">
        <f>graph_data!AD129</f>
        <v>4</v>
      </c>
      <c r="X129" t="e">
        <f>(graph_data!AE129-graph_range!AE$2)/(graph_range!AE$3-graph_range!AE$2)</f>
        <v>#N/A</v>
      </c>
      <c r="Y129" t="e">
        <f>(graph_data!AF129-graph_range!AF$2)/(graph_range!AF$3-graph_range!AF$2)</f>
        <v>#N/A</v>
      </c>
    </row>
    <row r="130" spans="1:25" x14ac:dyDescent="0.25">
      <c r="A130">
        <f t="shared" si="8"/>
        <v>1.1499999999999999</v>
      </c>
      <c r="B130">
        <f t="shared" si="8"/>
        <v>2.15</v>
      </c>
      <c r="C130">
        <f t="shared" si="8"/>
        <v>3.15</v>
      </c>
      <c r="D130">
        <f t="shared" si="8"/>
        <v>0.15</v>
      </c>
      <c r="E130">
        <f t="shared" si="8"/>
        <v>0.15</v>
      </c>
      <c r="F130">
        <f t="shared" si="8"/>
        <v>4.1500000000000004</v>
      </c>
      <c r="G130">
        <f t="shared" si="8"/>
        <v>5.15</v>
      </c>
      <c r="H130">
        <f t="shared" si="8"/>
        <v>6.15</v>
      </c>
      <c r="I130">
        <f t="shared" si="8"/>
        <v>0.15</v>
      </c>
      <c r="J130">
        <f t="shared" si="8"/>
        <v>0.15</v>
      </c>
      <c r="K130">
        <f t="shared" si="8"/>
        <v>7.15</v>
      </c>
      <c r="L130">
        <f t="shared" si="7"/>
        <v>8.15</v>
      </c>
      <c r="N130" t="e">
        <f>(graph_data!U130-graph_range!U$2)/(graph_range!U$3-graph_range!U$2)</f>
        <v>#N/A</v>
      </c>
      <c r="O130" t="e">
        <f>(graph_data!V130-graph_range!V$2)/(graph_range!V$3-graph_range!V$2)</f>
        <v>#N/A</v>
      </c>
      <c r="P130" t="e">
        <f>(graph_data!W130-graph_range!W$2)/(graph_range!W$3-graph_range!W$2)</f>
        <v>#N/A</v>
      </c>
      <c r="S130" t="e">
        <f>(graph_data!Z130-graph_range!Z$2)/(graph_range!Z$3-graph_range!Z$2)</f>
        <v>#N/A</v>
      </c>
      <c r="T130" t="e">
        <f>(graph_data!AA130-graph_range!AA$2)/(graph_range!AA$3-graph_range!AA$2)</f>
        <v>#N/A</v>
      </c>
      <c r="U130" t="e">
        <f>(graph_data!AB130-graph_range!AB$2)/(graph_range!AB$3-graph_range!AB$2)</f>
        <v>#N/A</v>
      </c>
      <c r="W130">
        <f>graph_data!AD130</f>
        <v>4</v>
      </c>
      <c r="X130" t="e">
        <f>(graph_data!AE130-graph_range!AE$2)/(graph_range!AE$3-graph_range!AE$2)</f>
        <v>#N/A</v>
      </c>
      <c r="Y130" t="e">
        <f>(graph_data!AF130-graph_range!AF$2)/(graph_range!AF$3-graph_range!AF$2)</f>
        <v>#N/A</v>
      </c>
    </row>
    <row r="131" spans="1:25" x14ac:dyDescent="0.25">
      <c r="A131">
        <f t="shared" si="8"/>
        <v>1.1499999999999999</v>
      </c>
      <c r="B131">
        <f t="shared" si="8"/>
        <v>2.15</v>
      </c>
      <c r="C131">
        <f t="shared" si="8"/>
        <v>3.15</v>
      </c>
      <c r="D131">
        <f t="shared" si="8"/>
        <v>0.15</v>
      </c>
      <c r="E131">
        <f t="shared" si="8"/>
        <v>0.15</v>
      </c>
      <c r="F131">
        <f t="shared" si="8"/>
        <v>4.1500000000000004</v>
      </c>
      <c r="G131">
        <f t="shared" si="8"/>
        <v>5.15</v>
      </c>
      <c r="H131">
        <f t="shared" si="8"/>
        <v>6.15</v>
      </c>
      <c r="I131">
        <f t="shared" si="8"/>
        <v>0.15</v>
      </c>
      <c r="J131">
        <f t="shared" si="8"/>
        <v>0.15</v>
      </c>
      <c r="K131">
        <f t="shared" si="8"/>
        <v>7.15</v>
      </c>
      <c r="L131">
        <f t="shared" si="7"/>
        <v>8.15</v>
      </c>
      <c r="N131" t="e">
        <f>(graph_data!U131-graph_range!U$2)/(graph_range!U$3-graph_range!U$2)</f>
        <v>#N/A</v>
      </c>
      <c r="O131" t="e">
        <f>(graph_data!V131-graph_range!V$2)/(graph_range!V$3-graph_range!V$2)</f>
        <v>#N/A</v>
      </c>
      <c r="P131" t="e">
        <f>(graph_data!W131-graph_range!W$2)/(graph_range!W$3-graph_range!W$2)</f>
        <v>#N/A</v>
      </c>
      <c r="S131" t="e">
        <f>(graph_data!Z131-graph_range!Z$2)/(graph_range!Z$3-graph_range!Z$2)</f>
        <v>#N/A</v>
      </c>
      <c r="T131" t="e">
        <f>(graph_data!AA131-graph_range!AA$2)/(graph_range!AA$3-graph_range!AA$2)</f>
        <v>#N/A</v>
      </c>
      <c r="U131" t="e">
        <f>(graph_data!AB131-graph_range!AB$2)/(graph_range!AB$3-graph_range!AB$2)</f>
        <v>#N/A</v>
      </c>
      <c r="W131">
        <f>graph_data!AD131</f>
        <v>4</v>
      </c>
      <c r="X131" t="e">
        <f>(graph_data!AE131-graph_range!AE$2)/(graph_range!AE$3-graph_range!AE$2)</f>
        <v>#N/A</v>
      </c>
      <c r="Y131" t="e">
        <f>(graph_data!AF131-graph_range!AF$2)/(graph_range!AF$3-graph_range!AF$2)</f>
        <v>#N/A</v>
      </c>
    </row>
    <row r="132" spans="1:25" x14ac:dyDescent="0.25">
      <c r="A132">
        <f t="shared" si="8"/>
        <v>1.1499999999999999</v>
      </c>
      <c r="B132">
        <f t="shared" si="8"/>
        <v>2.15</v>
      </c>
      <c r="C132">
        <f t="shared" si="8"/>
        <v>3.15</v>
      </c>
      <c r="D132">
        <f t="shared" si="8"/>
        <v>0.15</v>
      </c>
      <c r="E132">
        <f t="shared" si="8"/>
        <v>0.15</v>
      </c>
      <c r="F132">
        <f t="shared" si="8"/>
        <v>4.1500000000000004</v>
      </c>
      <c r="G132">
        <f t="shared" si="8"/>
        <v>5.15</v>
      </c>
      <c r="H132">
        <f t="shared" si="8"/>
        <v>6.15</v>
      </c>
      <c r="I132">
        <f t="shared" si="8"/>
        <v>0.15</v>
      </c>
      <c r="J132">
        <f t="shared" si="8"/>
        <v>0.15</v>
      </c>
      <c r="K132">
        <f t="shared" si="8"/>
        <v>7.15</v>
      </c>
      <c r="L132">
        <f t="shared" si="7"/>
        <v>8.15</v>
      </c>
      <c r="N132" t="e">
        <f>(graph_data!U132-graph_range!U$2)/(graph_range!U$3-graph_range!U$2)</f>
        <v>#N/A</v>
      </c>
      <c r="O132" t="e">
        <f>(graph_data!V132-graph_range!V$2)/(graph_range!V$3-graph_range!V$2)</f>
        <v>#N/A</v>
      </c>
      <c r="P132" t="e">
        <f>(graph_data!W132-graph_range!W$2)/(graph_range!W$3-graph_range!W$2)</f>
        <v>#N/A</v>
      </c>
      <c r="S132" t="e">
        <f>(graph_data!Z132-graph_range!Z$2)/(graph_range!Z$3-graph_range!Z$2)</f>
        <v>#N/A</v>
      </c>
      <c r="T132" t="e">
        <f>(graph_data!AA132-graph_range!AA$2)/(graph_range!AA$3-graph_range!AA$2)</f>
        <v>#N/A</v>
      </c>
      <c r="U132" t="e">
        <f>(graph_data!AB132-graph_range!AB$2)/(graph_range!AB$3-graph_range!AB$2)</f>
        <v>#N/A</v>
      </c>
      <c r="W132">
        <f>graph_data!AD132</f>
        <v>4</v>
      </c>
      <c r="X132" t="e">
        <f>(graph_data!AE132-graph_range!AE$2)/(graph_range!AE$3-graph_range!AE$2)</f>
        <v>#N/A</v>
      </c>
      <c r="Y132" t="e">
        <f>(graph_data!AF132-graph_range!AF$2)/(graph_range!AF$3-graph_range!AF$2)</f>
        <v>#N/A</v>
      </c>
    </row>
    <row r="133" spans="1:25" x14ac:dyDescent="0.25">
      <c r="A133">
        <f t="shared" si="8"/>
        <v>1.1499999999999999</v>
      </c>
      <c r="B133">
        <f t="shared" si="8"/>
        <v>2.15</v>
      </c>
      <c r="C133">
        <f t="shared" si="8"/>
        <v>3.15</v>
      </c>
      <c r="D133">
        <f t="shared" si="8"/>
        <v>0.15</v>
      </c>
      <c r="E133">
        <f t="shared" si="8"/>
        <v>0.15</v>
      </c>
      <c r="F133">
        <f t="shared" si="8"/>
        <v>4.1500000000000004</v>
      </c>
      <c r="G133">
        <f t="shared" si="8"/>
        <v>5.15</v>
      </c>
      <c r="H133">
        <f t="shared" si="8"/>
        <v>6.15</v>
      </c>
      <c r="I133">
        <f t="shared" si="8"/>
        <v>0.15</v>
      </c>
      <c r="J133">
        <f t="shared" si="8"/>
        <v>0.15</v>
      </c>
      <c r="K133">
        <f t="shared" si="8"/>
        <v>7.15</v>
      </c>
      <c r="L133">
        <f t="shared" si="7"/>
        <v>8.15</v>
      </c>
      <c r="N133">
        <f>(graph_data!U133-graph_range!U$2)/(graph_range!U$3-graph_range!U$2)</f>
        <v>0.11004878048780488</v>
      </c>
      <c r="O133">
        <f>(graph_data!V133-graph_range!V$2)/(graph_range!V$3-graph_range!V$2)</f>
        <v>0.24752829489958875</v>
      </c>
      <c r="P133">
        <f>(graph_data!W133-graph_range!W$2)/(graph_range!W$3-graph_range!W$2)</f>
        <v>0.10643299874270185</v>
      </c>
      <c r="S133">
        <f>(graph_data!Z133-graph_range!Z$2)/(graph_range!Z$3-graph_range!Z$2)</f>
        <v>0.24752829489958833</v>
      </c>
      <c r="T133">
        <f>(graph_data!AA133-graph_range!AA$2)/(graph_range!AA$3-graph_range!AA$2)</f>
        <v>0.6428571428571429</v>
      </c>
      <c r="U133">
        <f>(graph_data!AB133-graph_range!AB$2)/(graph_range!AB$3-graph_range!AB$2)</f>
        <v>0.83978875655600793</v>
      </c>
      <c r="W133">
        <f>graph_data!AD133</f>
        <v>4</v>
      </c>
      <c r="X133">
        <f>(graph_data!AE133-graph_range!AE$2)/(graph_range!AE$3-graph_range!AE$2)</f>
        <v>0.25456260837406641</v>
      </c>
      <c r="Y133">
        <f>(graph_data!AF133-graph_range!AF$2)/(graph_range!AF$3-graph_range!AF$2)</f>
        <v>5.5774457114667983E-2</v>
      </c>
    </row>
    <row r="134" spans="1:25" x14ac:dyDescent="0.25">
      <c r="A134">
        <f t="shared" si="8"/>
        <v>1.1499999999999999</v>
      </c>
      <c r="B134">
        <f t="shared" si="8"/>
        <v>2.15</v>
      </c>
      <c r="C134">
        <f t="shared" si="8"/>
        <v>3.15</v>
      </c>
      <c r="D134">
        <f t="shared" si="8"/>
        <v>0.15</v>
      </c>
      <c r="E134">
        <f t="shared" si="8"/>
        <v>0.15</v>
      </c>
      <c r="F134">
        <f t="shared" si="8"/>
        <v>4.1500000000000004</v>
      </c>
      <c r="G134">
        <f t="shared" si="8"/>
        <v>5.15</v>
      </c>
      <c r="H134">
        <f t="shared" si="8"/>
        <v>6.15</v>
      </c>
      <c r="I134">
        <f t="shared" si="8"/>
        <v>0.15</v>
      </c>
      <c r="J134">
        <f t="shared" si="8"/>
        <v>0.15</v>
      </c>
      <c r="K134">
        <f t="shared" si="8"/>
        <v>7.15</v>
      </c>
      <c r="L134">
        <f t="shared" si="7"/>
        <v>8.15</v>
      </c>
      <c r="N134">
        <f>(graph_data!U134-graph_range!U$2)/(graph_range!U$3-graph_range!U$2)</f>
        <v>5.151609756097561E-2</v>
      </c>
      <c r="O134">
        <f>(graph_data!V134-graph_range!V$2)/(graph_range!V$3-graph_range!V$2)</f>
        <v>0.19696562757971564</v>
      </c>
      <c r="P134">
        <f>(graph_data!W134-graph_range!W$2)/(graph_range!W$3-graph_range!W$2)</f>
        <v>0.18198399528136167</v>
      </c>
      <c r="S134">
        <f>(graph_data!Z134-graph_range!Z$2)/(graph_range!Z$3-graph_range!Z$2)</f>
        <v>0.19696562757971253</v>
      </c>
      <c r="T134">
        <f>(graph_data!AA134-graph_range!AA$2)/(graph_range!AA$3-graph_range!AA$2)</f>
        <v>0.6428571428571429</v>
      </c>
      <c r="U134">
        <f>(graph_data!AB134-graph_range!AB$2)/(graph_range!AB$3-graph_range!AB$2)</f>
        <v>0.4821489207580274</v>
      </c>
      <c r="W134">
        <f>graph_data!AD134</f>
        <v>4</v>
      </c>
      <c r="X134">
        <f>(graph_data!AE134-graph_range!AE$2)/(graph_range!AE$3-graph_range!AE$2)</f>
        <v>0.20135101498394095</v>
      </c>
      <c r="Y134">
        <f>(graph_data!AF134-graph_range!AF$2)/(graph_range!AF$3-graph_range!AF$2)</f>
        <v>0.1279514902133525</v>
      </c>
    </row>
    <row r="135" spans="1:25" x14ac:dyDescent="0.25">
      <c r="A135">
        <f t="shared" si="8"/>
        <v>1.1499999999999999</v>
      </c>
      <c r="B135">
        <f t="shared" si="8"/>
        <v>2.15</v>
      </c>
      <c r="C135">
        <f t="shared" si="8"/>
        <v>3.15</v>
      </c>
      <c r="D135">
        <f t="shared" si="8"/>
        <v>0.15</v>
      </c>
      <c r="E135">
        <f t="shared" si="8"/>
        <v>0.15</v>
      </c>
      <c r="F135">
        <f t="shared" si="8"/>
        <v>4.1500000000000004</v>
      </c>
      <c r="G135">
        <f t="shared" si="8"/>
        <v>5.15</v>
      </c>
      <c r="H135">
        <f t="shared" si="8"/>
        <v>6.15</v>
      </c>
      <c r="I135">
        <f t="shared" si="8"/>
        <v>0.15</v>
      </c>
      <c r="J135">
        <f t="shared" si="8"/>
        <v>0.15</v>
      </c>
      <c r="K135">
        <f t="shared" si="8"/>
        <v>7.15</v>
      </c>
      <c r="L135">
        <f t="shared" si="7"/>
        <v>8.15</v>
      </c>
      <c r="N135">
        <f>(graph_data!U135-graph_range!U$2)/(graph_range!U$3-graph_range!U$2)</f>
        <v>0.11382655826558262</v>
      </c>
      <c r="O135">
        <f>(graph_data!V135-graph_range!V$2)/(graph_range!V$3-graph_range!V$2)</f>
        <v>1.2702809045109821E-2</v>
      </c>
      <c r="P135">
        <f>(graph_data!W135-graph_range!W$2)/(graph_range!W$3-graph_range!W$2)</f>
        <v>0.17536656301823056</v>
      </c>
      <c r="S135">
        <f>(graph_data!Z135-graph_range!Z$2)/(graph_range!Z$3-graph_range!Z$2)</f>
        <v>1.2702809045109528E-2</v>
      </c>
      <c r="T135">
        <f>(graph_data!AA135-graph_range!AA$2)/(graph_range!AA$3-graph_range!AA$2)</f>
        <v>1</v>
      </c>
      <c r="U135">
        <f>(graph_data!AB135-graph_range!AB$2)/(graph_range!AB$3-graph_range!AB$2)</f>
        <v>0.35148463795835327</v>
      </c>
      <c r="W135">
        <f>graph_data!AD135</f>
        <v>4</v>
      </c>
      <c r="X135">
        <f>(graph_data!AE135-graph_range!AE$2)/(graph_range!AE$3-graph_range!AE$2)</f>
        <v>0.29057016802939267</v>
      </c>
      <c r="Y135">
        <f>(graph_data!AF135-graph_range!AF$2)/(graph_range!AF$3-graph_range!AF$2)</f>
        <v>0.22394250867683504</v>
      </c>
    </row>
    <row r="136" spans="1:25" x14ac:dyDescent="0.25">
      <c r="A136">
        <f t="shared" si="8"/>
        <v>1.1499999999999999</v>
      </c>
      <c r="B136">
        <f t="shared" si="8"/>
        <v>2.15</v>
      </c>
      <c r="C136">
        <f t="shared" si="8"/>
        <v>3.15</v>
      </c>
      <c r="D136">
        <f t="shared" si="8"/>
        <v>0.15</v>
      </c>
      <c r="E136">
        <f t="shared" si="8"/>
        <v>0.15</v>
      </c>
      <c r="F136">
        <f t="shared" si="8"/>
        <v>4.1500000000000004</v>
      </c>
      <c r="G136">
        <f t="shared" si="8"/>
        <v>5.15</v>
      </c>
      <c r="H136">
        <f t="shared" si="8"/>
        <v>6.15</v>
      </c>
      <c r="I136">
        <f t="shared" si="8"/>
        <v>0.15</v>
      </c>
      <c r="J136">
        <f t="shared" si="8"/>
        <v>0.15</v>
      </c>
      <c r="K136">
        <f t="shared" si="8"/>
        <v>7.15</v>
      </c>
      <c r="L136">
        <f t="shared" si="7"/>
        <v>8.15</v>
      </c>
      <c r="N136">
        <f>(graph_data!U136-graph_range!U$2)/(graph_range!U$3-graph_range!U$2)</f>
        <v>4.1686070460704577E-2</v>
      </c>
      <c r="O136">
        <f>(graph_data!V136-graph_range!V$2)/(graph_range!V$3-graph_range!V$2)</f>
        <v>0.11294641135036301</v>
      </c>
      <c r="P136">
        <f>(graph_data!W136-graph_range!W$2)/(graph_range!W$3-graph_range!W$2)</f>
        <v>0</v>
      </c>
      <c r="S136">
        <f>(graph_data!Z136-graph_range!Z$2)/(graph_range!Z$3-graph_range!Z$2)</f>
        <v>0.11294641135035915</v>
      </c>
      <c r="T136">
        <f>(graph_data!AA136-graph_range!AA$2)/(graph_range!AA$3-graph_range!AA$2)</f>
        <v>0.8571428571428571</v>
      </c>
      <c r="U136">
        <f>(graph_data!AB136-graph_range!AB$2)/(graph_range!AB$3-graph_range!AB$2)</f>
        <v>0.9648208410631689</v>
      </c>
      <c r="W136">
        <f>graph_data!AD136</f>
        <v>4</v>
      </c>
      <c r="X136">
        <f>(graph_data!AE136-graph_range!AE$2)/(graph_range!AE$3-graph_range!AE$2)</f>
        <v>3.6568171154336915E-2</v>
      </c>
      <c r="Y136">
        <f>(graph_data!AF136-graph_range!AF$2)/(graph_range!AF$3-graph_range!AF$2)</f>
        <v>0</v>
      </c>
    </row>
    <row r="137" spans="1:25" x14ac:dyDescent="0.25">
      <c r="A137">
        <f t="shared" si="8"/>
        <v>1.1499999999999999</v>
      </c>
      <c r="B137">
        <f t="shared" si="8"/>
        <v>2.15</v>
      </c>
      <c r="C137">
        <f t="shared" si="8"/>
        <v>3.15</v>
      </c>
      <c r="D137">
        <f t="shared" si="8"/>
        <v>0.15</v>
      </c>
      <c r="E137">
        <f t="shared" si="8"/>
        <v>0.15</v>
      </c>
      <c r="F137">
        <f t="shared" si="8"/>
        <v>4.1500000000000004</v>
      </c>
      <c r="G137">
        <f t="shared" si="8"/>
        <v>5.15</v>
      </c>
      <c r="H137">
        <f t="shared" si="8"/>
        <v>6.15</v>
      </c>
      <c r="I137">
        <f t="shared" si="8"/>
        <v>0.15</v>
      </c>
      <c r="J137">
        <f t="shared" si="8"/>
        <v>0.15</v>
      </c>
      <c r="K137">
        <f t="shared" si="8"/>
        <v>7.15</v>
      </c>
      <c r="L137">
        <f t="shared" si="7"/>
        <v>8.15</v>
      </c>
      <c r="N137">
        <f>(graph_data!U137-graph_range!U$2)/(graph_range!U$3-graph_range!U$2)</f>
        <v>7.8143089430894264E-2</v>
      </c>
      <c r="O137">
        <f>(graph_data!V137-graph_range!V$2)/(graph_range!V$3-graph_range!V$2)</f>
        <v>2.4044396182599535E-2</v>
      </c>
      <c r="P137">
        <f>(graph_data!W137-graph_range!W$2)/(graph_range!W$3-graph_range!W$2)</f>
        <v>0.22718612648832884</v>
      </c>
      <c r="S137">
        <f>(graph_data!Z137-graph_range!Z$2)/(graph_range!Z$3-graph_range!Z$2)</f>
        <v>2.404439618259608E-2</v>
      </c>
      <c r="T137">
        <f>(graph_data!AA137-graph_range!AA$2)/(graph_range!AA$3-graph_range!AA$2)</f>
        <v>0.9285714285714286</v>
      </c>
      <c r="U137">
        <f>(graph_data!AB137-graph_range!AB$2)/(graph_range!AB$3-graph_range!AB$2)</f>
        <v>0.27552265645180207</v>
      </c>
      <c r="W137">
        <f>graph_data!AD137</f>
        <v>4</v>
      </c>
      <c r="X137">
        <f>(graph_data!AE137-graph_range!AE$2)/(graph_range!AE$3-graph_range!AE$2)</f>
        <v>0.26737129719798031</v>
      </c>
      <c r="Y137">
        <f>(graph_data!AF137-graph_range!AF$2)/(graph_range!AF$3-graph_range!AF$2)</f>
        <v>0.27245901150495688</v>
      </c>
    </row>
    <row r="138" spans="1:25" x14ac:dyDescent="0.25">
      <c r="A138">
        <f t="shared" si="8"/>
        <v>1.1499999999999999</v>
      </c>
      <c r="B138">
        <f t="shared" si="8"/>
        <v>2.15</v>
      </c>
      <c r="C138">
        <f t="shared" si="8"/>
        <v>3.15</v>
      </c>
      <c r="D138">
        <f t="shared" si="8"/>
        <v>0.15</v>
      </c>
      <c r="E138">
        <f t="shared" si="8"/>
        <v>0.15</v>
      </c>
      <c r="F138">
        <f t="shared" si="8"/>
        <v>4.1500000000000004</v>
      </c>
      <c r="G138">
        <f t="shared" si="8"/>
        <v>5.15</v>
      </c>
      <c r="H138">
        <f t="shared" si="8"/>
        <v>6.15</v>
      </c>
      <c r="I138">
        <f t="shared" si="8"/>
        <v>0.15</v>
      </c>
      <c r="J138">
        <f t="shared" si="8"/>
        <v>0.15</v>
      </c>
      <c r="K138">
        <f t="shared" si="8"/>
        <v>7.15</v>
      </c>
      <c r="L138">
        <f t="shared" si="7"/>
        <v>8.15</v>
      </c>
      <c r="N138">
        <f>(graph_data!U138-graph_range!U$2)/(graph_range!U$3-graph_range!U$2)</f>
        <v>0.13794146341463415</v>
      </c>
      <c r="O138">
        <f>(graph_data!V138-graph_range!V$2)/(graph_range!V$3-graph_range!V$2)</f>
        <v>0.22603998703873723</v>
      </c>
      <c r="P138">
        <f>(graph_data!W138-graph_range!W$2)/(graph_range!W$3-graph_range!W$2)</f>
        <v>0.11195567116318793</v>
      </c>
      <c r="S138">
        <f>(graph_data!Z138-graph_range!Z$2)/(graph_range!Z$3-graph_range!Z$2)</f>
        <v>0.22603998703873404</v>
      </c>
      <c r="T138">
        <f>(graph_data!AA138-graph_range!AA$2)/(graph_range!AA$3-graph_range!AA$2)</f>
        <v>0.7142857142857143</v>
      </c>
      <c r="U138">
        <f>(graph_data!AB138-graph_range!AB$2)/(graph_range!AB$3-graph_range!AB$2)</f>
        <v>0.85127871283139778</v>
      </c>
      <c r="W138">
        <f>graph_data!AD138</f>
        <v>4</v>
      </c>
      <c r="X138">
        <f>(graph_data!AE138-graph_range!AE$2)/(graph_range!AE$3-graph_range!AE$2)</f>
        <v>0.31194429159289511</v>
      </c>
      <c r="Y138">
        <f>(graph_data!AF138-graph_range!AF$2)/(graph_range!AF$3-graph_range!AF$2)</f>
        <v>6.5240676959257907E-2</v>
      </c>
    </row>
    <row r="139" spans="1:25" x14ac:dyDescent="0.25">
      <c r="A139">
        <f t="shared" si="8"/>
        <v>1.1499999999999999</v>
      </c>
      <c r="B139">
        <f t="shared" si="8"/>
        <v>2.15</v>
      </c>
      <c r="C139">
        <f t="shared" si="8"/>
        <v>3.15</v>
      </c>
      <c r="D139">
        <f t="shared" si="8"/>
        <v>0.15</v>
      </c>
      <c r="E139">
        <f t="shared" si="8"/>
        <v>0.15</v>
      </c>
      <c r="F139">
        <f t="shared" si="8"/>
        <v>4.1500000000000004</v>
      </c>
      <c r="G139">
        <f t="shared" si="8"/>
        <v>5.15</v>
      </c>
      <c r="H139">
        <f t="shared" si="8"/>
        <v>6.15</v>
      </c>
      <c r="I139">
        <f t="shared" si="8"/>
        <v>0.15</v>
      </c>
      <c r="J139">
        <f t="shared" si="8"/>
        <v>0.15</v>
      </c>
      <c r="K139">
        <f t="shared" si="8"/>
        <v>7.15</v>
      </c>
      <c r="L139">
        <f t="shared" si="7"/>
        <v>8.15</v>
      </c>
      <c r="N139">
        <f>(graph_data!U139-graph_range!U$2)/(graph_range!U$3-graph_range!U$2)</f>
        <v>9.5797289972899713E-2</v>
      </c>
      <c r="O139">
        <f>(graph_data!V139-graph_range!V$2)/(graph_range!V$3-graph_range!V$2)</f>
        <v>2.784959727504879E-2</v>
      </c>
      <c r="P139">
        <f>(graph_data!W139-graph_range!W$2)/(graph_range!W$3-graph_range!W$2)</f>
        <v>0.14628002281122041</v>
      </c>
      <c r="S139">
        <f>(graph_data!Z139-graph_range!Z$2)/(graph_range!Z$3-graph_range!Z$2)</f>
        <v>2.7849597275047756E-2</v>
      </c>
      <c r="T139">
        <f>(graph_data!AA139-graph_range!AA$2)/(graph_range!AA$3-graph_range!AA$2)</f>
        <v>0.9285714285714286</v>
      </c>
      <c r="U139">
        <f>(graph_data!AB139-graph_range!AB$2)/(graph_range!AB$3-graph_range!AB$2)</f>
        <v>0.38568682450138064</v>
      </c>
      <c r="W139">
        <f>graph_data!AD139</f>
        <v>4</v>
      </c>
      <c r="X139">
        <f>(graph_data!AE139-graph_range!AE$2)/(graph_range!AE$3-graph_range!AE$2)</f>
        <v>0.23002434654681495</v>
      </c>
      <c r="Y139">
        <f>(graph_data!AF139-graph_range!AF$2)/(graph_range!AF$3-graph_range!AF$2)</f>
        <v>0.18035638377635929</v>
      </c>
    </row>
    <row r="140" spans="1:25" x14ac:dyDescent="0.25">
      <c r="A140">
        <f t="shared" si="8"/>
        <v>1.1499999999999999</v>
      </c>
      <c r="B140">
        <f t="shared" si="8"/>
        <v>2.15</v>
      </c>
      <c r="C140">
        <f t="shared" si="8"/>
        <v>3.15</v>
      </c>
      <c r="D140">
        <f t="shared" si="8"/>
        <v>0.15</v>
      </c>
      <c r="E140">
        <f t="shared" si="8"/>
        <v>0.15</v>
      </c>
      <c r="F140">
        <f t="shared" si="8"/>
        <v>4.1500000000000004</v>
      </c>
      <c r="G140">
        <f t="shared" si="8"/>
        <v>5.15</v>
      </c>
      <c r="H140">
        <f t="shared" si="8"/>
        <v>6.15</v>
      </c>
      <c r="I140">
        <f t="shared" si="8"/>
        <v>0.15</v>
      </c>
      <c r="J140">
        <f t="shared" si="8"/>
        <v>0.15</v>
      </c>
      <c r="K140">
        <f t="shared" si="8"/>
        <v>7.15</v>
      </c>
      <c r="L140">
        <f t="shared" si="7"/>
        <v>8.15</v>
      </c>
      <c r="N140">
        <f>(graph_data!U140-graph_range!U$2)/(graph_range!U$3-graph_range!U$2)</f>
        <v>6.5500271002710067E-3</v>
      </c>
      <c r="O140">
        <f>(graph_data!V140-graph_range!V$2)/(graph_range!V$3-graph_range!V$2)</f>
        <v>0.10377364176766939</v>
      </c>
      <c r="P140">
        <f>(graph_data!W140-graph_range!W$2)/(graph_range!W$3-graph_range!W$2)</f>
        <v>3.6804736735392633E-2</v>
      </c>
      <c r="S140">
        <f>(graph_data!Z140-graph_range!Z$2)/(graph_range!Z$3-graph_range!Z$2)</f>
        <v>0.10377364176766866</v>
      </c>
      <c r="T140">
        <f>(graph_data!AA140-graph_range!AA$2)/(graph_range!AA$3-graph_range!AA$2)</f>
        <v>0.7857142857142857</v>
      </c>
      <c r="U140">
        <f>(graph_data!AB140-graph_range!AB$2)/(graph_range!AB$3-graph_range!AB$2)</f>
        <v>0.61576450263884464</v>
      </c>
      <c r="W140">
        <f>graph_data!AD140</f>
        <v>4</v>
      </c>
      <c r="X140">
        <f>(graph_data!AE140-graph_range!AE$2)/(graph_range!AE$3-graph_range!AE$2)</f>
        <v>0</v>
      </c>
      <c r="Y140">
        <f>(graph_data!AF140-graph_range!AF$2)/(graph_range!AF$3-graph_range!AF$2)</f>
        <v>3.5959075303009999E-2</v>
      </c>
    </row>
    <row r="141" spans="1:25" x14ac:dyDescent="0.25">
      <c r="A141">
        <f t="shared" si="8"/>
        <v>1.1499999999999999</v>
      </c>
      <c r="B141">
        <f t="shared" si="8"/>
        <v>2.15</v>
      </c>
      <c r="C141">
        <f t="shared" si="8"/>
        <v>3.15</v>
      </c>
      <c r="D141">
        <f t="shared" si="8"/>
        <v>0.15</v>
      </c>
      <c r="E141">
        <f t="shared" si="8"/>
        <v>0.15</v>
      </c>
      <c r="F141">
        <f t="shared" si="8"/>
        <v>4.1500000000000004</v>
      </c>
      <c r="G141">
        <f t="shared" si="8"/>
        <v>5.15</v>
      </c>
      <c r="H141">
        <f t="shared" si="8"/>
        <v>6.15</v>
      </c>
      <c r="I141">
        <f t="shared" si="8"/>
        <v>0.15</v>
      </c>
      <c r="J141">
        <f t="shared" si="8"/>
        <v>0.15</v>
      </c>
      <c r="K141">
        <f t="shared" si="8"/>
        <v>7.15</v>
      </c>
      <c r="L141">
        <f t="shared" si="7"/>
        <v>8.15</v>
      </c>
      <c r="N141">
        <f>(graph_data!U141-graph_range!U$2)/(graph_range!U$3-graph_range!U$2)</f>
        <v>9.2667750677506724E-2</v>
      </c>
      <c r="O141">
        <f>(graph_data!V141-graph_range!V$2)/(graph_range!V$3-graph_range!V$2)</f>
        <v>2.67475524043914E-2</v>
      </c>
      <c r="P141">
        <f>(graph_data!W141-graph_range!W$2)/(graph_range!W$3-graph_range!W$2)</f>
        <v>0.20808787346810426</v>
      </c>
      <c r="S141">
        <f>(graph_data!Z141-graph_range!Z$2)/(graph_range!Z$3-graph_range!Z$2)</f>
        <v>2.6747552404390813E-2</v>
      </c>
      <c r="T141">
        <f>(graph_data!AA141-graph_range!AA$2)/(graph_range!AA$3-graph_range!AA$2)</f>
        <v>0.9285714285714286</v>
      </c>
      <c r="U141">
        <f>(graph_data!AB141-graph_range!AB$2)/(graph_range!AB$3-graph_range!AB$2)</f>
        <v>0.29960590917472196</v>
      </c>
      <c r="W141">
        <f>graph_data!AD141</f>
        <v>4</v>
      </c>
      <c r="X141">
        <f>(graph_data!AE141-graph_range!AE$2)/(graph_range!AE$3-graph_range!AE$2)</f>
        <v>0.26080799761037643</v>
      </c>
      <c r="Y141">
        <f>(graph_data!AF141-graph_range!AF$2)/(graph_range!AF$3-graph_range!AF$2)</f>
        <v>0.24905281574849836</v>
      </c>
    </row>
    <row r="142" spans="1:25" x14ac:dyDescent="0.25">
      <c r="A142">
        <f t="shared" si="8"/>
        <v>1.1499999999999999</v>
      </c>
      <c r="B142">
        <f t="shared" si="8"/>
        <v>2.15</v>
      </c>
      <c r="C142">
        <f t="shared" si="8"/>
        <v>3.15</v>
      </c>
      <c r="D142">
        <f t="shared" si="8"/>
        <v>0.15</v>
      </c>
      <c r="E142">
        <f t="shared" si="8"/>
        <v>0.15</v>
      </c>
      <c r="F142">
        <f t="shared" si="8"/>
        <v>4.1500000000000004</v>
      </c>
      <c r="G142">
        <f t="shared" si="8"/>
        <v>5.15</v>
      </c>
      <c r="H142">
        <f t="shared" si="8"/>
        <v>6.15</v>
      </c>
      <c r="I142">
        <f t="shared" si="8"/>
        <v>0.15</v>
      </c>
      <c r="J142">
        <f t="shared" si="8"/>
        <v>0.15</v>
      </c>
      <c r="K142">
        <f t="shared" si="8"/>
        <v>7.15</v>
      </c>
      <c r="L142">
        <f t="shared" si="7"/>
        <v>8.15</v>
      </c>
      <c r="N142">
        <f>(graph_data!U142-graph_range!U$2)/(graph_range!U$3-graph_range!U$2)</f>
        <v>0.15573116531165307</v>
      </c>
      <c r="O142">
        <f>(graph_data!V142-graph_range!V$2)/(graph_range!V$3-graph_range!V$2)</f>
        <v>0.10899139387580332</v>
      </c>
      <c r="P142">
        <f>(graph_data!W142-graph_range!W$2)/(graph_range!W$3-graph_range!W$2)</f>
        <v>5.172419089707192E-2</v>
      </c>
      <c r="S142">
        <f>(graph_data!Z142-graph_range!Z$2)/(graph_range!Z$3-graph_range!Z$2)</f>
        <v>0.1089913938758009</v>
      </c>
      <c r="T142">
        <f>(graph_data!AA142-graph_range!AA$2)/(graph_range!AA$3-graph_range!AA$2)</f>
        <v>0.9285714285714286</v>
      </c>
      <c r="U142">
        <f>(graph_data!AB142-graph_range!AB$2)/(graph_range!AB$3-graph_range!AB$2)</f>
        <v>0.8566676871204465</v>
      </c>
      <c r="W142">
        <f>graph_data!AD142</f>
        <v>4</v>
      </c>
      <c r="X142">
        <f>(graph_data!AE142-graph_range!AE$2)/(graph_range!AE$3-graph_range!AE$2)</f>
        <v>0.22938366851772388</v>
      </c>
      <c r="Y142">
        <f>(graph_data!AF142-graph_range!AF$2)/(graph_range!AF$3-graph_range!AF$2)</f>
        <v>4.8253165792337939E-2</v>
      </c>
    </row>
    <row r="143" spans="1:25" x14ac:dyDescent="0.25">
      <c r="A143">
        <f t="shared" si="8"/>
        <v>1.1499999999999999</v>
      </c>
      <c r="B143">
        <f t="shared" si="8"/>
        <v>2.15</v>
      </c>
      <c r="C143">
        <f t="shared" si="8"/>
        <v>3.15</v>
      </c>
      <c r="D143">
        <f t="shared" si="8"/>
        <v>0.15</v>
      </c>
      <c r="E143">
        <f t="shared" si="8"/>
        <v>0.15</v>
      </c>
      <c r="F143">
        <f t="shared" si="8"/>
        <v>4.1500000000000004</v>
      </c>
      <c r="G143">
        <f t="shared" si="8"/>
        <v>5.15</v>
      </c>
      <c r="H143">
        <f t="shared" si="8"/>
        <v>6.15</v>
      </c>
      <c r="I143">
        <f t="shared" si="8"/>
        <v>0.15</v>
      </c>
      <c r="J143">
        <f t="shared" si="8"/>
        <v>0.15</v>
      </c>
      <c r="K143">
        <f t="shared" si="8"/>
        <v>7.15</v>
      </c>
      <c r="L143">
        <f t="shared" si="7"/>
        <v>8.15</v>
      </c>
      <c r="N143">
        <f>(graph_data!U143-graph_range!U$2)/(graph_range!U$3-graph_range!U$2)</f>
        <v>0.11553821138211377</v>
      </c>
      <c r="O143">
        <f>(graph_data!V143-graph_range!V$2)/(graph_range!V$3-graph_range!V$2)</f>
        <v>1.2571653409660799E-2</v>
      </c>
      <c r="P143">
        <f>(graph_data!W143-graph_range!W$2)/(graph_range!W$3-graph_range!W$2)</f>
        <v>0.1496774089045308</v>
      </c>
      <c r="S143">
        <f>(graph_data!Z143-graph_range!Z$2)/(graph_range!Z$3-graph_range!Z$2)</f>
        <v>1.2571653409660459E-2</v>
      </c>
      <c r="T143">
        <f>(graph_data!AA143-graph_range!AA$2)/(graph_range!AA$3-graph_range!AA$2)</f>
        <v>1</v>
      </c>
      <c r="U143">
        <f>(graph_data!AB143-graph_range!AB$2)/(graph_range!AB$3-graph_range!AB$2)</f>
        <v>0.38961373718301223</v>
      </c>
      <c r="W143">
        <f>graph_data!AD143</f>
        <v>4</v>
      </c>
      <c r="X143">
        <f>(graph_data!AE143-graph_range!AE$2)/(graph_range!AE$3-graph_range!AE$2)</f>
        <v>0.27487145854424466</v>
      </c>
      <c r="Y143">
        <f>(graph_data!AF143-graph_range!AF$2)/(graph_range!AF$3-graph_range!AF$2)</f>
        <v>0.19480431966049183</v>
      </c>
    </row>
    <row r="144" spans="1:25" x14ac:dyDescent="0.25">
      <c r="A144">
        <f t="shared" si="8"/>
        <v>1.1499999999999999</v>
      </c>
      <c r="B144">
        <f t="shared" si="8"/>
        <v>2.15</v>
      </c>
      <c r="C144">
        <f t="shared" si="8"/>
        <v>3.15</v>
      </c>
      <c r="D144">
        <f t="shared" si="8"/>
        <v>0.15</v>
      </c>
      <c r="E144">
        <f t="shared" si="8"/>
        <v>0.15</v>
      </c>
      <c r="F144">
        <f t="shared" si="8"/>
        <v>4.1500000000000004</v>
      </c>
      <c r="G144">
        <f t="shared" si="8"/>
        <v>5.15</v>
      </c>
      <c r="H144">
        <f t="shared" si="8"/>
        <v>6.15</v>
      </c>
      <c r="I144">
        <f t="shared" si="8"/>
        <v>0.15</v>
      </c>
      <c r="J144">
        <f t="shared" si="8"/>
        <v>0.15</v>
      </c>
      <c r="K144">
        <f t="shared" si="8"/>
        <v>7.15</v>
      </c>
      <c r="L144">
        <f t="shared" si="7"/>
        <v>8.15</v>
      </c>
      <c r="N144">
        <f>(graph_data!U144-graph_range!U$2)/(graph_range!U$3-graph_range!U$2)</f>
        <v>5.8447154471544666E-2</v>
      </c>
      <c r="O144">
        <f>(graph_data!V144-graph_range!V$2)/(graph_range!V$3-graph_range!V$2)</f>
        <v>9.4131600214478084E-2</v>
      </c>
      <c r="P144">
        <f>(graph_data!W144-graph_range!W$2)/(graph_range!W$3-graph_range!W$2)</f>
        <v>0.23553367028849717</v>
      </c>
      <c r="S144">
        <f>(graph_data!Z144-graph_range!Z$2)/(graph_range!Z$3-graph_range!Z$2)</f>
        <v>9.4131600214477265E-2</v>
      </c>
      <c r="T144">
        <f>(graph_data!AA144-graph_range!AA$2)/(graph_range!AA$3-graph_range!AA$2)</f>
        <v>0.8571428571428571</v>
      </c>
      <c r="U144">
        <f>(graph_data!AB144-graph_range!AB$2)/(graph_range!AB$3-graph_range!AB$2)</f>
        <v>0.3058916870519634</v>
      </c>
      <c r="W144">
        <f>graph_data!AD144</f>
        <v>4</v>
      </c>
      <c r="X144">
        <f>(graph_data!AE144-graph_range!AE$2)/(graph_range!AE$3-graph_range!AE$2)</f>
        <v>0.22097289804175904</v>
      </c>
      <c r="Y144">
        <f>(graph_data!AF144-graph_range!AF$2)/(graph_range!AF$3-graph_range!AF$2)</f>
        <v>0.22665049482668825</v>
      </c>
    </row>
    <row r="145" spans="1:25" x14ac:dyDescent="0.25">
      <c r="A145">
        <f t="shared" si="8"/>
        <v>1.1499999999999999</v>
      </c>
      <c r="B145">
        <f t="shared" si="8"/>
        <v>2.15</v>
      </c>
      <c r="C145">
        <f t="shared" si="8"/>
        <v>3.15</v>
      </c>
      <c r="D145">
        <f t="shared" si="8"/>
        <v>0.15</v>
      </c>
      <c r="E145">
        <f t="shared" si="8"/>
        <v>0.15</v>
      </c>
      <c r="F145">
        <f t="shared" si="8"/>
        <v>4.1500000000000004</v>
      </c>
      <c r="G145">
        <f t="shared" si="8"/>
        <v>5.15</v>
      </c>
      <c r="H145">
        <f t="shared" si="8"/>
        <v>6.15</v>
      </c>
      <c r="I145">
        <f t="shared" si="8"/>
        <v>0.15</v>
      </c>
      <c r="J145">
        <f t="shared" si="8"/>
        <v>0.15</v>
      </c>
      <c r="K145">
        <f t="shared" si="8"/>
        <v>7.15</v>
      </c>
      <c r="L145">
        <f t="shared" si="7"/>
        <v>8.15</v>
      </c>
      <c r="N145">
        <f>(graph_data!U145-graph_range!U$2)/(graph_range!U$3-graph_range!U$2)</f>
        <v>0</v>
      </c>
      <c r="O145">
        <f>(graph_data!V145-graph_range!V$2)/(graph_range!V$3-graph_range!V$2)</f>
        <v>0.29363311718370277</v>
      </c>
      <c r="P145">
        <f>(graph_data!W145-graph_range!W$2)/(graph_range!W$3-graph_range!W$2)</f>
        <v>4.9761582531207653E-2</v>
      </c>
      <c r="S145">
        <f>(graph_data!Z145-graph_range!Z$2)/(graph_range!Z$3-graph_range!Z$2)</f>
        <v>0.2936331171837</v>
      </c>
      <c r="T145">
        <f>(graph_data!AA145-graph_range!AA$2)/(graph_range!AA$3-graph_range!AA$2)</f>
        <v>0.5</v>
      </c>
      <c r="U145">
        <f>(graph_data!AB145-graph_range!AB$2)/(graph_range!AB$3-graph_range!AB$2)</f>
        <v>0.93081839713751158</v>
      </c>
      <c r="W145">
        <f>graph_data!AD145</f>
        <v>4</v>
      </c>
      <c r="X145">
        <f>(graph_data!AE145-graph_range!AE$2)/(graph_range!AE$3-graph_range!AE$2)</f>
        <v>6.0534146173740047E-2</v>
      </c>
      <c r="Y145">
        <f>(graph_data!AF145-graph_range!AF$2)/(graph_range!AF$3-graph_range!AF$2)</f>
        <v>7.4636394954081357E-3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9"/>
  <sheetViews>
    <sheetView tabSelected="1" zoomScale="70" zoomScaleNormal="70" workbookViewId="0">
      <selection activeCell="M16" sqref="M16"/>
    </sheetView>
  </sheetViews>
  <sheetFormatPr baseColWidth="10" defaultRowHeight="15" x14ac:dyDescent="0.25"/>
  <cols>
    <col min="1" max="1" width="18.5703125" style="1" bestFit="1" customWidth="1"/>
    <col min="7" max="7" width="18.85546875" bestFit="1" customWidth="1"/>
    <col min="8" max="11" width="7.5703125" bestFit="1" customWidth="1"/>
  </cols>
  <sheetData>
    <row r="1" spans="1:11" x14ac:dyDescent="0.25">
      <c r="A1" s="14"/>
      <c r="B1" s="3" t="s">
        <v>50</v>
      </c>
      <c r="C1" s="3" t="s">
        <v>51</v>
      </c>
      <c r="D1" s="3" t="s">
        <v>52</v>
      </c>
      <c r="E1" s="3" t="s">
        <v>53</v>
      </c>
      <c r="G1" s="19"/>
      <c r="H1" s="21" t="s">
        <v>50</v>
      </c>
      <c r="I1" s="22" t="s">
        <v>51</v>
      </c>
      <c r="J1" s="23" t="s">
        <v>52</v>
      </c>
      <c r="K1" s="24" t="s">
        <v>53</v>
      </c>
    </row>
    <row r="2" spans="1:11" ht="30" x14ac:dyDescent="0.25">
      <c r="A2" s="14" t="s">
        <v>41</v>
      </c>
      <c r="B2" s="15">
        <f>INDEX(graph_range!$U$6:$AF$9,MATCH(sum!B$1,graph_range!$M$6:$M$9,0),MATCH(sum!$A2,graph_range!$U$1:$AF$1,0))</f>
        <v>1.1093107042253521</v>
      </c>
      <c r="C2" s="15">
        <f>INDEX(graph_range!$U$6:$AF$9,MATCH(sum!C$1,graph_range!$M$6:$M$9,0),MATCH(sum!$A2,graph_range!$U$1:$AF$1,0))</f>
        <v>1.0665487666666671</v>
      </c>
      <c r="D2" s="15">
        <f>INDEX(graph_range!$U$6:$AF$9,MATCH(sum!D$1,graph_range!$M$6:$M$9,0),MATCH(sum!$A2,graph_range!$U$1:$AF$1,0))</f>
        <v>0.72467341176470579</v>
      </c>
      <c r="E2" s="15">
        <f>INDEX(graph_range!$U$6:$AF$9,MATCH(sum!E$1,graph_range!$M$6:$M$9,0),MATCH(sum!$A2,graph_range!$U$1:$AF$1,0))</f>
        <v>0.39985976153846153</v>
      </c>
      <c r="G2" s="20" t="s">
        <v>41</v>
      </c>
      <c r="H2" s="18" t="str">
        <f>TEXT(B2,"0,0")&amp; "
"&amp;TEXT(B12,"0%")</f>
        <v>1,1
7%</v>
      </c>
      <c r="I2" s="18" t="str">
        <f>TEXT(C2,"0,0")&amp; "
"&amp;TEXT(C12,"0%")</f>
        <v>1,1
9%</v>
      </c>
      <c r="J2" s="18" t="str">
        <f>TEXT(D2,"0,0")&amp; "
"&amp;TEXT(D12,"0%")</f>
        <v>0,7
4%</v>
      </c>
      <c r="K2" s="18" t="str">
        <f>TEXT(E2,"0,0")&amp; "
"&amp;TEXT(E12,"0%")</f>
        <v>0,4
5%</v>
      </c>
    </row>
    <row r="3" spans="1:11" ht="30" x14ac:dyDescent="0.25">
      <c r="A3" s="14" t="s">
        <v>46</v>
      </c>
      <c r="B3" s="16">
        <f>INDEX(graph_range!$U$6:$AF$9,MATCH(sum!B$1,graph_range!$M$6:$M$9,0),MATCH(sum!$A3,graph_range!$U$1:$AF$1,0))</f>
        <v>122.08401742253521</v>
      </c>
      <c r="C3" s="16">
        <f>INDEX(graph_range!$U$6:$AF$9,MATCH(sum!C$1,graph_range!$M$6:$M$9,0),MATCH(sum!$A3,graph_range!$U$1:$AF$1,0))</f>
        <v>241.72069999999997</v>
      </c>
      <c r="D3" s="16">
        <f>INDEX(graph_range!$U$6:$AF$9,MATCH(sum!D$1,graph_range!$M$6:$M$9,0),MATCH(sum!$A3,graph_range!$U$1:$AF$1,0))</f>
        <v>115.18318529411765</v>
      </c>
      <c r="E3" s="16">
        <f>INDEX(graph_range!$U$6:$AF$9,MATCH(sum!E$1,graph_range!$M$6:$M$9,0),MATCH(sum!$A3,graph_range!$U$1:$AF$1,0))</f>
        <v>104.38597876923076</v>
      </c>
      <c r="G3" s="20" t="s">
        <v>46</v>
      </c>
      <c r="H3" s="18" t="str">
        <f>TEXT(B3,"0")&amp; "
"&amp;TEXT(B13,"0%")</f>
        <v>122
13%</v>
      </c>
      <c r="I3" s="18" t="str">
        <f>TEXT(C3,"0")&amp; "
"&amp;TEXT(C13,"0%")</f>
        <v>242
15%</v>
      </c>
      <c r="J3" s="18" t="str">
        <f>TEXT(D3,"0")&amp; "
"&amp;TEXT(D13,"0%")</f>
        <v>115
10%</v>
      </c>
      <c r="K3" s="18" t="str">
        <f>TEXT(E3,"0")&amp; "
"&amp;TEXT(E13,"0%")</f>
        <v>104
10%</v>
      </c>
    </row>
    <row r="4" spans="1:11" ht="30" x14ac:dyDescent="0.25">
      <c r="A4" s="14" t="s">
        <v>44</v>
      </c>
      <c r="B4" s="16">
        <f>INDEX(graph_range!$U$6:$AF$9,MATCH(sum!B$1,graph_range!$M$6:$M$9,0),MATCH(sum!$A4,graph_range!$U$1:$AF$1,0))</f>
        <v>378.14799225352129</v>
      </c>
      <c r="C4" s="16">
        <f>INDEX(graph_range!$U$6:$AF$9,MATCH(sum!C$1,graph_range!$M$6:$M$9,0),MATCH(sum!$A4,graph_range!$U$1:$AF$1,0))</f>
        <v>331.343323</v>
      </c>
      <c r="D4" s="16">
        <f>INDEX(graph_range!$U$6:$AF$9,MATCH(sum!D$1,graph_range!$M$6:$M$9,0),MATCH(sum!$A4,graph_range!$U$1:$AF$1,0))</f>
        <v>122.59700211764708</v>
      </c>
      <c r="E4" s="16">
        <f>INDEX(graph_range!$U$6:$AF$9,MATCH(sum!E$1,graph_range!$M$6:$M$9,0),MATCH(sum!$A4,graph_range!$U$1:$AF$1,0))</f>
        <v>99.942640769230792</v>
      </c>
      <c r="G4" s="20" t="s">
        <v>44</v>
      </c>
      <c r="H4" s="18" t="str">
        <f>TEXT(B4,"0")&amp; "
"&amp;TEXT(B14,"0%")</f>
        <v>378
8%</v>
      </c>
      <c r="I4" s="18" t="str">
        <f>TEXT(C4,"0")&amp; "
"&amp;TEXT(C14,"0%")</f>
        <v>331
10%</v>
      </c>
      <c r="J4" s="18" t="str">
        <f>TEXT(D4,"0")&amp; "
"&amp;TEXT(D14,"0%")</f>
        <v>123
8%</v>
      </c>
      <c r="K4" s="18" t="str">
        <f>TEXT(E4,"0")&amp; "
"&amp;TEXT(E14,"0%")</f>
        <v>100
8%</v>
      </c>
    </row>
    <row r="5" spans="1:11" ht="30" x14ac:dyDescent="0.25">
      <c r="A5" s="14" t="s">
        <v>45</v>
      </c>
      <c r="B5" s="15">
        <f>INDEX(graph_range!$U$6:$AF$9,MATCH(sum!B$1,graph_range!$M$6:$M$9,0),MATCH(sum!$A5,graph_range!$U$1:$AF$1,0))</f>
        <v>14.629187479074274</v>
      </c>
      <c r="C5" s="15">
        <f>INDEX(graph_range!$U$6:$AF$9,MATCH(sum!C$1,graph_range!$M$6:$M$9,0),MATCH(sum!$A5,graph_range!$U$1:$AF$1,0))</f>
        <v>28.965113636736692</v>
      </c>
      <c r="D5" s="15">
        <f>INDEX(graph_range!$U$6:$AF$9,MATCH(sum!D$1,graph_range!$M$6:$M$9,0),MATCH(sum!$A5,graph_range!$U$1:$AF$1,0))</f>
        <v>13.802268697241953</v>
      </c>
      <c r="E5" s="15">
        <f>INDEX(graph_range!$U$6:$AF$9,MATCH(sum!E$1,graph_range!$M$6:$M$9,0),MATCH(sum!$A5,graph_range!$U$1:$AF$1,0))</f>
        <v>12.508451850142528</v>
      </c>
      <c r="G5" s="20" t="s">
        <v>45</v>
      </c>
      <c r="H5" s="18" t="str">
        <f>TEXT(B5,"0,0")&amp; "
"&amp;TEXT(B15,"0%")</f>
        <v>14,6
13%</v>
      </c>
      <c r="I5" s="18" t="str">
        <f>TEXT(C5,"0,0")&amp; "
"&amp;TEXT(C15,"0%")</f>
        <v>29,0
15%</v>
      </c>
      <c r="J5" s="18" t="str">
        <f>TEXT(D5,"0,0")&amp; "
"&amp;TEXT(D15,"0%")</f>
        <v>13,8
10%</v>
      </c>
      <c r="K5" s="18" t="str">
        <f>TEXT(E5,"0,0")&amp; "
"&amp;TEXT(E15,"0%")</f>
        <v>12,5
10%</v>
      </c>
    </row>
    <row r="6" spans="1:11" ht="30" x14ac:dyDescent="0.25">
      <c r="A6" s="14" t="s">
        <v>42</v>
      </c>
      <c r="B6" s="15">
        <f>INDEX(graph_range!$U$6:$AF$9,MATCH(sum!B$1,graph_range!$M$6:$M$9,0),MATCH(sum!$A6,graph_range!$U$1:$AF$1,0))</f>
        <v>15.5</v>
      </c>
      <c r="C6" s="15">
        <f>INDEX(graph_range!$U$6:$AF$9,MATCH(sum!C$1,graph_range!$M$6:$M$9,0),MATCH(sum!$A6,graph_range!$U$1:$AF$1,0))</f>
        <v>13.866666666666667</v>
      </c>
      <c r="D6" s="15">
        <f>INDEX(graph_range!$U$6:$AF$9,MATCH(sum!D$1,graph_range!$M$6:$M$9,0),MATCH(sum!$A6,graph_range!$U$1:$AF$1,0))</f>
        <v>18.264705882352942</v>
      </c>
      <c r="E6" s="15">
        <f>INDEX(graph_range!$U$6:$AF$9,MATCH(sum!E$1,graph_range!$M$6:$M$9,0),MATCH(sum!$A6,graph_range!$U$1:$AF$1,0))</f>
        <v>18.76923076923077</v>
      </c>
      <c r="G6" s="20" t="s">
        <v>42</v>
      </c>
      <c r="H6" s="18" t="str">
        <f>TEXT(B6,"0,0")&amp; "
"&amp;TEXT(B16,"0%")</f>
        <v>15,5
14%</v>
      </c>
      <c r="I6" s="18" t="str">
        <f>TEXT(C6,"0,0")&amp; "
"&amp;TEXT(C16,"0%")</f>
        <v>13,9
7%</v>
      </c>
      <c r="J6" s="18" t="str">
        <f>TEXT(D6,"0,0")&amp; "
"&amp;TEXT(D16,"0%")</f>
        <v>18,3
16%</v>
      </c>
      <c r="K6" s="18" t="str">
        <f>TEXT(E6,"0,0")&amp; "
"&amp;TEXT(E16,"0%")</f>
        <v>18,8
16%</v>
      </c>
    </row>
    <row r="7" spans="1:11" ht="30" x14ac:dyDescent="0.25">
      <c r="A7" s="14" t="s">
        <v>43</v>
      </c>
      <c r="B7" s="16">
        <f>INDEX(graph_range!$U$6:$AF$9,MATCH(sum!B$1,graph_range!$M$6:$M$9,0),MATCH(sum!$A7,graph_range!$U$1:$AF$1,0))</f>
        <v>2150.1095633802815</v>
      </c>
      <c r="C7" s="16">
        <f>INDEX(graph_range!$U$6:$AF$9,MATCH(sum!C$1,graph_range!$M$6:$M$9,0),MATCH(sum!$A7,graph_range!$U$1:$AF$1,0))</f>
        <v>6609.35</v>
      </c>
      <c r="D7" s="16">
        <f>INDEX(graph_range!$U$6:$AF$9,MATCH(sum!D$1,graph_range!$M$6:$M$9,0),MATCH(sum!$A7,graph_range!$U$1:$AF$1,0))</f>
        <v>6821.0594117647061</v>
      </c>
      <c r="E7" s="16">
        <f>INDEX(graph_range!$U$6:$AF$9,MATCH(sum!E$1,graph_range!$M$6:$M$9,0),MATCH(sum!$A7,graph_range!$U$1:$AF$1,0))</f>
        <v>5270.7499999999991</v>
      </c>
      <c r="G7" s="20" t="s">
        <v>59</v>
      </c>
      <c r="H7" s="18" t="str">
        <f>TEXT(B7/365,"0,0")&amp; "
"&amp;TEXT(B17,"0%")</f>
        <v>5,9
12%</v>
      </c>
      <c r="I7" s="18" t="str">
        <f>TEXT(C7/365,"0,0")&amp; "
"&amp;TEXT(C17,"0%")</f>
        <v>18,1
12%</v>
      </c>
      <c r="J7" s="18" t="str">
        <f>TEXT(D7/365,"0,0")&amp; "
"&amp;TEXT(D17,"0%")</f>
        <v>18,7
13%</v>
      </c>
      <c r="K7" s="18" t="str">
        <f>TEXT(E7/365,"0,0")&amp; "
"&amp;TEXT(E17,"0%")</f>
        <v>14,4
27%</v>
      </c>
    </row>
    <row r="8" spans="1:11" ht="30" x14ac:dyDescent="0.25">
      <c r="A8" s="14" t="s">
        <v>47</v>
      </c>
      <c r="B8" s="16">
        <f>INDEX(graph_range!$U$6:$AF$9,MATCH(sum!B$1,graph_range!$M$6:$M$9,0),MATCH(sum!$A8,graph_range!$U$1:$AF$1,0))</f>
        <v>52961.236252015486</v>
      </c>
      <c r="C8" s="16">
        <f>INDEX(graph_range!$U$6:$AF$9,MATCH(sum!C$1,graph_range!$M$6:$M$9,0),MATCH(sum!$A8,graph_range!$U$1:$AF$1,0))</f>
        <v>75381.534230216712</v>
      </c>
      <c r="D8" s="16">
        <f>INDEX(graph_range!$U$6:$AF$9,MATCH(sum!D$1,graph_range!$M$6:$M$9,0),MATCH(sum!$A8,graph_range!$U$1:$AF$1,0))</f>
        <v>59345.834746876521</v>
      </c>
      <c r="E8" s="16">
        <f>INDEX(graph_range!$U$6:$AF$9,MATCH(sum!E$1,graph_range!$M$6:$M$9,0),MATCH(sum!$A8,graph_range!$U$1:$AF$1,0))</f>
        <v>38241.514217056661</v>
      </c>
      <c r="G8" s="20" t="s">
        <v>47</v>
      </c>
      <c r="H8" s="18" t="str">
        <f>TEXT(B8,"0")&amp; "
"&amp;TEXT(B18,"0%")</f>
        <v>52961
17%</v>
      </c>
      <c r="I8" s="18" t="str">
        <f>TEXT(C8,"0")&amp; "
"&amp;TEXT(C18,"0%")</f>
        <v>75382
15%</v>
      </c>
      <c r="J8" s="18" t="str">
        <f>TEXT(D8,"0")&amp; "
"&amp;TEXT(D18,"0%")</f>
        <v>59346
15%</v>
      </c>
      <c r="K8" s="18" t="str">
        <f>TEXT(E8,"0")&amp; "
"&amp;TEXT(E18,"0%")</f>
        <v>38242
10%</v>
      </c>
    </row>
    <row r="9" spans="1:11" ht="30" x14ac:dyDescent="0.25">
      <c r="A9" s="1" t="s">
        <v>60</v>
      </c>
      <c r="B9" s="16">
        <f>INDEX(graph_range!$U$6:$AF$9,MATCH(sum!B$1,graph_range!$M$6:$M$9,0),MATCH(sum!$A9,graph_range!$U$1:$AF$1,0))</f>
        <v>103.73142612754854</v>
      </c>
      <c r="C9" s="16">
        <f>INDEX(graph_range!$U$6:$AF$9,MATCH(sum!C$1,graph_range!$M$6:$M$9,0),MATCH(sum!$A9,graph_range!$U$1:$AF$1,0))</f>
        <v>43.76284799151658</v>
      </c>
      <c r="D9" s="16">
        <f>INDEX(graph_range!$U$6:$AF$9,MATCH(sum!D$1,graph_range!$M$6:$M$9,0),MATCH(sum!$A9,graph_range!$U$1:$AF$1,0))</f>
        <v>33.66105800812484</v>
      </c>
      <c r="E9" s="16">
        <f>INDEX(graph_range!$U$6:$AF$9,MATCH(sum!E$1,graph_range!$M$6:$M$9,0),MATCH(sum!$A9,graph_range!$U$1:$AF$1,0))</f>
        <v>32.284536348153281</v>
      </c>
      <c r="G9" s="20" t="s">
        <v>60</v>
      </c>
      <c r="H9" s="18" t="str">
        <f>TEXT(B9,"0")&amp; "
"&amp;TEXT(B19,"0%")</f>
        <v>104
18%</v>
      </c>
      <c r="I9" s="18" t="str">
        <f>TEXT(C9,"0")&amp; "
"&amp;TEXT(C19,"0%")</f>
        <v>44
2%</v>
      </c>
      <c r="J9" s="18" t="str">
        <f>TEXT(D9,"0")&amp; "
"&amp;TEXT(D19,"0%")</f>
        <v>34
4%</v>
      </c>
      <c r="K9" s="18" t="str">
        <f>TEXT(E9,"0")&amp; "
"&amp;TEXT(E19,"0%")</f>
        <v>32
10%</v>
      </c>
    </row>
    <row r="11" spans="1:11" x14ac:dyDescent="0.25">
      <c r="A11" s="14"/>
      <c r="B11" s="3" t="s">
        <v>50</v>
      </c>
      <c r="C11" s="3" t="s">
        <v>51</v>
      </c>
      <c r="D11" s="3" t="s">
        <v>52</v>
      </c>
      <c r="E11" s="3" t="s">
        <v>53</v>
      </c>
      <c r="G11" s="25" t="s">
        <v>56</v>
      </c>
      <c r="H11">
        <f>H12*B2</f>
        <v>16.303255732832017</v>
      </c>
      <c r="I11">
        <f>I12*C2</f>
        <v>14.3132128983982</v>
      </c>
      <c r="J11">
        <f>J12*D2</f>
        <v>15.348931149927596</v>
      </c>
      <c r="K11">
        <f>K12*E2</f>
        <v>10.722588570439122</v>
      </c>
    </row>
    <row r="12" spans="1:11" x14ac:dyDescent="0.25">
      <c r="A12" s="14" t="s">
        <v>41</v>
      </c>
      <c r="B12" s="17">
        <f>INDEX(graph_range!$U$10:$AF$13,MATCH(sum!B$1,graph_range!$M$6:$M$9,0),MATCH(sum!$A12,graph_range!$U$1:$AF$1,0))</f>
        <v>7.29461745437191E-2</v>
      </c>
      <c r="C12" s="17">
        <f>INDEX(graph_range!$U$10:$AF$13,MATCH(sum!C$1,graph_range!$M$6:$M$9,0),MATCH(sum!$A12,graph_range!$U$1:$AF$1,0))</f>
        <v>9.2727399057834656E-2</v>
      </c>
      <c r="D12" s="17">
        <f>INDEX(graph_range!$U$10:$AF$13,MATCH(sum!D$1,graph_range!$M$6:$M$9,0),MATCH(sum!$A12,graph_range!$U$1:$AF$1,0))</f>
        <v>3.9238271650235024E-2</v>
      </c>
      <c r="E12" s="17">
        <f>INDEX(graph_range!$U$10:$AF$13,MATCH(sum!E$1,graph_range!$M$6:$M$9,0),MATCH(sum!$A12,graph_range!$U$1:$AF$1,0))</f>
        <v>4.772325673373988E-2</v>
      </c>
      <c r="G12" s="25" t="s">
        <v>57</v>
      </c>
      <c r="H12">
        <f>B6*2/(1+B2)</f>
        <v>14.696744267167981</v>
      </c>
      <c r="I12">
        <f>C6*2/(1+C2)</f>
        <v>13.420120434935132</v>
      </c>
      <c r="J12">
        <f>D6*2/(1+D2)</f>
        <v>21.18048061477829</v>
      </c>
      <c r="K12">
        <f>E6*2/(1+E2)</f>
        <v>26.815872968022418</v>
      </c>
    </row>
    <row r="13" spans="1:11" x14ac:dyDescent="0.25">
      <c r="A13" s="14" t="s">
        <v>46</v>
      </c>
      <c r="B13" s="17">
        <f>INDEX(graph_range!$U$10:$AF$13,MATCH(sum!B$1,graph_range!$M$6:$M$9,0),MATCH(sum!$A13,graph_range!$U$1:$AF$1,0))</f>
        <v>0.12904246084255178</v>
      </c>
      <c r="C13" s="17">
        <f>INDEX(graph_range!$U$10:$AF$13,MATCH(sum!C$1,graph_range!$M$6:$M$9,0),MATCH(sum!$A13,graph_range!$U$1:$AF$1,0))</f>
        <v>0.15160218008102788</v>
      </c>
      <c r="D13" s="17">
        <f>INDEX(graph_range!$U$10:$AF$13,MATCH(sum!D$1,graph_range!$M$6:$M$9,0),MATCH(sum!$A13,graph_range!$U$1:$AF$1,0))</f>
        <v>0.10313730625052409</v>
      </c>
      <c r="E13" s="17">
        <f>INDEX(graph_range!$U$10:$AF$13,MATCH(sum!E$1,graph_range!$M$6:$M$9,0),MATCH(sum!$A13,graph_range!$U$1:$AF$1,0))</f>
        <v>9.735359324293151E-2</v>
      </c>
      <c r="G13" s="25" t="s">
        <v>58</v>
      </c>
      <c r="H13">
        <f>(H11+H12)/2</f>
        <v>15.5</v>
      </c>
      <c r="I13">
        <f>(I11+I12)/2</f>
        <v>13.866666666666667</v>
      </c>
      <c r="J13">
        <f>(J11+J12)/2</f>
        <v>18.264705882352942</v>
      </c>
      <c r="K13">
        <f>(K11+K12)/2</f>
        <v>18.76923076923077</v>
      </c>
    </row>
    <row r="14" spans="1:11" x14ac:dyDescent="0.25">
      <c r="A14" s="14" t="s">
        <v>44</v>
      </c>
      <c r="B14" s="17">
        <f>INDEX(graph_range!$U$10:$AF$13,MATCH(sum!B$1,graph_range!$M$6:$M$9,0),MATCH(sum!$A14,graph_range!$U$1:$AF$1,0))</f>
        <v>7.9917636275576812E-2</v>
      </c>
      <c r="C14" s="17">
        <f>INDEX(graph_range!$U$10:$AF$13,MATCH(sum!C$1,graph_range!$M$6:$M$9,0),MATCH(sum!$A14,graph_range!$U$1:$AF$1,0))</f>
        <v>9.7121712306925886E-2</v>
      </c>
      <c r="D14" s="17">
        <f>INDEX(graph_range!$U$10:$AF$13,MATCH(sum!D$1,graph_range!$M$6:$M$9,0),MATCH(sum!$A14,graph_range!$U$1:$AF$1,0))</f>
        <v>7.8166171217303876E-2</v>
      </c>
      <c r="E14" s="17">
        <f>INDEX(graph_range!$U$10:$AF$13,MATCH(sum!E$1,graph_range!$M$6:$M$9,0),MATCH(sum!$A14,graph_range!$U$1:$AF$1,0))</f>
        <v>7.6983797753908692E-2</v>
      </c>
    </row>
    <row r="15" spans="1:11" x14ac:dyDescent="0.25">
      <c r="A15" s="14" t="s">
        <v>45</v>
      </c>
      <c r="B15" s="17">
        <f>INDEX(graph_range!$U$10:$AF$13,MATCH(sum!B$1,graph_range!$M$6:$M$9,0),MATCH(sum!$A15,graph_range!$U$1:$AF$1,0))</f>
        <v>0.12904246084255191</v>
      </c>
      <c r="C15" s="17">
        <f>INDEX(graph_range!$U$10:$AF$13,MATCH(sum!C$1,graph_range!$M$6:$M$9,0),MATCH(sum!$A15,graph_range!$U$1:$AF$1,0))</f>
        <v>0.15160218008102655</v>
      </c>
      <c r="D15" s="17">
        <f>INDEX(graph_range!$U$10:$AF$13,MATCH(sum!D$1,graph_range!$M$6:$M$9,0),MATCH(sum!$A15,graph_range!$U$1:$AF$1,0))</f>
        <v>0.10313730625052396</v>
      </c>
      <c r="E15" s="17">
        <f>INDEX(graph_range!$U$10:$AF$13,MATCH(sum!E$1,graph_range!$M$6:$M$9,0),MATCH(sum!$A15,graph_range!$U$1:$AF$1,0))</f>
        <v>9.7353593242930872E-2</v>
      </c>
    </row>
    <row r="16" spans="1:11" x14ac:dyDescent="0.25">
      <c r="A16" s="14" t="s">
        <v>42</v>
      </c>
      <c r="B16" s="17">
        <f>INDEX(graph_range!$U$10:$AF$13,MATCH(sum!B$1,graph_range!$M$6:$M$9,0),MATCH(sum!$A16,graph_range!$U$1:$AF$1,0))</f>
        <v>0.13766058737991879</v>
      </c>
      <c r="C16" s="17">
        <f>INDEX(graph_range!$U$10:$AF$13,MATCH(sum!C$1,graph_range!$M$6:$M$9,0),MATCH(sum!$A16,graph_range!$U$1:$AF$1,0))</f>
        <v>7.0018931121937286E-2</v>
      </c>
      <c r="D16" s="17">
        <f>INDEX(graph_range!$U$10:$AF$13,MATCH(sum!D$1,graph_range!$M$6:$M$9,0),MATCH(sum!$A16,graph_range!$U$1:$AF$1,0))</f>
        <v>0.15794770967505872</v>
      </c>
      <c r="E16" s="17">
        <f>INDEX(graph_range!$U$10:$AF$13,MATCH(sum!E$1,graph_range!$M$6:$M$9,0),MATCH(sum!$A16,graph_range!$U$1:$AF$1,0))</f>
        <v>0.15598977545690537</v>
      </c>
    </row>
    <row r="17" spans="1:5" x14ac:dyDescent="0.25">
      <c r="A17" s="14" t="s">
        <v>43</v>
      </c>
      <c r="B17" s="17">
        <f>INDEX(graph_range!$U$10:$AF$13,MATCH(sum!B$1,graph_range!$M$6:$M$9,0),MATCH(sum!$A17,graph_range!$U$1:$AF$1,0))</f>
        <v>0.12014381402449231</v>
      </c>
      <c r="C17" s="17">
        <f>INDEX(graph_range!$U$10:$AF$13,MATCH(sum!C$1,graph_range!$M$6:$M$9,0),MATCH(sum!$A17,graph_range!$U$1:$AF$1,0))</f>
        <v>0.11686319057724782</v>
      </c>
      <c r="D17" s="17">
        <f>INDEX(graph_range!$U$10:$AF$13,MATCH(sum!D$1,graph_range!$M$6:$M$9,0),MATCH(sum!$A17,graph_range!$U$1:$AF$1,0))</f>
        <v>0.13477504204586521</v>
      </c>
      <c r="E17" s="17">
        <f>INDEX(graph_range!$U$10:$AF$13,MATCH(sum!E$1,graph_range!$M$6:$M$9,0),MATCH(sum!$A17,graph_range!$U$1:$AF$1,0))</f>
        <v>0.26961732503205943</v>
      </c>
    </row>
    <row r="18" spans="1:5" x14ac:dyDescent="0.25">
      <c r="A18" s="14" t="s">
        <v>47</v>
      </c>
      <c r="B18" s="17">
        <f>INDEX(graph_range!$U$10:$AF$13,MATCH(sum!B$1,graph_range!$M$6:$M$9,0),MATCH(sum!$A18,graph_range!$U$1:$AF$1,0))</f>
        <v>0.17218678844730068</v>
      </c>
      <c r="C18" s="17">
        <f>INDEX(graph_range!$U$10:$AF$13,MATCH(sum!C$1,graph_range!$M$6:$M$9,0),MATCH(sum!$A18,graph_range!$U$1:$AF$1,0))</f>
        <v>0.15490597385269023</v>
      </c>
      <c r="D18" s="17">
        <f>INDEX(graph_range!$U$10:$AF$13,MATCH(sum!D$1,graph_range!$M$6:$M$9,0),MATCH(sum!$A18,graph_range!$U$1:$AF$1,0))</f>
        <v>0.14714515304384368</v>
      </c>
      <c r="E18" s="17">
        <f>INDEX(graph_range!$U$10:$AF$13,MATCH(sum!E$1,graph_range!$M$6:$M$9,0),MATCH(sum!$A18,graph_range!$U$1:$AF$1,0))</f>
        <v>0.10238988441274738</v>
      </c>
    </row>
    <row r="19" spans="1:5" x14ac:dyDescent="0.25">
      <c r="A19" s="1" t="s">
        <v>60</v>
      </c>
      <c r="B19" s="17">
        <f>INDEX(graph_range!$U$10:$AF$13,MATCH(sum!B$1,graph_range!$M$6:$M$9,0),MATCH(sum!$A19,graph_range!$U$1:$AF$1,0))</f>
        <v>0.18264221594741684</v>
      </c>
      <c r="C19" s="17">
        <f>INDEX(graph_range!$U$10:$AF$13,MATCH(sum!C$1,graph_range!$M$6:$M$9,0),MATCH(sum!$A19,graph_range!$U$1:$AF$1,0))</f>
        <v>2.4050728681135208E-2</v>
      </c>
      <c r="D19" s="17">
        <f>INDEX(graph_range!$U$10:$AF$13,MATCH(sum!D$1,graph_range!$M$6:$M$9,0),MATCH(sum!$A19,graph_range!$U$1:$AF$1,0))</f>
        <v>3.6393866504086464E-2</v>
      </c>
      <c r="E19" s="17">
        <f>INDEX(graph_range!$U$10:$AF$13,MATCH(sum!E$1,graph_range!$M$6:$M$9,0),MATCH(sum!$A19,graph_range!$U$1:$AF$1,0))</f>
        <v>9.8538690444735316E-2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Graphiques</vt:lpstr>
      </vt:variant>
      <vt:variant>
        <vt:i4>28</vt:i4>
      </vt:variant>
    </vt:vector>
  </HeadingPairs>
  <TitlesOfParts>
    <vt:vector size="34" baseType="lpstr">
      <vt:lpstr>script.out</vt:lpstr>
      <vt:lpstr>results.txt</vt:lpstr>
      <vt:lpstr>graph_range</vt:lpstr>
      <vt:lpstr>graph_data</vt:lpstr>
      <vt:lpstr>graph+_data</vt:lpstr>
      <vt:lpstr>sum</vt:lpstr>
      <vt:lpstr>g6.7</vt:lpstr>
      <vt:lpstr>g5.7</vt:lpstr>
      <vt:lpstr>g5.6</vt:lpstr>
      <vt:lpstr>g4.7</vt:lpstr>
      <vt:lpstr>g4.6</vt:lpstr>
      <vt:lpstr>g4.5</vt:lpstr>
      <vt:lpstr>g3.7</vt:lpstr>
      <vt:lpstr>g3.6</vt:lpstr>
      <vt:lpstr>g3.5</vt:lpstr>
      <vt:lpstr>g3.4</vt:lpstr>
      <vt:lpstr>g2.7</vt:lpstr>
      <vt:lpstr>g2.6</vt:lpstr>
      <vt:lpstr>g2.5</vt:lpstr>
      <vt:lpstr>g2.4</vt:lpstr>
      <vt:lpstr>g2.3</vt:lpstr>
      <vt:lpstr>g1.7</vt:lpstr>
      <vt:lpstr>g1.6</vt:lpstr>
      <vt:lpstr>g1.5</vt:lpstr>
      <vt:lpstr>g1.4</vt:lpstr>
      <vt:lpstr>g1.3</vt:lpstr>
      <vt:lpstr>g1.2</vt:lpstr>
      <vt:lpstr>g0.7</vt:lpstr>
      <vt:lpstr>g0.6</vt:lpstr>
      <vt:lpstr>g0.5</vt:lpstr>
      <vt:lpstr>g0.4</vt:lpstr>
      <vt:lpstr>g0.3</vt:lpstr>
      <vt:lpstr>g0.2</vt:lpstr>
      <vt:lpstr>g0.1</vt:lpstr>
    </vt:vector>
  </TitlesOfParts>
  <Company>ALTRAN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dcterms:created xsi:type="dcterms:W3CDTF">2014-07-28T06:44:16Z</dcterms:created>
  <dcterms:modified xsi:type="dcterms:W3CDTF">2014-07-31T00:18:38Z</dcterms:modified>
</cp:coreProperties>
</file>